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expense tracker\ajio\Return Automation\ajio-return-sync\"/>
    </mc:Choice>
  </mc:AlternateContent>
  <xr:revisionPtr revIDLastSave="0" documentId="8_{82675597-5920-4A2D-B44F-054C9095FD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sheet" sheetId="1" r:id="rId1"/>
    <sheet name="DTF Mtrs tracking" sheetId="2" r:id="rId2"/>
    <sheet name="DTF PRO Printing Tracking" sheetId="3" r:id="rId3"/>
    <sheet name="Mapping Sheet" sheetId="4" r:id="rId4"/>
    <sheet name="Bundle_SKU_Mapping" sheetId="5" r:id="rId5"/>
    <sheet name="master_inventory" sheetId="6" r:id="rId6"/>
    <sheet name="oos_ledger" sheetId="7" r:id="rId7"/>
    <sheet name="inventory_lookup" sheetId="8" r:id="rId8"/>
    <sheet name="rolls_history" sheetId="9" r:id="rId9"/>
    <sheet name="sales_dates" sheetId="10" r:id="rId10"/>
    <sheet name="whats_next" sheetId="11" r:id="rId11"/>
    <sheet name="rto_inventory" sheetId="12" r:id="rId12"/>
    <sheet name="tier_rules" sheetId="13" r:id="rId13"/>
  </sheets>
  <definedNames>
    <definedName name="_xlnm._FilterDatabase" localSheetId="0" hidden="1">'test sheet'!$A$1:$M$134</definedName>
  </definedNames>
  <calcPr calcId="191029"/>
  <fileRecoveryPr repairLoad="1"/>
</workbook>
</file>

<file path=xl/calcChain.xml><?xml version="1.0" encoding="utf-8"?>
<calcChain xmlns="http://schemas.openxmlformats.org/spreadsheetml/2006/main">
  <c r="T37" i="13" l="1"/>
  <c r="S37" i="13"/>
  <c r="R37" i="13"/>
  <c r="Q37" i="13"/>
  <c r="T36" i="13"/>
  <c r="S36" i="13"/>
  <c r="R36" i="13"/>
  <c r="Q36" i="13"/>
  <c r="T35" i="13"/>
  <c r="S35" i="13"/>
  <c r="R35" i="13"/>
  <c r="Q35" i="13"/>
  <c r="T34" i="13"/>
  <c r="S34" i="13"/>
  <c r="R34" i="13"/>
  <c r="Q34" i="13"/>
  <c r="T33" i="13"/>
  <c r="S33" i="13"/>
  <c r="R33" i="13"/>
  <c r="Q33" i="13"/>
  <c r="T32" i="13"/>
  <c r="S32" i="13"/>
  <c r="R32" i="13"/>
  <c r="Q32" i="13"/>
  <c r="T31" i="13"/>
  <c r="S31" i="13"/>
  <c r="R31" i="13"/>
  <c r="Q31" i="13"/>
  <c r="T30" i="13"/>
  <c r="S30" i="13"/>
  <c r="R30" i="13"/>
  <c r="Q30" i="13"/>
  <c r="T29" i="13"/>
  <c r="S29" i="13"/>
  <c r="R29" i="13"/>
  <c r="Q29" i="13"/>
  <c r="T28" i="13"/>
  <c r="S28" i="13"/>
  <c r="R28" i="13"/>
  <c r="Q28" i="13"/>
  <c r="T27" i="13"/>
  <c r="S27" i="13"/>
  <c r="R27" i="13"/>
  <c r="Q27" i="13"/>
  <c r="T26" i="13"/>
  <c r="S26" i="13"/>
  <c r="R26" i="13"/>
  <c r="Q26" i="13"/>
  <c r="T25" i="13"/>
  <c r="S25" i="13"/>
  <c r="R25" i="13"/>
  <c r="Q25" i="13"/>
  <c r="T24" i="13"/>
  <c r="S24" i="13"/>
  <c r="R24" i="13"/>
  <c r="Q24" i="13"/>
  <c r="T23" i="13"/>
  <c r="S23" i="13"/>
  <c r="R23" i="13"/>
  <c r="Q23" i="13"/>
  <c r="T22" i="13"/>
  <c r="S22" i="13"/>
  <c r="R22" i="13"/>
  <c r="Q22" i="13"/>
  <c r="T21" i="13"/>
  <c r="S21" i="13"/>
  <c r="R21" i="13"/>
  <c r="Q21" i="13"/>
  <c r="T20" i="13"/>
  <c r="S20" i="13"/>
  <c r="R20" i="13"/>
  <c r="Q20" i="13"/>
  <c r="T19" i="13"/>
  <c r="S19" i="13"/>
  <c r="R19" i="13"/>
  <c r="Q19" i="13"/>
  <c r="T18" i="13"/>
  <c r="S18" i="13"/>
  <c r="R18" i="13"/>
  <c r="Q18" i="13"/>
  <c r="T17" i="13"/>
  <c r="S17" i="13"/>
  <c r="R17" i="13"/>
  <c r="Q17" i="13"/>
  <c r="T16" i="13"/>
  <c r="S16" i="13"/>
  <c r="R16" i="13"/>
  <c r="Q16" i="13"/>
  <c r="T15" i="13"/>
  <c r="S15" i="13"/>
  <c r="R15" i="13"/>
  <c r="Q15" i="13"/>
  <c r="T14" i="13"/>
  <c r="S14" i="13"/>
  <c r="R14" i="13"/>
  <c r="Q14" i="13"/>
  <c r="T13" i="13"/>
  <c r="S13" i="13"/>
  <c r="R13" i="13"/>
  <c r="Q13" i="13"/>
  <c r="T12" i="13"/>
  <c r="S12" i="13"/>
  <c r="R12" i="13"/>
  <c r="Q12" i="13"/>
  <c r="T11" i="13"/>
  <c r="S11" i="13"/>
  <c r="R11" i="13"/>
  <c r="Q11" i="13"/>
  <c r="T10" i="13"/>
  <c r="S10" i="13"/>
  <c r="R10" i="13"/>
  <c r="Q10" i="13"/>
  <c r="T9" i="13"/>
  <c r="S9" i="13"/>
  <c r="R9" i="13"/>
  <c r="Q9" i="13"/>
  <c r="T8" i="13"/>
  <c r="S8" i="13"/>
  <c r="R8" i="13"/>
  <c r="Q8" i="13"/>
  <c r="T7" i="13"/>
  <c r="S7" i="13"/>
  <c r="R7" i="13"/>
  <c r="Q7" i="13"/>
  <c r="T6" i="13"/>
  <c r="S6" i="13"/>
  <c r="R6" i="13"/>
  <c r="Q6" i="13"/>
  <c r="T5" i="13"/>
  <c r="S5" i="13"/>
  <c r="R5" i="13"/>
  <c r="Q5" i="13"/>
  <c r="T4" i="13"/>
  <c r="S4" i="13"/>
  <c r="R4" i="13"/>
  <c r="Q4" i="13"/>
  <c r="T3" i="13"/>
  <c r="S3" i="13"/>
  <c r="R3" i="13"/>
  <c r="Q3" i="13"/>
  <c r="T2" i="13"/>
  <c r="S2" i="13"/>
  <c r="R2" i="13"/>
  <c r="Q2" i="13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J140" i="3"/>
  <c r="C140" i="3"/>
  <c r="J139" i="3"/>
  <c r="C139" i="3"/>
  <c r="J138" i="3"/>
  <c r="C138" i="3"/>
  <c r="J137" i="3"/>
  <c r="C137" i="3"/>
  <c r="J136" i="3"/>
  <c r="C136" i="3"/>
  <c r="J135" i="3"/>
  <c r="C135" i="3"/>
  <c r="J134" i="3"/>
  <c r="C134" i="3"/>
  <c r="J133" i="3"/>
  <c r="C133" i="3"/>
  <c r="J132" i="3"/>
  <c r="C132" i="3"/>
  <c r="J131" i="3"/>
  <c r="C131" i="3"/>
  <c r="J130" i="3"/>
  <c r="C130" i="3"/>
  <c r="J129" i="3"/>
  <c r="C129" i="3"/>
  <c r="J128" i="3"/>
  <c r="C128" i="3"/>
  <c r="J127" i="3"/>
  <c r="C127" i="3"/>
  <c r="J126" i="3"/>
  <c r="C126" i="3"/>
  <c r="J125" i="3"/>
  <c r="C125" i="3"/>
  <c r="J124" i="3"/>
  <c r="C124" i="3"/>
  <c r="J123" i="3"/>
  <c r="C123" i="3"/>
  <c r="J122" i="3"/>
  <c r="C122" i="3"/>
  <c r="J121" i="3"/>
  <c r="C121" i="3"/>
  <c r="J120" i="3"/>
  <c r="C120" i="3"/>
  <c r="J119" i="3"/>
  <c r="C119" i="3"/>
  <c r="J118" i="3"/>
  <c r="C118" i="3"/>
  <c r="J117" i="3"/>
  <c r="C117" i="3"/>
  <c r="J116" i="3"/>
  <c r="C116" i="3"/>
  <c r="J115" i="3"/>
  <c r="C115" i="3"/>
  <c r="J114" i="3"/>
  <c r="C114" i="3"/>
  <c r="J113" i="3"/>
  <c r="C113" i="3"/>
  <c r="J112" i="3"/>
  <c r="C112" i="3"/>
  <c r="J111" i="3"/>
  <c r="C111" i="3"/>
  <c r="J110" i="3"/>
  <c r="C110" i="3"/>
  <c r="J109" i="3"/>
  <c r="C109" i="3"/>
  <c r="J108" i="3"/>
  <c r="C108" i="3"/>
  <c r="J107" i="3"/>
  <c r="C107" i="3"/>
  <c r="J106" i="3"/>
  <c r="C106" i="3"/>
  <c r="J105" i="3"/>
  <c r="C105" i="3"/>
  <c r="J104" i="3"/>
  <c r="C104" i="3"/>
  <c r="J103" i="3"/>
  <c r="C103" i="3"/>
  <c r="J102" i="3"/>
  <c r="C102" i="3"/>
  <c r="J101" i="3"/>
  <c r="C101" i="3"/>
  <c r="J100" i="3"/>
  <c r="C100" i="3"/>
  <c r="J99" i="3"/>
  <c r="C99" i="3"/>
  <c r="J98" i="3"/>
  <c r="C98" i="3"/>
  <c r="J97" i="3"/>
  <c r="C97" i="3"/>
  <c r="J96" i="3"/>
  <c r="C96" i="3"/>
  <c r="J95" i="3"/>
  <c r="C95" i="3"/>
  <c r="J94" i="3"/>
  <c r="C94" i="3"/>
  <c r="J93" i="3"/>
  <c r="C93" i="3"/>
  <c r="J92" i="3"/>
  <c r="C92" i="3"/>
  <c r="J91" i="3"/>
  <c r="C91" i="3"/>
  <c r="J90" i="3"/>
  <c r="C90" i="3"/>
  <c r="J89" i="3"/>
  <c r="C89" i="3"/>
  <c r="J88" i="3"/>
  <c r="C88" i="3"/>
  <c r="J87" i="3"/>
  <c r="C87" i="3"/>
  <c r="J86" i="3"/>
  <c r="C86" i="3"/>
  <c r="J85" i="3"/>
  <c r="C85" i="3"/>
  <c r="J84" i="3"/>
  <c r="C84" i="3"/>
  <c r="J83" i="3"/>
  <c r="C83" i="3"/>
  <c r="J82" i="3"/>
  <c r="C82" i="3"/>
  <c r="J81" i="3"/>
  <c r="C81" i="3"/>
  <c r="J80" i="3"/>
  <c r="C80" i="3"/>
  <c r="J79" i="3"/>
  <c r="C79" i="3"/>
  <c r="J78" i="3"/>
  <c r="C78" i="3"/>
  <c r="J77" i="3"/>
  <c r="C77" i="3"/>
  <c r="J76" i="3"/>
  <c r="C76" i="3"/>
  <c r="J75" i="3"/>
  <c r="C75" i="3"/>
  <c r="J74" i="3"/>
  <c r="C74" i="3"/>
  <c r="J73" i="3"/>
  <c r="C73" i="3"/>
  <c r="J72" i="3"/>
  <c r="C72" i="3"/>
  <c r="J71" i="3"/>
  <c r="C71" i="3"/>
  <c r="J70" i="3"/>
  <c r="C70" i="3"/>
  <c r="J69" i="3"/>
  <c r="C69" i="3"/>
  <c r="J68" i="3"/>
  <c r="C68" i="3"/>
  <c r="J67" i="3"/>
  <c r="C67" i="3"/>
  <c r="J66" i="3"/>
  <c r="C66" i="3"/>
  <c r="J65" i="3"/>
  <c r="C65" i="3"/>
  <c r="J64" i="3"/>
  <c r="C64" i="3"/>
  <c r="J63" i="3"/>
  <c r="C63" i="3"/>
  <c r="J62" i="3"/>
  <c r="C62" i="3"/>
  <c r="J61" i="3"/>
  <c r="C61" i="3"/>
  <c r="J60" i="3"/>
  <c r="C60" i="3"/>
  <c r="J59" i="3"/>
  <c r="C59" i="3"/>
  <c r="J58" i="3"/>
  <c r="C58" i="3"/>
  <c r="J57" i="3"/>
  <c r="C57" i="3"/>
  <c r="J56" i="3"/>
  <c r="C56" i="3"/>
  <c r="J55" i="3"/>
  <c r="C55" i="3"/>
  <c r="J54" i="3"/>
  <c r="C54" i="3"/>
  <c r="J53" i="3"/>
  <c r="C53" i="3"/>
  <c r="J52" i="3"/>
  <c r="C52" i="3"/>
  <c r="J51" i="3"/>
  <c r="C51" i="3"/>
  <c r="J50" i="3"/>
  <c r="C50" i="3"/>
  <c r="J49" i="3"/>
  <c r="C49" i="3"/>
  <c r="J48" i="3"/>
  <c r="C48" i="3"/>
  <c r="J47" i="3"/>
  <c r="C47" i="3"/>
  <c r="J46" i="3"/>
  <c r="C46" i="3"/>
  <c r="J45" i="3"/>
  <c r="C45" i="3"/>
  <c r="J44" i="3"/>
  <c r="C44" i="3"/>
  <c r="J43" i="3"/>
  <c r="C43" i="3"/>
  <c r="J42" i="3"/>
  <c r="C42" i="3"/>
  <c r="J41" i="3"/>
  <c r="C41" i="3"/>
  <c r="J40" i="3"/>
  <c r="C40" i="3"/>
  <c r="J39" i="3"/>
  <c r="C39" i="3"/>
  <c r="J38" i="3"/>
  <c r="C38" i="3"/>
  <c r="J37" i="3"/>
  <c r="C37" i="3"/>
  <c r="J36" i="3"/>
  <c r="C36" i="3"/>
  <c r="J35" i="3"/>
  <c r="C35" i="3"/>
  <c r="J34" i="3"/>
  <c r="C34" i="3"/>
  <c r="J33" i="3"/>
  <c r="C33" i="3"/>
  <c r="J32" i="3"/>
  <c r="C32" i="3"/>
  <c r="J31" i="3"/>
  <c r="C31" i="3"/>
  <c r="J30" i="3"/>
  <c r="C30" i="3"/>
  <c r="J29" i="3"/>
  <c r="C29" i="3"/>
  <c r="J28" i="3"/>
  <c r="C28" i="3"/>
  <c r="J27" i="3"/>
  <c r="C27" i="3"/>
  <c r="J26" i="3"/>
  <c r="C26" i="3"/>
  <c r="J25" i="3"/>
  <c r="C25" i="3"/>
  <c r="J24" i="3"/>
  <c r="C24" i="3"/>
  <c r="J23" i="3"/>
  <c r="C23" i="3"/>
  <c r="J22" i="3"/>
  <c r="C22" i="3"/>
  <c r="J21" i="3"/>
  <c r="C21" i="3"/>
  <c r="J20" i="3"/>
  <c r="C20" i="3"/>
  <c r="J19" i="3"/>
  <c r="C19" i="3"/>
  <c r="J18" i="3"/>
  <c r="C18" i="3"/>
  <c r="J17" i="3"/>
  <c r="C17" i="3"/>
  <c r="J16" i="3"/>
  <c r="C16" i="3"/>
  <c r="J15" i="3"/>
  <c r="C15" i="3"/>
  <c r="J14" i="3"/>
  <c r="C14" i="3"/>
  <c r="J13" i="3"/>
  <c r="C13" i="3"/>
  <c r="J12" i="3"/>
  <c r="C12" i="3"/>
  <c r="J11" i="3"/>
  <c r="C11" i="3"/>
  <c r="J10" i="3"/>
  <c r="C10" i="3"/>
  <c r="J9" i="3"/>
  <c r="C9" i="3"/>
  <c r="J8" i="3"/>
  <c r="C8" i="3"/>
  <c r="J7" i="3"/>
  <c r="C7" i="3"/>
  <c r="J6" i="3"/>
  <c r="C6" i="3"/>
  <c r="J5" i="3"/>
  <c r="C5" i="3"/>
  <c r="J4" i="3"/>
  <c r="C4" i="3"/>
  <c r="J3" i="3"/>
  <c r="C3" i="3"/>
  <c r="J2" i="3"/>
  <c r="O1" i="3" s="1"/>
  <c r="C2" i="3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M1" i="2" s="1"/>
  <c r="M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tc={afbe3167-e528-49ea-a3e2-c0678908dc33}</author>
    <author>tc={8bd93e1e-4753-483a-9871-4f428647812f}</author>
    <author>tc={fd1ea521-66d4-47d0-9f0d-297d8016c6a9}</author>
    <author>tc={5ef738c4-0ab6-4e01-8dd9-8f793ea15e88}</author>
    <author>tc={d694399f-51eb-4b59-b2c3-7bc59e0aef6a}</author>
    <author>tc={b5bc012f-c2b8-41a8-b68e-5225d62d4b17}</author>
    <author>tc={a7f971b1-588c-4b2c-8f6a-9e3e5db41376}</author>
    <author>tc={c5e1f3ed-8853-4df5-9269-96bdab623270}</author>
    <author>tc={ff0bccd4-0a03-45e9-a5e5-b48818938a8e}</author>
    <author>tc={d19a0db5-cf00-4b45-8b62-9c22312f36d7}</author>
    <author>tc={ffc30c47-5991-41ff-a37e-38a57f500870}</author>
  </authors>
  <commentList>
    <comment ref="F5" authorId="0" shapeId="0" xr:uid="{AFBE3167-E528-49EA-A3E2-C0678908DC3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to ensure wallet balance matches
</t>
        </r>
      </text>
    </comment>
    <comment ref="E7" authorId="1" shapeId="0" xr:uid="{8BD93E1E-4753-483A-9871-4F428647812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part has given on 21 Aug
</t>
        </r>
      </text>
    </comment>
    <comment ref="F8" authorId="2" shapeId="0" xr:uid="{FD1EA521-66D4-47D0-9F0D-297D8016C6A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madhav custom print
</t>
        </r>
      </text>
    </comment>
    <comment ref="E15" authorId="3" shapeId="0" xr:uid="{5EF738C4-0AB6-4E01-8DD9-8F793EA15E8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vagabond
</t>
        </r>
      </text>
    </comment>
    <comment ref="F15" authorId="4" shapeId="0" xr:uid="{D694399F-51EB-4B59-B2C3-7BC59E0AEF6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loffers Adjustment
</t>
        </r>
      </text>
    </comment>
    <comment ref="E16" authorId="5" shapeId="0" xr:uid="{B5BC012F-C2B8-41A8-B68E-5225D62D4B1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Thorfin new final shirt
</t>
        </r>
      </text>
    </comment>
    <comment ref="G17" authorId="6" shapeId="0" xr:uid="{A7F971B1-588C-4B2C-8F6A-9E3E5DB4137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Ace emblem
</t>
        </r>
      </text>
    </comment>
    <comment ref="I17" authorId="7" shapeId="0" xr:uid="{C5E1F3ED-8853-4DF5-9269-96BDAB62327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 to sync wallet balance
</t>
        </r>
      </text>
    </comment>
    <comment ref="F29" authorId="8" shapeId="0" xr:uid="{FF0BCCD4-0A03-45E9-A5E5-B48818938A8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DTF order-not whitehusk
</t>
        </r>
      </text>
    </comment>
    <comment ref="J29" authorId="9" shapeId="0" xr:uid="{D19A0DB5-CF00-4B45-8B62-9C22312F36D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reglar fit tshirt
</t>
        </r>
      </text>
    </comment>
    <comment ref="J30" authorId="10" shapeId="0" xr:uid="{FFC30C47-5991-41FF-A37E-38A57F50087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to match wallet balance
</t>
        </r>
      </text>
    </comment>
  </commentList>
</comments>
</file>

<file path=xl/sharedStrings.xml><?xml version="1.0" encoding="utf-8"?>
<sst xmlns="http://schemas.openxmlformats.org/spreadsheetml/2006/main" count="4826" uniqueCount="2552">
  <si>
    <t>Group</t>
  </si>
  <si>
    <t>Print</t>
  </si>
  <si>
    <t xml:space="preserve">Date </t>
  </si>
  <si>
    <t>Number of Print</t>
  </si>
  <si>
    <t>Day</t>
  </si>
  <si>
    <t>Inventory</t>
  </si>
  <si>
    <t>Threshold</t>
  </si>
  <si>
    <t>Print Size (mtr)</t>
  </si>
  <si>
    <t>Mtrs per day</t>
  </si>
  <si>
    <t>Order</t>
  </si>
  <si>
    <t>Slot 1</t>
  </si>
  <si>
    <t>Slot 2</t>
  </si>
  <si>
    <t>Slot 3</t>
  </si>
  <si>
    <t>Slot 4</t>
  </si>
  <si>
    <t>Slot 5</t>
  </si>
  <si>
    <t>Slot 6</t>
  </si>
  <si>
    <t>Balance Added</t>
  </si>
  <si>
    <t>Wallet</t>
  </si>
  <si>
    <t>PAID</t>
  </si>
  <si>
    <t>Pending Payment</t>
  </si>
  <si>
    <t xml:space="preserve">product </t>
  </si>
  <si>
    <t>RTO SKU</t>
  </si>
  <si>
    <t>PRINT SKU</t>
  </si>
  <si>
    <t xml:space="preserve">Process Status </t>
  </si>
  <si>
    <t>master products</t>
  </si>
  <si>
    <t>S</t>
  </si>
  <si>
    <t>M</t>
  </si>
  <si>
    <t>L</t>
  </si>
  <si>
    <t>XL</t>
  </si>
  <si>
    <t>DTF Print Order</t>
  </si>
  <si>
    <t>Total</t>
  </si>
  <si>
    <t>Saturday</t>
  </si>
  <si>
    <t>01 - Ace for Black</t>
  </si>
  <si>
    <t>Ace for Black&lt;19-Sep-2025&gt; [0.64] |0.36|</t>
  </si>
  <si>
    <t>Friday</t>
  </si>
  <si>
    <t>Group 1</t>
  </si>
  <si>
    <t>black_tshirt</t>
  </si>
  <si>
    <t>OS-0004-S-Black</t>
  </si>
  <si>
    <t>OS-0004-M-Black</t>
  </si>
  <si>
    <t>OS-0004-L-Black</t>
  </si>
  <si>
    <t>OS-0004-XL-Black</t>
  </si>
  <si>
    <t>WHF-OS-ACE-BLACK-S</t>
  </si>
  <si>
    <t>WHF-OS-ACE-BLACK-M</t>
  </si>
  <si>
    <t>WHF-OS-ACE-BLACK-L</t>
  </si>
  <si>
    <t>WHF-OS-ACE-BLACK-XL</t>
  </si>
  <si>
    <t>02 - Ace for White</t>
  </si>
  <si>
    <t>Ace for White&lt;19-Sep-2025&gt; [0.42] |0.17|</t>
  </si>
  <si>
    <t>white_tshirt</t>
  </si>
  <si>
    <t>OS-0004-S-White</t>
  </si>
  <si>
    <t>Sunday</t>
  </si>
  <si>
    <t>OS-0004-M-White</t>
  </si>
  <si>
    <t>OS-0004-L-White</t>
  </si>
  <si>
    <t>OS-0004-XL-White</t>
  </si>
  <si>
    <t>WHF-OS-ACE-WHITE-S</t>
  </si>
  <si>
    <t>WHF-OS-ACE-WHITE-M</t>
  </si>
  <si>
    <t>WHF-OS-ACE-WHITE-L</t>
  </si>
  <si>
    <t>WHF-OS-ACE-WHITE-XL</t>
  </si>
  <si>
    <t>03 - Ackerman's Will</t>
  </si>
  <si>
    <t>Ackerman's Will&lt;19-Sep-2025&gt; [0.36] |0.41|</t>
  </si>
  <si>
    <t>04 - Almighty x2</t>
  </si>
  <si>
    <t>cream_tshirt</t>
  </si>
  <si>
    <t>Levi-Cream-S</t>
  </si>
  <si>
    <t>Levi-Cream-M</t>
  </si>
  <si>
    <t>Levi-Cream-L</t>
  </si>
  <si>
    <t>Levi-Cream-XL</t>
  </si>
  <si>
    <t>WHF-OS-LEVI-ACKR-WLL-S</t>
  </si>
  <si>
    <t>WHF-OS-LEVI-ACKR-WLL-M</t>
  </si>
  <si>
    <t>WHF-OS-LEVI-ACKR-WLL-L</t>
  </si>
  <si>
    <t>WHF-OS-LEVI-ACKR-WLL-XL</t>
  </si>
  <si>
    <t>Monday</t>
  </si>
  <si>
    <t>04 - Almighty</t>
  </si>
  <si>
    <t>Almighty&lt;19-Sep-2025&gt; [1] |1.45|</t>
  </si>
  <si>
    <t>Tuesday</t>
  </si>
  <si>
    <t>black_acid_wash_tshirt</t>
  </si>
  <si>
    <t>OS-almighty-S</t>
  </si>
  <si>
    <t>OS-almighty-M</t>
  </si>
  <si>
    <t>OS-almighty-L</t>
  </si>
  <si>
    <t>OS-almighty-XL</t>
  </si>
  <si>
    <t>WHF-OS-ALMIGHTY-S</t>
  </si>
  <si>
    <t>Wednesday</t>
  </si>
  <si>
    <t>WHF-OS-ALMIGHTY-M</t>
  </si>
  <si>
    <t>WHF-OS-ALMIGHTY-L</t>
  </si>
  <si>
    <t>WHF-OS-ALMIGHTY-XL</t>
  </si>
  <si>
    <t>Thursday</t>
  </si>
  <si>
    <t>Almighty Hoodie&lt;19-Sep-2025&gt; [1] |0.00|</t>
  </si>
  <si>
    <t>WHF-PANT-BUNGEE-L</t>
  </si>
  <si>
    <t>black_acid_wash_hoodie</t>
  </si>
  <si>
    <t>Print: ✅ (1 decremented) | Plain/Ready Merch: ✅ (1 decremented)</t>
  </si>
  <si>
    <t>WHF-HO-ALMIGHTY-S</t>
  </si>
  <si>
    <t>WHF-HO-ALMIGHTY-M</t>
  </si>
  <si>
    <t>WHF-HO-ALMIGHTY-L</t>
  </si>
  <si>
    <t>08 - Bungee 09Jan2026 x2</t>
  </si>
  <si>
    <t>WHF-HO-ALMIGHTY-XL</t>
  </si>
  <si>
    <t>WHF-HO-ALMIGHTY-HOODIE-S</t>
  </si>
  <si>
    <t>WHF-HO-ALMIGHTY-HOODIE-M</t>
  </si>
  <si>
    <t>WHF-HO-ALMIGHTY-HOODIE-L</t>
  </si>
  <si>
    <t>WHF-HO-ALMIGHTY-HOODIE-XL</t>
  </si>
  <si>
    <t>05 - Baki</t>
  </si>
  <si>
    <t>Baki&lt;19-Sep-2025&gt; [0.32] |0.12|</t>
  </si>
  <si>
    <t>WHF-OS-SPIDERMAN-BLACK-M</t>
  </si>
  <si>
    <t>24 - Gojo x1</t>
  </si>
  <si>
    <t>WHF-OS-BAKIHAMNA-S</t>
  </si>
  <si>
    <t>WHF-OS-BAKIHAMNA-M</t>
  </si>
  <si>
    <t>WHF-OS-BAKIHAMNA-L</t>
  </si>
  <si>
    <t>WHF-OS-BAKIHAMNA-XL</t>
  </si>
  <si>
    <t>WHF-HO-DYNAMIGHT-S</t>
  </si>
  <si>
    <t>06 - Bankai Hoodie</t>
  </si>
  <si>
    <t>49 - Tanjiro Black x3</t>
  </si>
  <si>
    <t>Bankai Hoodie&lt;19-Sep-2025&gt; [0.48] |0.25|</t>
  </si>
  <si>
    <t>black_hoodie</t>
  </si>
  <si>
    <t>H-Bankai-S</t>
  </si>
  <si>
    <t>H-Bankai-M</t>
  </si>
  <si>
    <t>H-Bankai-L</t>
  </si>
  <si>
    <t>H-Bankai-XL</t>
  </si>
  <si>
    <t>WHF-HO-BANKAI-S</t>
  </si>
  <si>
    <t>WHF-HO-BANKAI-M</t>
  </si>
  <si>
    <t>WHF-HO-BANKAI-L</t>
  </si>
  <si>
    <t>WHF-HO-BANKAI-XL</t>
  </si>
  <si>
    <t>07 - Blades of Chaos</t>
  </si>
  <si>
    <t>Blades of Chaos&lt;19-Sep-2025&gt; [0.46] |0.62|</t>
  </si>
  <si>
    <t>OS-Chaos-S</t>
  </si>
  <si>
    <t>OS-Chaos-M</t>
  </si>
  <si>
    <t>OS-Chaos-L</t>
  </si>
  <si>
    <t>OS-Chaos-XL</t>
  </si>
  <si>
    <t>WHF-OS-Blade-S</t>
  </si>
  <si>
    <t>WHF-OS-Blade-M</t>
  </si>
  <si>
    <t>WHF-OS-Blade-L</t>
  </si>
  <si>
    <t>WHF-OS-Blade-XL</t>
  </si>
  <si>
    <t>08 - Bungee 09Jan2026</t>
  </si>
  <si>
    <t>55 - Choso x1</t>
  </si>
  <si>
    <t>Bungee&lt;19-Sep-2025&gt; [0.93] |0.57|</t>
  </si>
  <si>
    <t>OS-Bungee-S</t>
  </si>
  <si>
    <t>OS-Bungee-M</t>
  </si>
  <si>
    <t>OS-Bungee-L</t>
  </si>
  <si>
    <t>OS-Bungee-XL</t>
  </si>
  <si>
    <t>WHF-OS-Bungee-S</t>
  </si>
  <si>
    <t>WHF-OS-Bungee-M</t>
  </si>
  <si>
    <t>WHF-OS-Bungee-L</t>
  </si>
  <si>
    <t>WHF-OS-Bungee-XL</t>
  </si>
  <si>
    <t>Bungee Hoodie&lt;19-Sep-2025&gt; [1] |0.62|</t>
  </si>
  <si>
    <t>WHF-OS-THNDR-L</t>
  </si>
  <si>
    <t>WHF-HO-BUNGEE-HOODIE-S</t>
  </si>
  <si>
    <t>WHF-HO-BUNGEE-HOODIE-M</t>
  </si>
  <si>
    <t>61 - Wukong x1</t>
  </si>
  <si>
    <t>WHF-HO-BUNGEE-HOODIE-L</t>
  </si>
  <si>
    <t>WHF-HO-BUNGEE-HOODIE-XL</t>
  </si>
  <si>
    <t>09 - Chain Hoodie</t>
  </si>
  <si>
    <t>Chain Hoodie&lt;19-Sep-2025&gt; [0.24] |0.06|</t>
  </si>
  <si>
    <t>WHF-OS-TANJIRO-BLACK-S</t>
  </si>
  <si>
    <t>Chain-Hoodie-S</t>
  </si>
  <si>
    <t>Chain-Hoodie-M</t>
  </si>
  <si>
    <t>76 - Zenitsu Thunder 18Dec2025 x1</t>
  </si>
  <si>
    <t>Chain-Hoodie-L</t>
  </si>
  <si>
    <t>Chain-Hoodie-XL</t>
  </si>
  <si>
    <t>WHF-HO-CHAIN-S</t>
  </si>
  <si>
    <t>WHF-HO-CHAIN-M</t>
  </si>
  <si>
    <t>WHF-HO-CHAIN-L</t>
  </si>
  <si>
    <t>WHF-HO-CHAIN-XL</t>
  </si>
  <si>
    <t>10 - Chain</t>
  </si>
  <si>
    <t>Chain&lt;19-Sep-2025&gt; [1] |1.07|</t>
  </si>
  <si>
    <t>WHF-OS-GOJO-NAVY-S</t>
  </si>
  <si>
    <t>OS-Chain-S</t>
  </si>
  <si>
    <t>OS-Chain-M</t>
  </si>
  <si>
    <t>OS-Chain-L</t>
  </si>
  <si>
    <t>OS-Chain-XL</t>
  </si>
  <si>
    <t>WHF-OS-CHAIN-S</t>
  </si>
  <si>
    <t>79 - Fox Devil x1</t>
  </si>
  <si>
    <t>WHF-OS-CHAIN-M</t>
  </si>
  <si>
    <t>WHF-OS-CHAIN-L</t>
  </si>
  <si>
    <t>WHF-OS-CHAIN-XL</t>
  </si>
  <si>
    <t>11 - Chainsawman</t>
  </si>
  <si>
    <t>Chainsawman&lt;19-Sep-2025&gt; [0.18] |0.02|</t>
  </si>
  <si>
    <t>WHF-OS-CHAINSAWMAN-S</t>
  </si>
  <si>
    <t>WHF-OS-CHAINSAWMAN-M</t>
  </si>
  <si>
    <t>WHF-OS-CHAINSAWMAN-L</t>
  </si>
  <si>
    <t>WHF-OS-CHAINSAWMAN-XL</t>
  </si>
  <si>
    <t>12 - Dandadan</t>
  </si>
  <si>
    <t>WHF-PANT-BERSERK-XL</t>
  </si>
  <si>
    <t>Dandadan&lt;19-Sep-2025&gt; [0.28] |0.10|</t>
  </si>
  <si>
    <t>OS-Dandadan-S</t>
  </si>
  <si>
    <t>OS-Dandadan-M</t>
  </si>
  <si>
    <t>OS-Dandadan-L</t>
  </si>
  <si>
    <t>OS-Dandadan-XL</t>
  </si>
  <si>
    <t>WHF-OS-DANDADAN-S</t>
  </si>
  <si>
    <t>WHF-OS-DANDADAN-M</t>
  </si>
  <si>
    <t>96 - Dynamight 08Dec25 x1</t>
  </si>
  <si>
    <t>WHF-OS-DANDADAN-L</t>
  </si>
  <si>
    <t>WHF-OS-DANDADAN-XL</t>
  </si>
  <si>
    <t>13 - Death Note</t>
  </si>
  <si>
    <t>Death Note&lt;19-Sep-2025&gt; [0.24] |0.04|</t>
  </si>
  <si>
    <t>taupe_tshirt</t>
  </si>
  <si>
    <t>OS-DEATH-NOTE-S</t>
  </si>
  <si>
    <t>WHF-OS-BLACK-BULL-S</t>
  </si>
  <si>
    <t>OS-DEATH-NOTE-M</t>
  </si>
  <si>
    <t>OS-DEATH-NOTE-L</t>
  </si>
  <si>
    <t>OS-DEATH-NOTE-XL</t>
  </si>
  <si>
    <t>99 - Berserk Pent 25March26 x2</t>
  </si>
  <si>
    <t>WHF-OS-DeathNote-S</t>
  </si>
  <si>
    <t>WHF-OS-DeathNote-M</t>
  </si>
  <si>
    <t>WHF-OS-DeathNote-L</t>
  </si>
  <si>
    <t>WHF-OS-DeathNote-XL</t>
  </si>
  <si>
    <t>14 - Dragon Slayer</t>
  </si>
  <si>
    <t>Dragon Slayer&lt;19-Sep-2025&gt; [0.29] |0.26|</t>
  </si>
  <si>
    <t>OS-Berserk-S</t>
  </si>
  <si>
    <t>OS-Berserk-M</t>
  </si>
  <si>
    <t>OS-Berserk-L</t>
  </si>
  <si>
    <t>WHF-OS-BLACK-BULL-L</t>
  </si>
  <si>
    <t>OS-Berserk-XL</t>
  </si>
  <si>
    <t>WHF-OS-BERSERK-S</t>
  </si>
  <si>
    <t>WHF-OS-BERSERK-M</t>
  </si>
  <si>
    <t>WHF-OS-BERSERK-L</t>
  </si>
  <si>
    <t>102 - Chrollo Grey Tshirt 27April26 x1</t>
  </si>
  <si>
    <t>WHF-OS-BERSERK-XL</t>
  </si>
  <si>
    <t>Dragon Slayer Hoodie&lt;19-Sep-2025&gt; [0.59] |0.22|</t>
  </si>
  <si>
    <t>off_white_hoodie</t>
  </si>
  <si>
    <t>WHF-HO-BERSERK-HOODIE-S</t>
  </si>
  <si>
    <t>WHF-HO-BERSERK-HOODIE-M</t>
  </si>
  <si>
    <t>WHF-HO-BERSERK-HOODIE-L</t>
  </si>
  <si>
    <t>WHF-HO-BERSERK-HOODIE-XL</t>
  </si>
  <si>
    <t>15 - Eren Black</t>
  </si>
  <si>
    <t>Eren Black&lt;19-Sep-2025&gt; [0.57] |0.31|</t>
  </si>
  <si>
    <t>WHF-OS-TANJIRO-BLACK-L</t>
  </si>
  <si>
    <t>OS-0013S-Black</t>
  </si>
  <si>
    <t>OS-0013M-Black</t>
  </si>
  <si>
    <t>OS-0013L-Black</t>
  </si>
  <si>
    <t>OS-0013XL-Black</t>
  </si>
  <si>
    <t>109 - Bungee Gum Pent 27April26 x1</t>
  </si>
  <si>
    <t>WHF-OS-EREN-S</t>
  </si>
  <si>
    <t>WHF-OS-EREN-M</t>
  </si>
  <si>
    <t>Group 2</t>
  </si>
  <si>
    <t>WHF-OS-EREN-L</t>
  </si>
  <si>
    <t>WHF-OS-EREN-XL</t>
  </si>
  <si>
    <t>16 - Gaara Fire</t>
  </si>
  <si>
    <t>Gaara Fire&lt;19-Sep-2025&gt; [0.15] |0.00|</t>
  </si>
  <si>
    <t>WHF-OS-GAARA-FIRE-S</t>
  </si>
  <si>
    <t>WHF-OS-GAARA-FIRE-M</t>
  </si>
  <si>
    <t>WHF-OS-GAARA-FIRE-L</t>
  </si>
  <si>
    <t>WHF-OS-GAARA-FIRE-XL</t>
  </si>
  <si>
    <t>17 - Gaara Hands</t>
  </si>
  <si>
    <t>Gaara Hands Black&lt;19-Sep-2025&gt; [0.2] |0.03|</t>
  </si>
  <si>
    <t>148 - Black Bull 03July26 x2</t>
  </si>
  <si>
    <t>WHF-OS-GAARA-HAND-Black-S</t>
  </si>
  <si>
    <t>WHF-OS-GAARA-HAND-Black-M</t>
  </si>
  <si>
    <t>WHF-OS-GAARA-HAND-Black-L</t>
  </si>
  <si>
    <t>WHF-OS-GAARA-HAND-Black-XL</t>
  </si>
  <si>
    <t>Gaara Hands White&lt;19-Sep-2025&gt; { https\://www\.whitehusk.com/products/friendly-neighborhood-hero-oversized-tshirt } [0.1] |0.00|</t>
  </si>
  <si>
    <t>153 - Hand Clap 03July26 x1</t>
  </si>
  <si>
    <t>WHF-OS-GAARA-HAND-White-S</t>
  </si>
  <si>
    <t>WHF-OS-GAARA-HAND-White-M</t>
  </si>
  <si>
    <t>WHF-OS-GAARA-HAND-White-L</t>
  </si>
  <si>
    <t>WHF-OS-GAARA-HAND-White-XL</t>
  </si>
  <si>
    <t>Gaara Hands Taupe&lt;19-Sep-2025&gt; [0.1] |0.00|</t>
  </si>
  <si>
    <t>WHF-OS-GAARA-HAND-Taupe-S</t>
  </si>
  <si>
    <t>WHF-OS-GAARA-HAND-Taupe-M</t>
  </si>
  <si>
    <t>WHF-OS-GAARA-HAND-Taupe-L</t>
  </si>
  <si>
    <t>WHF-OS-GAARA-HAND-Taupe-XL</t>
  </si>
  <si>
    <t>160 - SpiderMan Black Tshirt 30Aug26 x1</t>
  </si>
  <si>
    <t>18 - Gaara Sand</t>
  </si>
  <si>
    <t>Gaara Sand&lt;19-Sep-2025&gt; [0.1] |0.00|</t>
  </si>
  <si>
    <t>165 - Evangelion x1</t>
  </si>
  <si>
    <t>WHF-OS-GAARA-SAND-S</t>
  </si>
  <si>
    <t>WHF-OS-FOX-DEVIL-XL</t>
  </si>
  <si>
    <t>WHF-OS-GAARA-SAND-M</t>
  </si>
  <si>
    <t>WHF-OS-GAARA-SAND-L</t>
  </si>
  <si>
    <t>WHF-OS-GAARA-SAND-XL</t>
  </si>
  <si>
    <t>19 - Garou</t>
  </si>
  <si>
    <t>Garou&lt;19-Sep-2025&gt; [0.21] |0.09|</t>
  </si>
  <si>
    <t>os-garou-s</t>
  </si>
  <si>
    <t>os-garou-m</t>
  </si>
  <si>
    <t>os-garou-l</t>
  </si>
  <si>
    <t>os-garou-xl</t>
  </si>
  <si>
    <t>WHF-OS-GAROU-S</t>
  </si>
  <si>
    <t>WHF-OS-GAROU-M</t>
  </si>
  <si>
    <t>WHF-OS-GAROU-L</t>
  </si>
  <si>
    <t>WHF-OS-GAROU-XL</t>
  </si>
  <si>
    <t>20 - Gear 5</t>
  </si>
  <si>
    <t>Gear 5&lt;19-Sep-2025&gt; [0.37] |0.16|</t>
  </si>
  <si>
    <t>WHF-OS-EVANGELION-M</t>
  </si>
  <si>
    <t>PB-01-S-Thunder</t>
  </si>
  <si>
    <t>PB-01-M-Thunder</t>
  </si>
  <si>
    <t>PB-01-L-Thunder</t>
  </si>
  <si>
    <t>PB-01-XL-Thunder</t>
  </si>
  <si>
    <t>WHF-OS-GEAR5-S</t>
  </si>
  <si>
    <t>WHF-OS-GEAR5-M</t>
  </si>
  <si>
    <t>WHF-OS-GEAR5-L</t>
  </si>
  <si>
    <t>WHF-OS-GEAR5-XL</t>
  </si>
  <si>
    <t>21 - Genius</t>
  </si>
  <si>
    <t>Gear 5 Hoodie&lt;19-Sep-2025&gt; [0.19] |0.03|</t>
  </si>
  <si>
    <t>WHF-HO-GEAR-5-HOODIE-S</t>
  </si>
  <si>
    <t>WHF-HO-GEAR-5-HOODIE-M</t>
  </si>
  <si>
    <t>WHF-OS-HAND-CLAP-M</t>
  </si>
  <si>
    <t>WHF-HO-GEAR-5-HOODIE-L</t>
  </si>
  <si>
    <t>WHF-HO-GEAR-5-HOODIE-XL</t>
  </si>
  <si>
    <t>22 - Geto</t>
  </si>
  <si>
    <t>Genius - Nagi&lt;19-Sep-2025&gt; [0.29] |0.27|</t>
  </si>
  <si>
    <t>23 - Ghost</t>
  </si>
  <si>
    <t>grey_tshirt</t>
  </si>
  <si>
    <t>WHF-PANT-BERSERK-S</t>
  </si>
  <si>
    <t>OS-Nagi-S</t>
  </si>
  <si>
    <t>OS-Nagi-M</t>
  </si>
  <si>
    <t>OS-Nagi-L</t>
  </si>
  <si>
    <t>OS-Nagi-XL</t>
  </si>
  <si>
    <t>WH-OS-NAGI-S</t>
  </si>
  <si>
    <t>WH-OS-NAGI-M</t>
  </si>
  <si>
    <t>WH-OS-NAGI-L</t>
  </si>
  <si>
    <t>WH-OS-NAGI-XL</t>
  </si>
  <si>
    <t>Geto&lt;19-Sep-2025&gt; [0.41] |0.06|</t>
  </si>
  <si>
    <t>bottle_green_tshirt</t>
  </si>
  <si>
    <t>OS-Geto-S</t>
  </si>
  <si>
    <t>OS-Geto-M</t>
  </si>
  <si>
    <t>OS-Geto-L</t>
  </si>
  <si>
    <t>24 - Gojo</t>
  </si>
  <si>
    <t>OS-Geto-XL</t>
  </si>
  <si>
    <t>WHF-OS-GETO-S</t>
  </si>
  <si>
    <t>WHF-OS-GETO-M</t>
  </si>
  <si>
    <t>WHF-OS-GETO-L</t>
  </si>
  <si>
    <t>WHF-OS-GETO-XL</t>
  </si>
  <si>
    <t>Ghost&lt;19-Sep-2025&gt; [0.47] |0.30|</t>
  </si>
  <si>
    <t>Group 3</t>
  </si>
  <si>
    <t>royal_blue_tshirt</t>
  </si>
  <si>
    <t>OS-GHOST-S</t>
  </si>
  <si>
    <t>OS-GHOST-M</t>
  </si>
  <si>
    <t>OS-GHOST-L</t>
  </si>
  <si>
    <t>OS-GHOST-XL</t>
  </si>
  <si>
    <t>WH-OS-GHOST-S</t>
  </si>
  <si>
    <t>WH-OS-GHOST-M</t>
  </si>
  <si>
    <t>WH-OS-GHOST-L</t>
  </si>
  <si>
    <t>WH-OS-GHOST-XL</t>
  </si>
  <si>
    <t>Gojo Navy&lt;19-Sep-2025&gt; [1] |0.25|</t>
  </si>
  <si>
    <t>25 - Grimmjow website</t>
  </si>
  <si>
    <t>navy_tshirt</t>
  </si>
  <si>
    <t>OS-Gojo-S-Navy</t>
  </si>
  <si>
    <t>OS-Gojo-M-Navy</t>
  </si>
  <si>
    <t>OS-Gojo-L-Navy</t>
  </si>
  <si>
    <t>OS-Gojo-XL-Navy</t>
  </si>
  <si>
    <t>WHF-OS-GOJO-NAVY-M</t>
  </si>
  <si>
    <t>WHF-OS-GOJO-NAVY-L</t>
  </si>
  <si>
    <t>WHF-OS-GOJO-NAVY-XL</t>
  </si>
  <si>
    <t>Gojo Black&lt;19-Sep-2025&gt; [0.83] |0.48|</t>
  </si>
  <si>
    <t>OS-Gojo-S-Black</t>
  </si>
  <si>
    <t>OS-Gojo-M-Black</t>
  </si>
  <si>
    <t>OS-Gojo-L-Black</t>
  </si>
  <si>
    <t>OS-Gojo-XL-Black</t>
  </si>
  <si>
    <t>WHF-OS-GOJO-BLACK-S</t>
  </si>
  <si>
    <t>WHF-OS-GOJO-BLACK-M</t>
  </si>
  <si>
    <t>WHF-OS-GOJO-BLACK-L</t>
  </si>
  <si>
    <t>WHF-OS-GOJO-BLACK-XL</t>
  </si>
  <si>
    <t>Grimmjow website[0.1]&lt;19-Sep-2025&gt;</t>
  </si>
  <si>
    <t>WHF-OS-CHROLLO-GREY-XL</t>
  </si>
  <si>
    <t>26 - Haikyu</t>
  </si>
  <si>
    <t>WHF-OS-WUKONG-XL</t>
  </si>
  <si>
    <t>Haikyu Cream&lt;19-Sep-2025&gt; [0.24] |0.18|</t>
  </si>
  <si>
    <t>Haikyu-S-Cream</t>
  </si>
  <si>
    <t>Haikyu-M-Cream</t>
  </si>
  <si>
    <t>Haikyu-L-Cream</t>
  </si>
  <si>
    <t>Haikyu-XL-Cream</t>
  </si>
  <si>
    <t>WHF-OS-Haikyuu-Cream-S</t>
  </si>
  <si>
    <t>27 - Igris</t>
  </si>
  <si>
    <t>WHF-OS-Haikyuu-Cream-M</t>
  </si>
  <si>
    <t>WHF-OS-Haikyuu-Cream-L</t>
  </si>
  <si>
    <t>WHF-OS-Haikyuu-Cream-XL</t>
  </si>
  <si>
    <t>28 - Isagi</t>
  </si>
  <si>
    <t>Haikyu Black&lt;19-Sep-2025&gt; [0.47] |0.22|</t>
  </si>
  <si>
    <t>WHF-OS-CHOSO-XL</t>
  </si>
  <si>
    <t>Haikyu-S-Black</t>
  </si>
  <si>
    <t>Haikyu-M-Black</t>
  </si>
  <si>
    <t>Haikyu-L-Black</t>
  </si>
  <si>
    <t>29 - Itachi</t>
  </si>
  <si>
    <t>Haikyu-XL-Black</t>
  </si>
  <si>
    <t>WHF-OS-Haikyuu-Black-S</t>
  </si>
  <si>
    <t>WHF-OS-Haikyuu-Black-M</t>
  </si>
  <si>
    <t>WHF-OS-Haikyuu-Black-L</t>
  </si>
  <si>
    <t>WHF-OS-Haikyuu-Black-XL</t>
  </si>
  <si>
    <t>30 - Jin Woo 9Dec25</t>
  </si>
  <si>
    <t>Igris&lt;19-Sep-2025&gt; [0.64] |0.00|</t>
  </si>
  <si>
    <t>31 - Jiraya</t>
  </si>
  <si>
    <t>ice_blue_tshirt</t>
  </si>
  <si>
    <t>OS-Igris-S</t>
  </si>
  <si>
    <t>32 - Kakashi</t>
  </si>
  <si>
    <t>OS-Igris-M</t>
  </si>
  <si>
    <t>OS-Igris-L</t>
  </si>
  <si>
    <t>OS-Igris-XL</t>
  </si>
  <si>
    <t>WHF-OS-Igris-S</t>
  </si>
  <si>
    <t>WHF-OS-Igris-M</t>
  </si>
  <si>
    <t>WHF-OS-Igris-L</t>
  </si>
  <si>
    <t>WHF-OS-Igris-XL</t>
  </si>
  <si>
    <t>Isagi&lt;19-Sep-2025&gt; [0.76] |0.37|</t>
  </si>
  <si>
    <t>OS-Isagi-S</t>
  </si>
  <si>
    <t>OS-Isagi-M</t>
  </si>
  <si>
    <t>OS-Isagi-L</t>
  </si>
  <si>
    <t>OS-Isagi-XL</t>
  </si>
  <si>
    <t>WHF-OS-Isagi-S</t>
  </si>
  <si>
    <t>WHF-OS-Isagi-M</t>
  </si>
  <si>
    <t>WHF-OS-Isagi-L</t>
  </si>
  <si>
    <t>WHF-OS-Isagi-XL</t>
  </si>
  <si>
    <t>Itachi&lt;19-Sep-2025&gt; [0.51] |0.48|</t>
  </si>
  <si>
    <t>33 - Killua</t>
  </si>
  <si>
    <t>sage_green_tshirt</t>
  </si>
  <si>
    <t>OS-200-Itachi-S</t>
  </si>
  <si>
    <t>OS-200-Itachi-M</t>
  </si>
  <si>
    <t>OS-200-Itachi-L</t>
  </si>
  <si>
    <t>OS-200-Itachi-XL</t>
  </si>
  <si>
    <t>WHF-OS-ITACHI-S</t>
  </si>
  <si>
    <t>holidays</t>
  </si>
  <si>
    <t>WHF-OS-ITACHI-M</t>
  </si>
  <si>
    <t>WHF-OS-ITACHI-L</t>
  </si>
  <si>
    <t>WHF-OS-ITACHI-XL</t>
  </si>
  <si>
    <t>112 - Cherry Blossom 26May26 x1</t>
  </si>
  <si>
    <t>Jin Woo&lt;19-Sep-2025&gt; [0.45] |0.51|</t>
  </si>
  <si>
    <t>OS-Jinwoo-S</t>
  </si>
  <si>
    <t>OS-Jinwoo-M</t>
  </si>
  <si>
    <t>OS-Jinwoo-L</t>
  </si>
  <si>
    <t>OS-Jinwoo-XL</t>
  </si>
  <si>
    <t>WHF-OS-JinWoo-S</t>
  </si>
  <si>
    <t>WHF-OS-JinWoo-M</t>
  </si>
  <si>
    <t>34 - Kira</t>
  </si>
  <si>
    <t>WHF-OS-JinWoo-L</t>
  </si>
  <si>
    <t>WHF-OS-JinWoo-XL</t>
  </si>
  <si>
    <t>Jin Woo Hoodie&lt;19-Sep-2025&gt; [0.58] |0.00|</t>
  </si>
  <si>
    <t>WHF-HO-JINWOO-S</t>
  </si>
  <si>
    <t>35 - Levi Taupe</t>
  </si>
  <si>
    <t>WHF-HO-JINWOO-M</t>
  </si>
  <si>
    <t>WHF-HO-JINWOO-L</t>
  </si>
  <si>
    <t>WHF-HO-JINWOO-XL</t>
  </si>
  <si>
    <t>WHF-HO-JINWOO-HOODIE-S</t>
  </si>
  <si>
    <t>WHF-HO-JINWOO-HOODIE-M</t>
  </si>
  <si>
    <t>WHF-HO-JINWOO-HOODIE-L</t>
  </si>
  <si>
    <t>WHF-HO-JINWOO-HOODIE-XL</t>
  </si>
  <si>
    <t>36 - Levi White</t>
  </si>
  <si>
    <t>Jiraya&lt;19-Sep-2025&gt; [0.22] |0.05|</t>
  </si>
  <si>
    <t>OS-Jiraya-S</t>
  </si>
  <si>
    <t>OS-Jiraya-M</t>
  </si>
  <si>
    <t>OS-Jiraya-L</t>
  </si>
  <si>
    <t>OS-Jiraya-XL</t>
  </si>
  <si>
    <t>Group 4</t>
  </si>
  <si>
    <t>WHF-OS-JIRAYA-S</t>
  </si>
  <si>
    <t>WHF-OS-JIRAYA-M</t>
  </si>
  <si>
    <t>WHF-OS-JIRAYA-L</t>
  </si>
  <si>
    <t>WHF-OS-JIRAYA-XL</t>
  </si>
  <si>
    <t>Kakashi White&lt;19-Sep-2025&gt; [0.1] |0.00|</t>
  </si>
  <si>
    <t>OS-0018-S-White</t>
  </si>
  <si>
    <t>OS-0018-M-White</t>
  </si>
  <si>
    <t>OS-0018-L-White</t>
  </si>
  <si>
    <t>OS-0018-XL-White</t>
  </si>
  <si>
    <t>WHF-OS-KAKASHI-WHITE-S</t>
  </si>
  <si>
    <t>37 - Levithan Axe</t>
  </si>
  <si>
    <t>WHF-OS-KAKASHI-WHITE-M</t>
  </si>
  <si>
    <t>WHF-OS-KAKASHI-WHITE-L</t>
  </si>
  <si>
    <t>WHF-OS-KAKASHI-WHITE-XL</t>
  </si>
  <si>
    <t>Kakashi Taupe&lt;19-Sep-2025&gt; [0.21] |0.02|</t>
  </si>
  <si>
    <t>OS-0018-S-Taupe</t>
  </si>
  <si>
    <t>OS-0018-M-Taupe</t>
  </si>
  <si>
    <t>OS-0018-L-Taupe</t>
  </si>
  <si>
    <t>OS-0018-XL-Taupe</t>
  </si>
  <si>
    <t>38 - Limitless Big</t>
  </si>
  <si>
    <t>WHF-OS-KAKASHI-TAUPE-S</t>
  </si>
  <si>
    <t>WHF-OS-KAKASHI-TAUPE-M</t>
  </si>
  <si>
    <t>WHF-OS-KAKASHI-TAUPE-L</t>
  </si>
  <si>
    <t>WHF-OS-KAKASHI-TAUPE-XL</t>
  </si>
  <si>
    <t>Killua&lt;19-Sep-2025&gt; [0.17] |0.01|</t>
  </si>
  <si>
    <t>OS_Killua_S</t>
  </si>
  <si>
    <t>OS_Killua_M</t>
  </si>
  <si>
    <t>OS_Killua_L</t>
  </si>
  <si>
    <t>OS_Killua_XL</t>
  </si>
  <si>
    <t>WHF-OS-KILLUA-S</t>
  </si>
  <si>
    <t>WHF-OS-KILLUA-M</t>
  </si>
  <si>
    <t>WHF-OS-KILLUA-L</t>
  </si>
  <si>
    <t>WHF-OS-KILLUA-XL</t>
  </si>
  <si>
    <t>Kira&lt;19-Sep-2025&gt; [0.22] |0.03|</t>
  </si>
  <si>
    <t>39 - Mikey</t>
  </si>
  <si>
    <t>OS-KIRA-S-Taupe</t>
  </si>
  <si>
    <t>OS-KIRA-M-Taupe</t>
  </si>
  <si>
    <t>OS-KIRA-L-Taupe</t>
  </si>
  <si>
    <t>OS-KIRA-XL-Taupe</t>
  </si>
  <si>
    <t>WHF-OS-KIRA-S</t>
  </si>
  <si>
    <t>WHF-OS-KIRA-M</t>
  </si>
  <si>
    <t>WHF-OS-KIRA-L</t>
  </si>
  <si>
    <t>WHF-OS-KIRA-XL</t>
  </si>
  <si>
    <t>40 - Mjolnir</t>
  </si>
  <si>
    <t>Levi Taupe&lt;19-Sep-2025&gt; [1] |0.45|</t>
  </si>
  <si>
    <t>OS-0009-S-Taupe</t>
  </si>
  <si>
    <t>OS-0009-M-Taupe</t>
  </si>
  <si>
    <t>OS-0009-L-Taupe</t>
  </si>
  <si>
    <t>OS-0009-XL-Taupe</t>
  </si>
  <si>
    <t>WHF-OS-LEVI-Taupe-S</t>
  </si>
  <si>
    <t>WHF-OS-LEVI-Taupe-M</t>
  </si>
  <si>
    <t>WHF-OS-LEVI-Taupe-L</t>
  </si>
  <si>
    <t>41 - Naru Hina</t>
  </si>
  <si>
    <t>WHF-OS-LEVI-Taupe-XL</t>
  </si>
  <si>
    <t>lakhvanu baki che Thursday</t>
  </si>
  <si>
    <t>Levi White&lt;19-Sep-2025&gt; [0.88] |0.44|</t>
  </si>
  <si>
    <t>OS-0009-S-White</t>
  </si>
  <si>
    <t>OS-0009-M-White</t>
  </si>
  <si>
    <t>OS-0009-L-White</t>
  </si>
  <si>
    <t>OS-0009-XL-White</t>
  </si>
  <si>
    <t>WHF-OS-LEVI-White-S</t>
  </si>
  <si>
    <t>42 - Naruto Streetwear</t>
  </si>
  <si>
    <t>WHF-OS-LEVI-White-M</t>
  </si>
  <si>
    <t>WHF-OS-LEVI-White-L</t>
  </si>
  <si>
    <t>WHF-OS-LEVI-White-XL</t>
  </si>
  <si>
    <t>Levithan Axe&lt;19-Sep-2025&gt; [1] |1.68|</t>
  </si>
  <si>
    <t>43 - Pain</t>
  </si>
  <si>
    <t>OS-Leviathan-S</t>
  </si>
  <si>
    <t>OS-Leviathan-M</t>
  </si>
  <si>
    <t>OS-Leviathan-L</t>
  </si>
  <si>
    <t>OS-Leviathan-XL</t>
  </si>
  <si>
    <t>WHF-OS-Leviathan-S</t>
  </si>
  <si>
    <t>WHF-OS-Leviathan-M</t>
  </si>
  <si>
    <t>WHF-OS-Leviathan-L</t>
  </si>
  <si>
    <t>WHF-OS-Leviathan-XL</t>
  </si>
  <si>
    <t>44 - Saitama 15Dec2025</t>
  </si>
  <si>
    <t>45 - Sasuke</t>
  </si>
  <si>
    <t>Limitless Big[0.05]&lt;19-Sep-2025&gt;</t>
  </si>
  <si>
    <t>46 - Shenron</t>
  </si>
  <si>
    <t>Mikey&lt;19-Sep-2025&gt; [0.1] |0.00|</t>
  </si>
  <si>
    <t>OS-0005-S</t>
  </si>
  <si>
    <t>OS-0005-M</t>
  </si>
  <si>
    <t>OS-0005-L</t>
  </si>
  <si>
    <t>47 - Sukuna Old</t>
  </si>
  <si>
    <t>OS-0005-XL</t>
  </si>
  <si>
    <t>WHF-OS-MIKEY-S</t>
  </si>
  <si>
    <t>WHF-OS-MIKEY-M</t>
  </si>
  <si>
    <t>WHF-OS-MIKEY-L</t>
  </si>
  <si>
    <t>WHF-OS-MIKEY-XL</t>
  </si>
  <si>
    <t>48 - Sukuna</t>
  </si>
  <si>
    <t>Group 5</t>
  </si>
  <si>
    <t>Mjolnir Navy Blue&lt;19-Sep-2025&gt; [0.84] |0.20|</t>
  </si>
  <si>
    <t>OS-Mjolnir-S</t>
  </si>
  <si>
    <t>OS-Mjolnir-M</t>
  </si>
  <si>
    <t>OS-Mjolnir-L</t>
  </si>
  <si>
    <t>OS-Mjolnir-XL</t>
  </si>
  <si>
    <t>49 - Tanjiro Black</t>
  </si>
  <si>
    <t>WHF-OS-Mjolnir-S</t>
  </si>
  <si>
    <t>WHF-OS-Mjolnir-M</t>
  </si>
  <si>
    <t>WHF-OS-Mjolnir-L</t>
  </si>
  <si>
    <t>WHF-OS-Mjolnir-XL</t>
  </si>
  <si>
    <t>50 - Tanjiro Brown</t>
  </si>
  <si>
    <t>Naru Hina&lt;19-Sep-2025&gt; [0.27] |0.08|</t>
  </si>
  <si>
    <t>51 - Toji</t>
  </si>
  <si>
    <t>OS-NaruHina-S</t>
  </si>
  <si>
    <t>OS-NaruHina-M</t>
  </si>
  <si>
    <t>OS-NaruHina-L</t>
  </si>
  <si>
    <t>OS-NaruHina-XL</t>
  </si>
  <si>
    <t>WHF-OS-NARU-HINA-S</t>
  </si>
  <si>
    <t>WHF-OS-NARU-HINA-M</t>
  </si>
  <si>
    <t>52 - Tokyo Manji</t>
  </si>
  <si>
    <t>WHF-OS-NARU-HINA-L</t>
  </si>
  <si>
    <t>WHF-OS-NARU-HINA-XL</t>
  </si>
  <si>
    <t>53 - Vasto Lorde</t>
  </si>
  <si>
    <t>Naru Hina Hoodie&lt;19-Sep-2025&gt; [0.27] |0.09|</t>
  </si>
  <si>
    <t>WHF-HO-NARU-HINA-HOODIE-S</t>
  </si>
  <si>
    <t>54 - Velocity</t>
  </si>
  <si>
    <t>WHF-HO-NARU-HINA-HOODIE-M</t>
  </si>
  <si>
    <t>WHF-HO-NARU-HINA-HOODIE-L</t>
  </si>
  <si>
    <t>WHF-HO-NARU-HINA-HOODIE-XL</t>
  </si>
  <si>
    <t>WHF-HO-NARUHINA-HOODIE-S</t>
  </si>
  <si>
    <t>WHF-HO-NARUHINA-HOODIE-M</t>
  </si>
  <si>
    <t>55 - Choso</t>
  </si>
  <si>
    <t>WHF-HO-NARUHINA-HOODIE-L</t>
  </si>
  <si>
    <t>WHF-HO-NARUHINA-HOODIE-XL</t>
  </si>
  <si>
    <t>Naruto Streetwear&lt;19-Sep-2025&gt; [0.15] |0.00|</t>
  </si>
  <si>
    <t>56 - Tokyo Ghoul Hoodie</t>
  </si>
  <si>
    <t>WHF-OS-NARUTOSTRT-S</t>
  </si>
  <si>
    <t>WHF-OS-NARUTOSTRT-M</t>
  </si>
  <si>
    <t>WHF-OS-NARUTOSTRT-L</t>
  </si>
  <si>
    <t>WHF-OS-NARUTOSTRT-XL</t>
  </si>
  <si>
    <t>Pain&lt;19-Sep-2025&gt; [0.1] |0.00|</t>
  </si>
  <si>
    <t>WHF-OS-PAIN-S</t>
  </si>
  <si>
    <t>WHF-OS-PAIN-M</t>
  </si>
  <si>
    <t>WHF-OS-PAIN-L</t>
  </si>
  <si>
    <t>WHF-OS-PAIN-XL</t>
  </si>
  <si>
    <t>57 - Limitless Small</t>
  </si>
  <si>
    <t>Saitama&lt;19-Sep-2025&gt; [0.25] |0.06|</t>
  </si>
  <si>
    <t>OS-SAITAMA-S</t>
  </si>
  <si>
    <t>OS-SAITAMA-M</t>
  </si>
  <si>
    <t>OS-SAITAMA-L</t>
  </si>
  <si>
    <t>OS-SAITAMA-XL</t>
  </si>
  <si>
    <t>58 - Freedom</t>
  </si>
  <si>
    <t>WH-OS-SAITAMA-S</t>
  </si>
  <si>
    <t>WH-OS-SAITAMA-M</t>
  </si>
  <si>
    <t>WH-OS-SAITAMA-L</t>
  </si>
  <si>
    <t>WH-OS-SAITAMA-XL</t>
  </si>
  <si>
    <t>Sasuke&lt;19-Sep-2025&gt; [1] |0.65|</t>
  </si>
  <si>
    <t>WHF-OS-SASUKE-S</t>
  </si>
  <si>
    <t>WHF-OS-SASUKE-M</t>
  </si>
  <si>
    <t>WHF-OS-SASUKE-L</t>
  </si>
  <si>
    <t>59 - Grimmjow Myntra</t>
  </si>
  <si>
    <t>WHF-OS-SASUKE-Xl</t>
  </si>
  <si>
    <t>Shenron&lt;19-Sep-2025&gt; [0.19] |0.03|</t>
  </si>
  <si>
    <t>WHF-OS-SHENRON-S</t>
  </si>
  <si>
    <t>WHF-OS-SHENRON-M</t>
  </si>
  <si>
    <t>WHF-OS-SHENRON-L</t>
  </si>
  <si>
    <t>WHF-OS-SHENRON-XL</t>
  </si>
  <si>
    <t>Sukuna Old&lt;19-Sep-2025&gt; [0.21] |0.05|</t>
  </si>
  <si>
    <t>REG-SUKUNA-S</t>
  </si>
  <si>
    <t>REG-SUKUNA-M</t>
  </si>
  <si>
    <t>REG-SUKUNA-L</t>
  </si>
  <si>
    <t>REG-SUKUNA-XL</t>
  </si>
  <si>
    <t>WHF-OS-SUKUNAOLD-S</t>
  </si>
  <si>
    <t>WHF-OS-SUKUNAOLD-M</t>
  </si>
  <si>
    <t>60 - Joker Hoodie</t>
  </si>
  <si>
    <t>WHF-OS-SUKUNAOLD-L</t>
  </si>
  <si>
    <t>WHF-OS-SUKUNAOLD-XL</t>
  </si>
  <si>
    <t>Sukuna&lt;19-Sep-2025&gt; [0.39] |0.50|</t>
  </si>
  <si>
    <t>61 - Wukong</t>
  </si>
  <si>
    <t>OS-Sukuna-S</t>
  </si>
  <si>
    <t>OS-Sukuna-M</t>
  </si>
  <si>
    <t>OS-Sukuna-L</t>
  </si>
  <si>
    <t>OS-Sukuna-XL</t>
  </si>
  <si>
    <t>WHF-OS-SUKUNA-S</t>
  </si>
  <si>
    <t>WHF-OS-SUKUNA-M</t>
  </si>
  <si>
    <t>WHF-OS-SUKUNA-L</t>
  </si>
  <si>
    <t>WHF-OS-SUKUNA-XL</t>
  </si>
  <si>
    <t>Sukuna Hoodie&lt;19-Sep-2025&gt; [0.64] |0.24|</t>
  </si>
  <si>
    <t>62 - Arise</t>
  </si>
  <si>
    <t>WHF-HO-SUKUNA-HOODIE-S</t>
  </si>
  <si>
    <t>WHF-HO-SUKUNA-HOODIE-M</t>
  </si>
  <si>
    <t>WHF-HO-SUKUNA-HOODIE-L</t>
  </si>
  <si>
    <t>WHF-HO-SUKUNA-HOODIE-XL</t>
  </si>
  <si>
    <t>63 - Finding Peace</t>
  </si>
  <si>
    <t>Tanjiro Black&lt;19-Sep-2025&gt; [0.67] |0.41|</t>
  </si>
  <si>
    <t>64 - Cifer</t>
  </si>
  <si>
    <t>OS-0015-S-Black</t>
  </si>
  <si>
    <t>OS-0015-M-Black</t>
  </si>
  <si>
    <t>OS-0015-L-Black</t>
  </si>
  <si>
    <t>OS-0015-XL-Black</t>
  </si>
  <si>
    <t>65 - Thorfinn Shirt</t>
  </si>
  <si>
    <t>WHF-OS-TANJIRO-BLACK-M</t>
  </si>
  <si>
    <t>WHF-OS-TANJIRO-BLACK-XL</t>
  </si>
  <si>
    <t>Tanjiro Black Hoodie&lt;19-Sep-2025&gt; [0.22] |0.05|</t>
  </si>
  <si>
    <t>66 - Akaza</t>
  </si>
  <si>
    <t>WHF-HO-TANJIRO-BLACK-HOODIE-S</t>
  </si>
  <si>
    <t>WHF-HO-TANJIRO-BLACK-HOODIE-M</t>
  </si>
  <si>
    <t>WHF-HO-TANJIRO-BLACK-HOODIE-L</t>
  </si>
  <si>
    <t>WHF-HO-TANJIRO-BLACK-HOODIE-XL</t>
  </si>
  <si>
    <t>67 - Wings of Freedom Shorts</t>
  </si>
  <si>
    <t>Tanjiro Brown&lt;19-Sep-2025&gt; [1] |0.53|</t>
  </si>
  <si>
    <t>brown_tshirt</t>
  </si>
  <si>
    <t>OS-0015-S-Brown</t>
  </si>
  <si>
    <t>OS-0015-M-Brown</t>
  </si>
  <si>
    <t>OS-0015-L-Brown</t>
  </si>
  <si>
    <t>OS-0015-XL-Brown</t>
  </si>
  <si>
    <t>WHF-OS-TANJIRO-BROWN-S</t>
  </si>
  <si>
    <t>68 - King of Hell Shots</t>
  </si>
  <si>
    <t>WHF-OS-TANJIRO-BROWN-M</t>
  </si>
  <si>
    <t>WHF-OS-TANJIRO-BROWN-L</t>
  </si>
  <si>
    <t>WHF-OS-TANJIRO-BROWN-XL</t>
  </si>
  <si>
    <t>Toji&lt;19-Sep-2025&gt; [0.69] |0.33|</t>
  </si>
  <si>
    <t>OS-TOJI-FB-S</t>
  </si>
  <si>
    <t>OS-TOJI-FB-M</t>
  </si>
  <si>
    <t>69 - Gojo Cat Shorts</t>
  </si>
  <si>
    <t>OS-TOJI-FB-L</t>
  </si>
  <si>
    <t>OS-TOJI-FB-XL</t>
  </si>
  <si>
    <t>WHF-OS-TOJI-S</t>
  </si>
  <si>
    <t>WHF-OS-TOJI-M</t>
  </si>
  <si>
    <t>WHF-OS-TOJI-L</t>
  </si>
  <si>
    <t>WHF-OS-TOJI-XL</t>
  </si>
  <si>
    <t>70 - Ace Emblem Shorts</t>
  </si>
  <si>
    <t>OS-TOJI-S</t>
  </si>
  <si>
    <t>OS-TOJI-M</t>
  </si>
  <si>
    <t>OS-TOJI-L</t>
  </si>
  <si>
    <t>OS-TOJI-XL</t>
  </si>
  <si>
    <t>71 - Gear 5 Shorts</t>
  </si>
  <si>
    <t>72 - Minimalist Shorts</t>
  </si>
  <si>
    <t>Tokyo Manji&lt;19-Sep-2025&gt; [0.25] |0.07|</t>
  </si>
  <si>
    <t>OS- TM- S</t>
  </si>
  <si>
    <t>OS- TM- M</t>
  </si>
  <si>
    <t>OS- TM- L</t>
  </si>
  <si>
    <t>OS- TM- XL</t>
  </si>
  <si>
    <t>73 - Sasuke Hoodie</t>
  </si>
  <si>
    <t>WHF-OS-TOKYO-S</t>
  </si>
  <si>
    <t>WHF-OS-TOKYO-M</t>
  </si>
  <si>
    <t>WHF-OS-TOKYO-L</t>
  </si>
  <si>
    <t>WHF-OS-TOKYO-XL</t>
  </si>
  <si>
    <t>74 - Nanami</t>
  </si>
  <si>
    <t>Vasto Lorde&lt;19-Sep-2025&gt; [0.61] |0.94|</t>
  </si>
  <si>
    <t>OS-VASTO-S</t>
  </si>
  <si>
    <t>75 - Hanafuda</t>
  </si>
  <si>
    <t>OS-VASTO-M</t>
  </si>
  <si>
    <t>OS-VASTO-L</t>
  </si>
  <si>
    <t>OS-VASTO-XL</t>
  </si>
  <si>
    <t>WHF-OS-Vasto-S</t>
  </si>
  <si>
    <t>WHF-OS-Vasto-M</t>
  </si>
  <si>
    <t>WHF-OS-Vasto-L</t>
  </si>
  <si>
    <t>76 - Zenitsu Thunder 18Dec2025</t>
  </si>
  <si>
    <t>WHF-OS-Vasto-XL</t>
  </si>
  <si>
    <t>77 - Kokushibo Tshirt</t>
  </si>
  <si>
    <t>Velocity Brown&lt;19-Sep-2025&gt; [0.3] |0.10|</t>
  </si>
  <si>
    <t>78 - Ace Black Hoodie</t>
  </si>
  <si>
    <t>79 - Fox Devil</t>
  </si>
  <si>
    <t>OS-Velocity-Brown-S</t>
  </si>
  <si>
    <t>OS-Velocity-Brown-M</t>
  </si>
  <si>
    <t>OS-Velocity-Brown-L</t>
  </si>
  <si>
    <t>OS-Velocity-Brown-XL</t>
  </si>
  <si>
    <t>WHF-OS-Velocity-Brown-S</t>
  </si>
  <si>
    <t>80 - Imposter for white</t>
  </si>
  <si>
    <t>WHF-OS-Velocity-Brown-M</t>
  </si>
  <si>
    <t>WHF-OS-Velocity-Brown-L</t>
  </si>
  <si>
    <t>WHF-OS-Velocity-Brown-XL</t>
  </si>
  <si>
    <t>81 - Imposter for black</t>
  </si>
  <si>
    <t>Velocity Sage Green&lt;19-Sep-2025&gt; [0.17] |0.03|</t>
  </si>
  <si>
    <t>82 - Wild mindset ice blue</t>
  </si>
  <si>
    <t>OS-Velocity-Sage-Green-S</t>
  </si>
  <si>
    <t>OS-Velocity-Sage-Green-M</t>
  </si>
  <si>
    <t>83 - Wild mindset Brown</t>
  </si>
  <si>
    <t>OS-Velocity-Sage-Green-L</t>
  </si>
  <si>
    <t>OS-Velocity-Sage-Green-XL</t>
  </si>
  <si>
    <t>WHF-OS-Velocity-Sage-Green-S</t>
  </si>
  <si>
    <t>WHF-OS-Velocity-Sage-Green-M</t>
  </si>
  <si>
    <t>WHF-OS-Velocity-Sage-Green-L</t>
  </si>
  <si>
    <t>84 - Manta rays</t>
  </si>
  <si>
    <t>WHF-OS-Velocity-Sage-Green-XL</t>
  </si>
  <si>
    <t>Choso Taupe&lt;19-Sep-2025&gt; [0.33] |0.09|</t>
  </si>
  <si>
    <t>85 - Money for porsche</t>
  </si>
  <si>
    <t>OS-Choso-Taupe-S</t>
  </si>
  <si>
    <t>OS-Choso-Taupe-M</t>
  </si>
  <si>
    <t>OS-Choso-Taupe-L</t>
  </si>
  <si>
    <t>OS-Choso-Taupe-XL</t>
  </si>
  <si>
    <t>WHF-OS-CHOSO-S</t>
  </si>
  <si>
    <t>WHF-OS-CHOSO-M</t>
  </si>
  <si>
    <t>86 - Look mom fly</t>
  </si>
  <si>
    <t>WHF-OS-CHOSO-L</t>
  </si>
  <si>
    <t>Choso White&lt;19-Sep-2025&gt; [0.18] |0.02|</t>
  </si>
  <si>
    <t>87 - Flying Tiger</t>
  </si>
  <si>
    <t>OS-Choso-White-S</t>
  </si>
  <si>
    <t>OS-Choso-White-M</t>
  </si>
  <si>
    <t>OS-Choso-White-L</t>
  </si>
  <si>
    <t>OS-Choso-White-XL</t>
  </si>
  <si>
    <t>88 - Eagle</t>
  </si>
  <si>
    <t>Tokyo Ghoul(Lily) Hoodie&lt;19-Sep-2025&gt; [0.64] |0.37|</t>
  </si>
  <si>
    <t>Lilly-S</t>
  </si>
  <si>
    <t>Lilly-M</t>
  </si>
  <si>
    <t>Lilly-L</t>
  </si>
  <si>
    <t>Lilly-XL</t>
  </si>
  <si>
    <t>89 - Tiger twins Off White</t>
  </si>
  <si>
    <t>WHF-HO-LILY-S</t>
  </si>
  <si>
    <t>WHF-HO-LILY-M</t>
  </si>
  <si>
    <t>WHF-HO-LILY-L</t>
  </si>
  <si>
    <t>WHF-HO-LILY-XL</t>
  </si>
  <si>
    <t>90 - Tiger twins Ice Blue</t>
  </si>
  <si>
    <t>Limitless Small&lt;19-Sep-2025&gt; [0.49] |0.73|</t>
  </si>
  <si>
    <t>91 - Cactus Jack</t>
  </si>
  <si>
    <t>S-LIMITLESS-OS</t>
  </si>
  <si>
    <t>92 - Saiyan's Pride Hoodie</t>
  </si>
  <si>
    <t>M-LIMITLESS-OS</t>
  </si>
  <si>
    <t>L-LIMITLESS-OS</t>
  </si>
  <si>
    <t>XL-LIMITLESS-OS</t>
  </si>
  <si>
    <t>WHF-OS-LIMITLESS-S</t>
  </si>
  <si>
    <t>WHF-OS-LIMITLESS-M</t>
  </si>
  <si>
    <t>WHF-OS-LIMITLESS-L</t>
  </si>
  <si>
    <t>93 - Chrollo Tan 08Dec25</t>
  </si>
  <si>
    <t>WHF-OS-LIMITLESS-XL</t>
  </si>
  <si>
    <t>94 - Gojo Fish Hoodie 25March26</t>
  </si>
  <si>
    <t>Freedom&lt;19-Sep-2025&gt; [1] |0.20|</t>
  </si>
  <si>
    <t>OS-FREEDOM-S</t>
  </si>
  <si>
    <t>OS-FREEDOM-M</t>
  </si>
  <si>
    <t>OS-FREEDOM-L</t>
  </si>
  <si>
    <t>OS-FREEDOM-XL</t>
  </si>
  <si>
    <t>95 - Black Divider 08Dec25</t>
  </si>
  <si>
    <t>WHF-OS-FREEDOM-S</t>
  </si>
  <si>
    <t>WHF-OS-FREEDOM-M</t>
  </si>
  <si>
    <t>WHF-OS-FREEDOM-L</t>
  </si>
  <si>
    <t>WHF-OS-FREEDOM-XL</t>
  </si>
  <si>
    <t>96 - Dynamight 08Dec25</t>
  </si>
  <si>
    <t>Grimmjow Myntra&lt;19-Sep-2025&gt; [1] |0.00|</t>
  </si>
  <si>
    <t>OS-GRIMMJOW-S</t>
  </si>
  <si>
    <t>OS-GRIMMJOW-M</t>
  </si>
  <si>
    <t>OS-GRIMMJOW-L</t>
  </si>
  <si>
    <t>97 - Gojo Hand Hoodie 09Dec25</t>
  </si>
  <si>
    <t>98 - Berserk Shirt 03Nov25</t>
  </si>
  <si>
    <t>OS-GRIMMJOW-XL</t>
  </si>
  <si>
    <t>99 - Berserk Pent 25March26</t>
  </si>
  <si>
    <t>WHF-OS-Grimmjow-S</t>
  </si>
  <si>
    <t>WHF-OS-Grimmjow-M</t>
  </si>
  <si>
    <t>WHF-OS-Grimmjow-L</t>
  </si>
  <si>
    <t>WHF-OS-Grimmjow-XL</t>
  </si>
  <si>
    <t>Joker Hoodie&lt;19-Sep-2025&gt; [0.7] |0.28|</t>
  </si>
  <si>
    <t>Doffy-S</t>
  </si>
  <si>
    <t>Doffy-M</t>
  </si>
  <si>
    <t>Doffy-L</t>
  </si>
  <si>
    <t>Doffy-XL</t>
  </si>
  <si>
    <t>WHF-HO-JOKER-S</t>
  </si>
  <si>
    <t>WHF-HO-JOKER-M</t>
  </si>
  <si>
    <t>WHF-HO-JOKER-L</t>
  </si>
  <si>
    <t>WHF-HO-JOKER-XL</t>
  </si>
  <si>
    <t>100 - Berserk Armour 14March26</t>
  </si>
  <si>
    <t>101 - Vigilante 08Jan26</t>
  </si>
  <si>
    <t>Wukong&lt;19-Sep-2025&gt; [1] |0.46|</t>
  </si>
  <si>
    <t>102 - Chrollo Grey Tshirt 27April26</t>
  </si>
  <si>
    <t>103 - Chrollo Biege Tshirt 27April26</t>
  </si>
  <si>
    <t>teal_tshirt</t>
  </si>
  <si>
    <t>OS-Wukong-S</t>
  </si>
  <si>
    <t>OS-Wukong-M</t>
  </si>
  <si>
    <t>OS-Wukong-L</t>
  </si>
  <si>
    <t>OS-Wukong-XL</t>
  </si>
  <si>
    <t>WHF-OS-WUKONG-S</t>
  </si>
  <si>
    <t>WHF-OS-WUKONG-M</t>
  </si>
  <si>
    <t>WHF-OS-WUKONG-L</t>
  </si>
  <si>
    <t>104 - Fire Force Biege Tshirt 27April26</t>
  </si>
  <si>
    <t>105 - F1 Tshirt 27April26</t>
  </si>
  <si>
    <t>Arise&lt;19-Sep-2025&gt; [0.56] |0.76|</t>
  </si>
  <si>
    <t>106 - Yuta tshirt 27April26</t>
  </si>
  <si>
    <t>Arise - S</t>
  </si>
  <si>
    <t>Arise - M</t>
  </si>
  <si>
    <t>Arise - L</t>
  </si>
  <si>
    <t>Arise - XL</t>
  </si>
  <si>
    <t>WHF-OS-ARISE-S</t>
  </si>
  <si>
    <t>WHF-OS-ARISE-M</t>
  </si>
  <si>
    <t>WHF-OS-ARISE-L</t>
  </si>
  <si>
    <t>WHF-OS-ARISE-XL</t>
  </si>
  <si>
    <t>Finding Peace&lt;19-Sep-2025&gt; [0.16] |0.01|</t>
  </si>
  <si>
    <t>OS-FINDING-PEACE-S</t>
  </si>
  <si>
    <t>OS-FINDING-PEACE-M</t>
  </si>
  <si>
    <t>OS-FINDING-PEACE-L</t>
  </si>
  <si>
    <t>OS-FINDING-PEACE-XL</t>
  </si>
  <si>
    <t>107 - Griffith Tshirt 27April26</t>
  </si>
  <si>
    <t>108 - Fire Force Pent 27April26</t>
  </si>
  <si>
    <t>Cifer&lt;19-Sep-2025&gt; [1] |1.09|</t>
  </si>
  <si>
    <t>109 - Bungee Gum Pent 27April26</t>
  </si>
  <si>
    <t>OS-CIFER-S</t>
  </si>
  <si>
    <t>OS-CIFER-M</t>
  </si>
  <si>
    <t>110 - Sukuna Pent 27April26</t>
  </si>
  <si>
    <t>OS-CIFER-L</t>
  </si>
  <si>
    <t>OS-CIFER-XL</t>
  </si>
  <si>
    <t>WHF-OS-CIFER-S</t>
  </si>
  <si>
    <t>WHF-OS-CIFER-M</t>
  </si>
  <si>
    <t>WHF-OS-CIFER-L</t>
  </si>
  <si>
    <t>WHF-OS-CIFER-XL</t>
  </si>
  <si>
    <t>111 - Sasuke Pent 27April26</t>
  </si>
  <si>
    <t>Thorfinn Shirt&lt;19-Sep-2025&gt; [1] |0.00|</t>
  </si>
  <si>
    <t>thorfinn_shirt</t>
  </si>
  <si>
    <t>112 - Cherry Blossom 26May26</t>
  </si>
  <si>
    <t>WHF-SHIRT-THORFINN-S</t>
  </si>
  <si>
    <t>WHF-SHIRT-THORFINN-M</t>
  </si>
  <si>
    <t>WHF-SHIRT-THORFINN-L</t>
  </si>
  <si>
    <t>WHF-SHIRT-THORFINN-XL</t>
  </si>
  <si>
    <t>113 - Divine Touch 30May26</t>
  </si>
  <si>
    <t>Akaza&lt;19-Sep-2025&gt; [0.68] |0.87|</t>
  </si>
  <si>
    <t>114 - Golden Caps 14June26</t>
  </si>
  <si>
    <t>OS-Akaza-S</t>
  </si>
  <si>
    <t>OS-Akaza-M</t>
  </si>
  <si>
    <t>115 - Himalayas 14June26</t>
  </si>
  <si>
    <t>OS-Akaza-L</t>
  </si>
  <si>
    <t>OS-Akaza-XL</t>
  </si>
  <si>
    <t>WHF-OS-AKAZA-S</t>
  </si>
  <si>
    <t>WHF-OS-AKAZA-M</t>
  </si>
  <si>
    <t>WHF-OS-AKAZA-L</t>
  </si>
  <si>
    <t>116 - Mindset Teal 14June26</t>
  </si>
  <si>
    <t>WHF-OS-AKAZA-XL</t>
  </si>
  <si>
    <t>WH-OS-AKAZA-S</t>
  </si>
  <si>
    <t>117 - Mindset White 14June26</t>
  </si>
  <si>
    <t>Akaza Hoodie&lt;19-Sep-2025&gt; [0.26] |0.00|</t>
  </si>
  <si>
    <t>WHF-HO-AKAZA-HOODIE-S</t>
  </si>
  <si>
    <t>WHF-HO-AKAZA-HOODIE-M</t>
  </si>
  <si>
    <t>WHF-HO-AKAZA-HOODIE-L</t>
  </si>
  <si>
    <t>WHF-HO-AKAZA-HOODIE-XL</t>
  </si>
  <si>
    <t>118 - Royalty 1June26</t>
  </si>
  <si>
    <t>119 - Supreme Mentality 14June26</t>
  </si>
  <si>
    <t>Wings of Freedom Shorts&lt;19-Sep-2025&gt; [1] |0.06|</t>
  </si>
  <si>
    <t>navy_shorts</t>
  </si>
  <si>
    <t>120 - Gujarat 26May26</t>
  </si>
  <si>
    <t>WHF-SHORTS-FREEDOM-S</t>
  </si>
  <si>
    <t>WHF-SHORTS-FREEDOM-M</t>
  </si>
  <si>
    <t>WHF-SHORTS-FREEDOM-L</t>
  </si>
  <si>
    <t>WHF-SHORTS-FREEDOM-XL</t>
  </si>
  <si>
    <t>WHF-SHORTS-AOT-S</t>
  </si>
  <si>
    <t>WHF-SHORTS-AOT-M</t>
  </si>
  <si>
    <t>121 - Rajasthan 26May26</t>
  </si>
  <si>
    <t>WHF-SHORTS-AOT-L</t>
  </si>
  <si>
    <t>WHF-SHORTS-AOT-XL</t>
  </si>
  <si>
    <t>122 - Maharashtra 26May26</t>
  </si>
  <si>
    <t>King of Hell Shots&lt;19-Sep-2025&gt; [0.1] |0.00|</t>
  </si>
  <si>
    <t>123 - Hot GF 26May26</t>
  </si>
  <si>
    <t>sage_shorts</t>
  </si>
  <si>
    <t>WHF-SHORTS-ZORO-S</t>
  </si>
  <si>
    <t>WHF-SHORTS-ZORO-M</t>
  </si>
  <si>
    <t>WHF-SHORTS-ZORO-L</t>
  </si>
  <si>
    <t>WHF-SHORTS-ZORO-XL</t>
  </si>
  <si>
    <t>Gojo Cat Shorts&lt;19-Sep-2025&gt; [1] |0.00|</t>
  </si>
  <si>
    <t>WHF-SHORTS-GOJOCAT-S</t>
  </si>
  <si>
    <t>WHF-SHORTS-GOJOCAT-M</t>
  </si>
  <si>
    <t>WHF-SHORTS-GOJOCAT-L</t>
  </si>
  <si>
    <t>WHF-SHORTS-GOJOCAT-XL</t>
  </si>
  <si>
    <t>WHF-SHORTS-GOJO-CAT-S</t>
  </si>
  <si>
    <t>WHF-SHORTS-GOJO-CAT-M</t>
  </si>
  <si>
    <t>WHF-SHORTS-GOJO-CAT-L</t>
  </si>
  <si>
    <t>WHF-SHORTS-GOJO-CAT-XL</t>
  </si>
  <si>
    <t>Ace Emblem Shorts&lt;19-Sep-2025&gt; [0.72] |0.07|</t>
  </si>
  <si>
    <t>black_shorts</t>
  </si>
  <si>
    <t>WHF-SHORTS-ACE-S</t>
  </si>
  <si>
    <t>WHF-SHORTS-ACE-M</t>
  </si>
  <si>
    <t>WHF-SHORTS-ACE-L</t>
  </si>
  <si>
    <t>WHF-SHORTS-ACE-XL</t>
  </si>
  <si>
    <t>AceShort - S</t>
  </si>
  <si>
    <t>AceShort - M</t>
  </si>
  <si>
    <t>AceShort - L</t>
  </si>
  <si>
    <t>AceShort - XL</t>
  </si>
  <si>
    <t>WHF-SHORTS-ACE-EMBLEM-S</t>
  </si>
  <si>
    <t>WHF-SHORTS-ACE-EMBLEM-M</t>
  </si>
  <si>
    <t>WHF-SHORTS-ACE-EMBLEM-L</t>
  </si>
  <si>
    <t>WHF-SHORTS-ACE-EMBLEM-XL</t>
  </si>
  <si>
    <t>124 - Alcoholic 26May26</t>
  </si>
  <si>
    <t>Gear 5 Shorts&lt;19-Sep-2025&gt; [0.1] |0.00|</t>
  </si>
  <si>
    <t>WHF-SHORTS-GEAR5-S</t>
  </si>
  <si>
    <t>125 - Good Girl 26May26</t>
  </si>
  <si>
    <t>WHF-SHORTS-GEAR5-M</t>
  </si>
  <si>
    <t>WHF-SHORTS-GEAR5-L</t>
  </si>
  <si>
    <t>WHF-SHORTS-GEAR5-XL</t>
  </si>
  <si>
    <t>126 - Malibu 26May26</t>
  </si>
  <si>
    <t>Sage Green Minimalist Shorts&lt;19-Sep-2025&gt; [0.1] |0.00|</t>
  </si>
  <si>
    <t>127 - Flirting 26May26</t>
  </si>
  <si>
    <t>WHF-SHORTS-SAGE-S</t>
  </si>
  <si>
    <t>WHF-SHORTS-SAGE-M</t>
  </si>
  <si>
    <t>WHF-SHORTS-SAGE-L</t>
  </si>
  <si>
    <t>WHF-SHORTS-SAGE-XL</t>
  </si>
  <si>
    <t>128 - Kurama Shirt 26May26</t>
  </si>
  <si>
    <t>WHF-SHORTS-MINIMALIST-SAGEGREEN-S</t>
  </si>
  <si>
    <t>WHF-SHORTS-MINIMALIST-SAGEGREEN-M</t>
  </si>
  <si>
    <t>WHF-SHORTS-MINIMALIST-SAGEGREEN-L</t>
  </si>
  <si>
    <t>WHF-SHORTS-MINIMALIST-SAGEGREEN-XL</t>
  </si>
  <si>
    <t>129 - Deathnote heart Shirt 26May26</t>
  </si>
  <si>
    <t>130 - Chrollo 0 Shirt 26May26</t>
  </si>
  <si>
    <t>Navy Blue Minimalist Shorts&lt;19-Sep-2025&gt; [0.42] |0.02|</t>
  </si>
  <si>
    <t>WHF-SHORTS-NAVY-S</t>
  </si>
  <si>
    <t>131 - Lily Pent 07June26</t>
  </si>
  <si>
    <t>WHF-SHORTS-NAVY-M</t>
  </si>
  <si>
    <t>WHF-SHORTS-NAVY-L</t>
  </si>
  <si>
    <t>WHF-SHORTS-NAVY-XL</t>
  </si>
  <si>
    <t>WHF-SHORTS-MINIMALIST-NAVY-S</t>
  </si>
  <si>
    <t>WHF-SHORTS-MINIMALIST-NAVY-M</t>
  </si>
  <si>
    <t>WHF-SHORTS-MINIMALIST-NAVY-L</t>
  </si>
  <si>
    <t>132 - Heart Pent 26June26</t>
  </si>
  <si>
    <t>WHF-SHORTS-MINIMALIST-NAVY-XL</t>
  </si>
  <si>
    <t>133 - Mob Psycho 02July26</t>
  </si>
  <si>
    <t>Black Minimalist Shorts&lt;19-Sep-2025&gt; [1] |0.11|</t>
  </si>
  <si>
    <t>WHF-SHORTS-BLACK-S</t>
  </si>
  <si>
    <t>WHF-SHORTS-BLACK-M</t>
  </si>
  <si>
    <t>WHF-SHORTS-BLACK-L</t>
  </si>
  <si>
    <t>WHF-SHORTS-BLACK-XL</t>
  </si>
  <si>
    <t>134 - Blood Sword 02July26</t>
  </si>
  <si>
    <t>WHF-SHORTS-MINIMALIST-BLACK-S</t>
  </si>
  <si>
    <t>WHF-SHORTS-MINIMALIST-BLACK-M</t>
  </si>
  <si>
    <t>WHF-SHORTS-MINIMALIST-BLACK-L</t>
  </si>
  <si>
    <t>WHF-SHORTS-MINIMALIST-BLACK-XL</t>
  </si>
  <si>
    <t>135 - Green Clover 02July26</t>
  </si>
  <si>
    <t>136 - Kurta 02July26</t>
  </si>
  <si>
    <t>Sasuke Hoodie&lt;19-Sep-2025&gt; [0.18] |0.02|</t>
  </si>
  <si>
    <t>H-Sasuke-S</t>
  </si>
  <si>
    <t>H-Sasuke-M</t>
  </si>
  <si>
    <t>137 Hand locket 02July26</t>
  </si>
  <si>
    <t>H-Sasuke-L</t>
  </si>
  <si>
    <t>H-Sasuke-XL</t>
  </si>
  <si>
    <t>WHF-HO-SASUKE-S</t>
  </si>
  <si>
    <t>WHF-HO-SASUKE-M</t>
  </si>
  <si>
    <t>WHF-HO-SASUKE-L</t>
  </si>
  <si>
    <t>WHF-HO-SASUKE-XL</t>
  </si>
  <si>
    <t>138 - Skull LF 21July26</t>
  </si>
  <si>
    <t>Nanami&lt;19-Sep-2025&gt; [0.2] |0.12|</t>
  </si>
  <si>
    <t>139 - Scars on back 02july26</t>
  </si>
  <si>
    <t>OS-Nanami-S</t>
  </si>
  <si>
    <t>OS-Nanami-M</t>
  </si>
  <si>
    <t>OS-Nanami-L</t>
  </si>
  <si>
    <t>141 - Shunsui 02July26</t>
  </si>
  <si>
    <t>OS-Nanami-XL</t>
  </si>
  <si>
    <t>WHF-OS-NANAMI-S</t>
  </si>
  <si>
    <t>WHF-OS-NANAMI-M</t>
  </si>
  <si>
    <t>WHF-OS-NANAMI-L</t>
  </si>
  <si>
    <t>WHF-OS-NANAMI-XL</t>
  </si>
  <si>
    <t>142 - White bread LF 22July26</t>
  </si>
  <si>
    <t>Hanafuda Oversized Tee&lt;19-Sep-2025&gt; [0.3] |0.09|</t>
  </si>
  <si>
    <t>143 - Eight Batch 02July26</t>
  </si>
  <si>
    <t>OS-Hanafuda-S</t>
  </si>
  <si>
    <t>OS-Hanafuda-M</t>
  </si>
  <si>
    <t>144 - No enemies</t>
  </si>
  <si>
    <t>OS-Hanafuda-L</t>
  </si>
  <si>
    <t>OS-Hanafuda-XL</t>
  </si>
  <si>
    <t>WHF-OS-HANAFUDA-S</t>
  </si>
  <si>
    <t>145 - strongest LF 22July26-01</t>
  </si>
  <si>
    <t>WHF-OS-HANAFUDA-M</t>
  </si>
  <si>
    <t>WHF-OS-HANAFUDA-L</t>
  </si>
  <si>
    <t>WHF-OS-HANAFUDA-XL</t>
  </si>
  <si>
    <t>146 - kon 03July2026</t>
  </si>
  <si>
    <t>147 - long Hair 03July26</t>
  </si>
  <si>
    <t>Zenitsu Thunder&lt;19-Sep-2025&gt; [1] |3.13|</t>
  </si>
  <si>
    <t>148 - Black Bull 03July26</t>
  </si>
  <si>
    <t>biege_tshirt</t>
  </si>
  <si>
    <t>OS-Zenitsu-Thunder-S</t>
  </si>
  <si>
    <t>149 - Six Eyes 03July26-01</t>
  </si>
  <si>
    <t>OS-Zenitsu-Thunder-M</t>
  </si>
  <si>
    <t>OS-Zenitsu-Thunder-L</t>
  </si>
  <si>
    <t>OS-Zenitsu-Thunder-XL</t>
  </si>
  <si>
    <t>WHF-OS-THNDR-S</t>
  </si>
  <si>
    <t>WHF-OS-THNDR-M</t>
  </si>
  <si>
    <t>150 - My Magic 03July26-02</t>
  </si>
  <si>
    <t>WHF-OS-THNDR-XL</t>
  </si>
  <si>
    <t>OS-THNDR-S</t>
  </si>
  <si>
    <t>151 - Ghoul LF 22July26</t>
  </si>
  <si>
    <t>OS-THNDR-M</t>
  </si>
  <si>
    <t>OS-THNDR-L</t>
  </si>
  <si>
    <t>OS-THNDR-XL</t>
  </si>
  <si>
    <t>152 - Two Guns 03July26</t>
  </si>
  <si>
    <t>Kokushibo Tshirt&lt;19-Sep-2025&gt; [0.23] |0.14|</t>
  </si>
  <si>
    <t>OS-Kokushibo-S</t>
  </si>
  <si>
    <t>OS-Kokushibo-M</t>
  </si>
  <si>
    <t>OS-Kokushibo-L</t>
  </si>
  <si>
    <t>OS-Kokushibo-XL</t>
  </si>
  <si>
    <t>WHF-OS-KOKUSHIBO-S</t>
  </si>
  <si>
    <t>WHF-OS-KOKUSHIBO-M</t>
  </si>
  <si>
    <t>WHF-OS-KOKUSHIBO-L</t>
  </si>
  <si>
    <t>WHF-OS-KOKUSHIBO-XL</t>
  </si>
  <si>
    <t>153 - Hand Clap 03July26</t>
  </si>
  <si>
    <t>Ace Black Hoodie&lt;19-Sep-2025&gt; [0.15] |0.00|</t>
  </si>
  <si>
    <t>H-0001-S-Black</t>
  </si>
  <si>
    <t>H-0001-M-Black</t>
  </si>
  <si>
    <t>H-0001-L-Black</t>
  </si>
  <si>
    <t>H-0001-XL-Black</t>
  </si>
  <si>
    <t>154 - Death LF 22July26-01</t>
  </si>
  <si>
    <t>WHF-HO-ACE-BLACK-S</t>
  </si>
  <si>
    <t>WHF-HO-ACE-BLACK-M</t>
  </si>
  <si>
    <t>WHF-HO-ACE-BLACK-L</t>
  </si>
  <si>
    <t>WHF-HO-ACE-BLACK-XL</t>
  </si>
  <si>
    <t>155 - Gear 5 Shirt 30Auh26</t>
  </si>
  <si>
    <t>Fox Devil&lt;19-Sep-2025&gt; [0.99] |1.62|</t>
  </si>
  <si>
    <t>OS-FOX-DEVIL-S</t>
  </si>
  <si>
    <t>OS-FOX-DEVIL-M</t>
  </si>
  <si>
    <t>156 - L Shirt 30Auh26</t>
  </si>
  <si>
    <t>OS-FOX-DEVIL-L</t>
  </si>
  <si>
    <t>OS-FOX-DEVIL-XL</t>
  </si>
  <si>
    <t>WHF-OS-FOX-DEVIL-S</t>
  </si>
  <si>
    <t>WHF-OS-FOX-DEVIL-M</t>
  </si>
  <si>
    <t>WHF-OS-FOX-DEVIL-L</t>
  </si>
  <si>
    <t>157 - Mob Psycho Shirt 30Aug26</t>
  </si>
  <si>
    <t>158 - Vagabond Shirt 30Auh26</t>
  </si>
  <si>
    <t>Imposter for White&lt;19-Sep-2025&gt; [0.19] |0.03|</t>
  </si>
  <si>
    <t>159 - SpiderMan Red Tshirt 30Aug26</t>
  </si>
  <si>
    <t>OS-IMPOSTER-WHITE-S</t>
  </si>
  <si>
    <t>OS-IMPOSTER-WHITE-M</t>
  </si>
  <si>
    <t>OS-IMPOSTER-WHITE-L</t>
  </si>
  <si>
    <t>OS-IMPOSTER-WHITE-XL</t>
  </si>
  <si>
    <t>WHF-OS-IMPOSTER-WHITE-S</t>
  </si>
  <si>
    <t>WHF-OS-IMPOSTER-WHITE-M</t>
  </si>
  <si>
    <t>160 - SpiderMan Black Tshirt 30Aug26</t>
  </si>
  <si>
    <t>WHF-OS-IMPOSTER-WHITE-L</t>
  </si>
  <si>
    <t>WHF-OS-IMPOSTER-WHITE-XL</t>
  </si>
  <si>
    <t>Imposter for Black&lt;19-Sep-2025&gt; [0.18] |0.02|</t>
  </si>
  <si>
    <t>OS-IMPOSTER-BLACK-S</t>
  </si>
  <si>
    <t>161 - Black Clover Skull</t>
  </si>
  <si>
    <t>OS-IMPOSTER-BLACK-M</t>
  </si>
  <si>
    <t>OS-IMPOSTER-BLACK-L</t>
  </si>
  <si>
    <t>OS-IMPOSTER-BLACK-XL</t>
  </si>
  <si>
    <t>WHF-OS-IMPOSTER-BLACK-S</t>
  </si>
  <si>
    <t>WHF-OS-IMPOSTER-BLACK-M</t>
  </si>
  <si>
    <t>WHF-OS-IMPOSTER-BLACK-L</t>
  </si>
  <si>
    <t>WHF-OS-IMPOSTER-BLACK-XL</t>
  </si>
  <si>
    <t>162 - Vinland Saga</t>
  </si>
  <si>
    <t>Wild mindset ice blue&lt;19-Sep-2025&gt; [0.23] |0.00|</t>
  </si>
  <si>
    <t>163 - Kenpachi</t>
  </si>
  <si>
    <t>OS-MINDSET-ICE-S</t>
  </si>
  <si>
    <t>OS-MINDSET-ICE-M</t>
  </si>
  <si>
    <t>OS-MINDSET-ICE-L</t>
  </si>
  <si>
    <t>OS-MINDSET-ICE-XL</t>
  </si>
  <si>
    <t>164 - Gachiakuta</t>
  </si>
  <si>
    <t>WHF-OS-WILDMIND-ICEBLUE-S</t>
  </si>
  <si>
    <t>WHF-OS-WILDMIND-ICEBLUE-M</t>
  </si>
  <si>
    <t>WHF-OS-WILDMIND-ICEBLUE-L</t>
  </si>
  <si>
    <t>WHF-OS-WILDMIND-ICEBLUE-XL</t>
  </si>
  <si>
    <t>165 - Evangelion</t>
  </si>
  <si>
    <t>166 - Luffy Bubbles</t>
  </si>
  <si>
    <t>Wild mindset Brown&lt;19-Sep-2025&gt; [0.34] |0.11|</t>
  </si>
  <si>
    <t>167 - Ace Flame</t>
  </si>
  <si>
    <t>OS-MINDSET-BROWN-S</t>
  </si>
  <si>
    <t>OS-MINDSET-BROWN-M</t>
  </si>
  <si>
    <t>OS-MINDSET-BROWN-L</t>
  </si>
  <si>
    <t>OS-MINDSET-BROWN-XL</t>
  </si>
  <si>
    <t>WHF-OS-WILDMIND-BROWN-S</t>
  </si>
  <si>
    <t>WHF-OS-WILDMIND-BROWN-M</t>
  </si>
  <si>
    <t>168 - Ryuk</t>
  </si>
  <si>
    <t>WHF-OS-WILDMIND-BROWN-L</t>
  </si>
  <si>
    <t>169 - Natsu</t>
  </si>
  <si>
    <t>WHF-OS-WILDMIND-BROWN-XL</t>
  </si>
  <si>
    <t>170 - Escanor</t>
  </si>
  <si>
    <t>Manta ray&lt;19-Sep-2025&gt; [0.17] |0.03|</t>
  </si>
  <si>
    <t>OS-MANTA-S</t>
  </si>
  <si>
    <t>OS-MANTA-M</t>
  </si>
  <si>
    <t>3001 - Stare or Come Talk</t>
  </si>
  <si>
    <t>OS-MANTA-L</t>
  </si>
  <si>
    <t>OS-MANTA-XL</t>
  </si>
  <si>
    <t>WHF-OS-MANTA-S</t>
  </si>
  <si>
    <t>WHF-OS-MANTA-M</t>
  </si>
  <si>
    <t>WHF-OS-MANTA-L</t>
  </si>
  <si>
    <t>WHF-OS-MANTA-XL</t>
  </si>
  <si>
    <t>3002 - Break Bed not Heart</t>
  </si>
  <si>
    <t>3003 - Dont Hate Turns Me On</t>
  </si>
  <si>
    <t>Money for porsche&lt;19-Sep-2025&gt; [0.5] |0.22|</t>
  </si>
  <si>
    <t>OS-PORSCHE-S</t>
  </si>
  <si>
    <t>OS-PORSCHE-M</t>
  </si>
  <si>
    <t>OS-PORSCHE-L</t>
  </si>
  <si>
    <t>3004 - Save Hex</t>
  </si>
  <si>
    <t>OS-PORSCHE-XL</t>
  </si>
  <si>
    <t>3005 - googled love</t>
  </si>
  <si>
    <t>Look mom fly&lt;19-Sep-2025&gt; [0.25] |0.40|</t>
  </si>
  <si>
    <t>3006 - Eminem one shot</t>
  </si>
  <si>
    <t>OS-TRAVIS-S</t>
  </si>
  <si>
    <t>OS-TRAVIS-M</t>
  </si>
  <si>
    <t>OS-TRAVIS-L</t>
  </si>
  <si>
    <t>OS-TRAVIS-XL</t>
  </si>
  <si>
    <t>WHF-OS-TRAVIS-S</t>
  </si>
  <si>
    <t>3007 - anne marie friends</t>
  </si>
  <si>
    <t>WHF-OS-TRAVIS-M</t>
  </si>
  <si>
    <t>WHF-OS-TRAVIS-L</t>
  </si>
  <si>
    <t>WHF-OS-TRAVIS-XL</t>
  </si>
  <si>
    <t>3008 - ed sheeran shape of u</t>
  </si>
  <si>
    <t>Flying Tiger&lt;19-Sep-2025&gt; [0.15] |0.00|</t>
  </si>
  <si>
    <t>OS-FLYING-TIGER-S</t>
  </si>
  <si>
    <t>OS-FLYING-TIGER-M</t>
  </si>
  <si>
    <t>OS-FLYING-TIGER-L</t>
  </si>
  <si>
    <t>OS-FLYING-TIGER-XL</t>
  </si>
  <si>
    <t>WHF-OS-FLYING-TIGER-S</t>
  </si>
  <si>
    <t>WHF-OS-FLYING-TIGER-M</t>
  </si>
  <si>
    <t>WHF-OS-FLYING-TIGER-L</t>
  </si>
  <si>
    <t>WHF-OS-FLYING-TIGER-XL</t>
  </si>
  <si>
    <t>3009 - drake Off Script</t>
  </si>
  <si>
    <t>Eagle&lt;19-Sep-2025&gt; [0.73] |0.35|</t>
  </si>
  <si>
    <t>OS-EAGLE-S</t>
  </si>
  <si>
    <t>OS-EAGLE-M</t>
  </si>
  <si>
    <t>OS-EAGLE-L</t>
  </si>
  <si>
    <t>OS-EAGLE-XL</t>
  </si>
  <si>
    <t>WHF-OS-EAGLE-S</t>
  </si>
  <si>
    <t>WHF-OS-EAGLE-M</t>
  </si>
  <si>
    <t>WHF-OS-EAGLE-L</t>
  </si>
  <si>
    <t>WHF-OS-EAGLE-XL</t>
  </si>
  <si>
    <t>3010 - sabrina replace you</t>
  </si>
  <si>
    <t>Tiger twins Off White&lt;19-Sep-2025&gt; [0.28] |0.28|</t>
  </si>
  <si>
    <t>OS-TWINS-CREAM-S</t>
  </si>
  <si>
    <t>3011 - Chappell see u never</t>
  </si>
  <si>
    <t>OS-TWINS-CREAM-M</t>
  </si>
  <si>
    <t>OS-TWINS-CREAM-L</t>
  </si>
  <si>
    <t>OS-TWINS-CREAM-XL</t>
  </si>
  <si>
    <t>WHF-OS-TIGER-TWIN-CREAM-S</t>
  </si>
  <si>
    <t>WHF-OS-TIGER-TWIN-CREAM-M</t>
  </si>
  <si>
    <t>WHF-OS-TIGER-TWIN-CREAM-L</t>
  </si>
  <si>
    <t>WHF-OS-TIGER-TWIN-CREAM-XL</t>
  </si>
  <si>
    <t>3012 - rihana block u</t>
  </si>
  <si>
    <t>Tiger twins Ice Blue&lt;19-Sep-2025&gt; [0.19] |0.00|</t>
  </si>
  <si>
    <t>3013 - sabrina leve me alone</t>
  </si>
  <si>
    <t>OS-TWINS-ICE-S</t>
  </si>
  <si>
    <t>OS-TWINS-ICE-M</t>
  </si>
  <si>
    <t>OS-TWINS-ICE-L</t>
  </si>
  <si>
    <t>OS-TWINS-ICE-XL</t>
  </si>
  <si>
    <t>WHF-OS-TIGER-TWIN-ICEBLUE-S</t>
  </si>
  <si>
    <t>WHF-OS-TIGER-TWIN-ICEBLUE-M</t>
  </si>
  <si>
    <t>3014 - eminem dont come back</t>
  </si>
  <si>
    <t>WHF-OS-TIGER-TWIN-ICEBLUE-L</t>
  </si>
  <si>
    <t>WHF-OS-TIGER-TWIN-ICEBLUE-XL</t>
  </si>
  <si>
    <t>3015 - definitely red flag</t>
  </si>
  <si>
    <t>Cactus Jack&lt;19-Sep-2025&gt; [0.43] |0.58|</t>
  </si>
  <si>
    <t>3016 - move on get hotter</t>
  </si>
  <si>
    <t>OS-CACTUS-S</t>
  </si>
  <si>
    <t>OS-CACTUS-M</t>
  </si>
  <si>
    <t>3017 - Lewis miss her</t>
  </si>
  <si>
    <t>OS-CACTUS-L</t>
  </si>
  <si>
    <t>OS-CACTUS-XL</t>
  </si>
  <si>
    <t>WHF-OS-CACTUS-S</t>
  </si>
  <si>
    <t>WHF-OS-CACTUS-M</t>
  </si>
  <si>
    <t>WHF-OS-CACTUS-L</t>
  </si>
  <si>
    <t>WHF-OS-CACTUS-XL</t>
  </si>
  <si>
    <t>3018 - lewis miss him</t>
  </si>
  <si>
    <t>3019 - not Ferrari</t>
  </si>
  <si>
    <t>Saiyan's Pride&lt;19-Sep-2025&gt; [0.16] |0.00|</t>
  </si>
  <si>
    <t>3020 - Academic success</t>
  </si>
  <si>
    <t>Vegeta-S</t>
  </si>
  <si>
    <t>Vegeta-M</t>
  </si>
  <si>
    <t>Vegeta-L</t>
  </si>
  <si>
    <t>Vegeta-XL</t>
  </si>
  <si>
    <t>WHF-HO-SAIYANS-PRIDE-S</t>
  </si>
  <si>
    <t>3021 - billie eilish miss her</t>
  </si>
  <si>
    <t>WHF-HO-SAIYANS-PRIDE-M</t>
  </si>
  <si>
    <t>WHF-HO-SAIYANS-PRIDE-L</t>
  </si>
  <si>
    <t>WHF-HO-SAIYANS-PRIDE-XL</t>
  </si>
  <si>
    <t>3022 - billie eilish miss him</t>
  </si>
  <si>
    <t>Dark Grey Cargo&lt;19-Sep-2025&gt; [1] |0.00|</t>
  </si>
  <si>
    <t>3023 - zoro lost on purpose</t>
  </si>
  <si>
    <t>grey_cargo</t>
  </si>
  <si>
    <t>WHF-CARGO-D.GREY-S</t>
  </si>
  <si>
    <t>WHF-CARGO-D.GREY-M</t>
  </si>
  <si>
    <t>3024 - Text gojo i'd win</t>
  </si>
  <si>
    <t>WHF-CARGO-D.GREY-L</t>
  </si>
  <si>
    <t>WHF-CARGO-D.GREY-XL</t>
  </si>
  <si>
    <t>3025 - Justin Bieber STAY</t>
  </si>
  <si>
    <t>Black Cargo&lt;19-Sep-2025&gt; [1] |0.00|</t>
  </si>
  <si>
    <t>black_cargo</t>
  </si>
  <si>
    <t>WHF-CARGO-BLACK-S</t>
  </si>
  <si>
    <t>WHF-CARGO-BLACK-M</t>
  </si>
  <si>
    <t>WHF-CARGO-BLACK-L</t>
  </si>
  <si>
    <t>3026 - Chalie puth Attention</t>
  </si>
  <si>
    <t>WHF-CARGO-BLACK-XL</t>
  </si>
  <si>
    <t>3027 - Weeknd save ur tears</t>
  </si>
  <si>
    <t>3028 - selena justin no Sorry</t>
  </si>
  <si>
    <t>Levi Off-White Hoodie&lt;19-Sep-2025&gt; [0.23] |0.04|</t>
  </si>
  <si>
    <t>H-0014-S</t>
  </si>
  <si>
    <t>H-0014-M</t>
  </si>
  <si>
    <t>H-0014-L</t>
  </si>
  <si>
    <t>H-0014-XL</t>
  </si>
  <si>
    <t>WHF-HO-LEVI-S</t>
  </si>
  <si>
    <t>WHF-HO-LEVI-M</t>
  </si>
  <si>
    <t>WHF-HO-LEVI-L</t>
  </si>
  <si>
    <t>WHF-HO-LEVI-XL</t>
  </si>
  <si>
    <t>3029 - Not relationship Material</t>
  </si>
  <si>
    <t>Beru (ready)&lt;19-Sep-2025&gt; [1] |0.00|</t>
  </si>
  <si>
    <t>beru_ready</t>
  </si>
  <si>
    <t>OS-BERU-S</t>
  </si>
  <si>
    <t>OS-BERU-M</t>
  </si>
  <si>
    <t>3030 - kira stay away</t>
  </si>
  <si>
    <t>OS-BERU-L</t>
  </si>
  <si>
    <t>OS-BERU-XL</t>
  </si>
  <si>
    <t>WHF-OS-BERU-S</t>
  </si>
  <si>
    <t>WHF-OS-BERU-M</t>
  </si>
  <si>
    <t>WHF-OS-BERU-L</t>
  </si>
  <si>
    <t>WHF-OS-BERU-XL</t>
  </si>
  <si>
    <t>3031 - Guts gonna sleep</t>
  </si>
  <si>
    <t>Zenitsu (ready)&lt;19-Sep-2025&gt; [1] |0.00|</t>
  </si>
  <si>
    <t>3032 - Lost u found me I win</t>
  </si>
  <si>
    <t>zenitsu_ready</t>
  </si>
  <si>
    <t>os-zenitsu-s</t>
  </si>
  <si>
    <t>3033 - Text Isagi needs a nap</t>
  </si>
  <si>
    <t>os-zenitsu-m</t>
  </si>
  <si>
    <t>os-zenitsu-l</t>
  </si>
  <si>
    <t>os-zenitsu-xl</t>
  </si>
  <si>
    <t>WH-OS-ZENITSU-S</t>
  </si>
  <si>
    <t>WH-OS-ZENITSU-M</t>
  </si>
  <si>
    <t>WH-OS-ZENITSU-L</t>
  </si>
  <si>
    <t>WH-OS-ZENITSU-XL</t>
  </si>
  <si>
    <t>Kokushibo Hoodie (ready)&lt;19-Sep-2025&gt; [1] |0.00|</t>
  </si>
  <si>
    <t>3034 - missing zoro google map</t>
  </si>
  <si>
    <t>kokushibo_hoodie_ready</t>
  </si>
  <si>
    <t>Moon-S</t>
  </si>
  <si>
    <t>Moon-M</t>
  </si>
  <si>
    <t>Moon-L</t>
  </si>
  <si>
    <t>Moon-XL</t>
  </si>
  <si>
    <t>WHF-HO-KOKUSHIBO-S</t>
  </si>
  <si>
    <t>WHF-HO-KOKUSHIBO-M</t>
  </si>
  <si>
    <t>3035 - graphic isagi needs ego naps</t>
  </si>
  <si>
    <t>WHF-HO-KOKUSHIBO-L</t>
  </si>
  <si>
    <t>WHF-HO-KOKUSHIBO-XL</t>
  </si>
  <si>
    <t>3036 - Graphic Gojo i'd win</t>
  </si>
  <si>
    <t>Asura Sweatshirt (ready)&lt;19-Sep-2025&gt; [1] |0.00|</t>
  </si>
  <si>
    <t>3037 - Not Kira L so Chill</t>
  </si>
  <si>
    <t>asura_sweatshirt_ready</t>
  </si>
  <si>
    <t>Asura-S</t>
  </si>
  <si>
    <t>Asura-M</t>
  </si>
  <si>
    <t>Asura-L</t>
  </si>
  <si>
    <t>3038 - I should have stayed at home</t>
  </si>
  <si>
    <t>Asura-XL</t>
  </si>
  <si>
    <t>WHF-HO-ASURA-S</t>
  </si>
  <si>
    <t>WHF-HO-ASURA-M</t>
  </si>
  <si>
    <t>WHF-HO-ASURA-L</t>
  </si>
  <si>
    <t>WHF-HO-ASURA-XL</t>
  </si>
  <si>
    <t>3039 - It Is Delusional</t>
  </si>
  <si>
    <t>Illusionist Aizen (ready)&lt;19-Sep-2025&gt; [1] |0.00|</t>
  </si>
  <si>
    <t>3040 - Being a girl must be easy</t>
  </si>
  <si>
    <t>illusionist_aizen_ready</t>
  </si>
  <si>
    <t>Illusionist - S</t>
  </si>
  <si>
    <t>Illusionist - M</t>
  </si>
  <si>
    <t>Illusionist - L</t>
  </si>
  <si>
    <t>3041 - Hardcore Techno</t>
  </si>
  <si>
    <t>Illusionist - XL</t>
  </si>
  <si>
    <t>Kaiju No 8 (ready)&lt;19-Sep-2025&gt; [1] |0.00|</t>
  </si>
  <si>
    <t xml:space="preserve">kaiju_no_8_ready </t>
  </si>
  <si>
    <t>3042 - Let me Overthink</t>
  </si>
  <si>
    <t>Kaiju - S</t>
  </si>
  <si>
    <t>Kaiju - M</t>
  </si>
  <si>
    <t>Kaiju - L</t>
  </si>
  <si>
    <t>Kaiju - XL</t>
  </si>
  <si>
    <t>3043 - Life is too short do whatever</t>
  </si>
  <si>
    <t>Dabi (ready)&lt;19-Sep-2025&gt; [1] |0.00|</t>
  </si>
  <si>
    <t>dabi_ready</t>
  </si>
  <si>
    <t>OS-Dabi-S</t>
  </si>
  <si>
    <t>OS-Dabi-M</t>
  </si>
  <si>
    <t>OS-Dabi-L</t>
  </si>
  <si>
    <t>OS-Dabi-XL</t>
  </si>
  <si>
    <t>3044 - Im friendy but my wife isnt</t>
  </si>
  <si>
    <t>Asta Regular Fit&lt;19-Sep-2025&gt; [0.1] |0.00|</t>
  </si>
  <si>
    <t>0002-S</t>
  </si>
  <si>
    <t>0002-M</t>
  </si>
  <si>
    <t>0002-L</t>
  </si>
  <si>
    <t>0002-XL</t>
  </si>
  <si>
    <t>3045 - she said techno or me</t>
  </si>
  <si>
    <t>3046 - Drake or me miss her</t>
  </si>
  <si>
    <t>Grimmjow Regular Fit&lt;19-Sep-2025&gt; [0.1] |0.00|</t>
  </si>
  <si>
    <t>0003-S</t>
  </si>
  <si>
    <t>0003-M</t>
  </si>
  <si>
    <t>3047 - I Kissed your Girlfriend</t>
  </si>
  <si>
    <t>0003-L</t>
  </si>
  <si>
    <t>0003-XL</t>
  </si>
  <si>
    <t>Sukuna Regular Fit&lt;19-Sep-2025&gt; [0.1] |0.00|</t>
  </si>
  <si>
    <t>3048 - Hug Me untill i smell like you</t>
  </si>
  <si>
    <t>3049 - Sorry Girls love with my girlfriend</t>
  </si>
  <si>
    <t>Madara Regular Fit&lt;19-Sep-2025&gt; [0.1] |0.00|</t>
  </si>
  <si>
    <t>0006-S</t>
  </si>
  <si>
    <t>0006-M</t>
  </si>
  <si>
    <t>0006-L</t>
  </si>
  <si>
    <t>0006-XL</t>
  </si>
  <si>
    <t>3050 - Need a Hug from Baddie</t>
  </si>
  <si>
    <t>Yuta Regular Fit&lt;19-Sep-2025&gt; [0.1] |0.00|</t>
  </si>
  <si>
    <t>RF-YUTA-S</t>
  </si>
  <si>
    <t>3051 - She said Calvin Harris Miss Her</t>
  </si>
  <si>
    <t>RF-YUTA-M</t>
  </si>
  <si>
    <t>RF-YUTA-L</t>
  </si>
  <si>
    <t>RF-YUTA-XL</t>
  </si>
  <si>
    <t>3052 - He said Calvin Harris Miss Him</t>
  </si>
  <si>
    <t>Cream Oversized Tee&lt;19-Sep-2025&gt; [0.15] |0.00|</t>
  </si>
  <si>
    <t>WHF-OS-Cream-S</t>
  </si>
  <si>
    <t>WHF-OS-Cream-M</t>
  </si>
  <si>
    <t>WHF-OS-Cream-L</t>
  </si>
  <si>
    <t>WHF-OS-Cream-XL</t>
  </si>
  <si>
    <t>3053 - Im not Drake attachment</t>
  </si>
  <si>
    <t>3054 - sexy life gets hard</t>
  </si>
  <si>
    <t>Bottle Green Oversized Tee&lt;19-Sep-2025&gt; [0.31] |0.04|</t>
  </si>
  <si>
    <t>3055 - I Flirt for fun, and panic when it works</t>
  </si>
  <si>
    <t>WHF-OS-B.GREEN-S</t>
  </si>
  <si>
    <t>WHF-OS-B.GREEN-M</t>
  </si>
  <si>
    <t>WHF-OS-B.GREEN-L</t>
  </si>
  <si>
    <t>WHF-OS-B.GREEN-XL</t>
  </si>
  <si>
    <t>WHF-PLAIN-OS-B.GREEN-S</t>
  </si>
  <si>
    <t>Royal Blue Oversized Tee&lt;19-Sep-2025&gt; [0.22] |0.06|</t>
  </si>
  <si>
    <t>3056 - Just Kiss Me, we can talk later</t>
  </si>
  <si>
    <t>WHF-OS-R.Blue-S</t>
  </si>
  <si>
    <t>3057- I'm not flirting, I'm just hot and like to talk</t>
  </si>
  <si>
    <t>WHF-OS-R.Blue-M</t>
  </si>
  <si>
    <t>WHF-OS-R.Blue-L</t>
  </si>
  <si>
    <t>WHF-OS-R.Blue-XL</t>
  </si>
  <si>
    <t>WHF-PLAIN-OS-R.Blue-S</t>
  </si>
  <si>
    <t>WHF-PLAIN-OS-R.Blue-M</t>
  </si>
  <si>
    <t>3058 - Pretty Souls Are Rare, Pretty Faces Are Everywhere</t>
  </si>
  <si>
    <t>3059 - I HAVE SO SO MUCH LOVE FOR YOU THAT IT DOESN'T FIT</t>
  </si>
  <si>
    <t>WHF-PLAIN-OS-R.Blue-L</t>
  </si>
  <si>
    <t>WHF-PLAIN-OS-R.Blue-XL</t>
  </si>
  <si>
    <t>3060 - I LOVE WHEN PEOPLE SHUT THE FCK UP</t>
  </si>
  <si>
    <t>Taupe Oversized Tee&lt;19-Sep-2025&gt; [0.18] |0.01|</t>
  </si>
  <si>
    <t>3061 - I Told Chatgpt About U</t>
  </si>
  <si>
    <t>WHF-OS-TAN-S</t>
  </si>
  <si>
    <t>WHF-OS-TAN-M</t>
  </si>
  <si>
    <t>WHF-OS-TAN-L</t>
  </si>
  <si>
    <t>3062 - Everything I Love Is Illegal, Blonde or Expensive</t>
  </si>
  <si>
    <t>WHF-OS-TAN-XL</t>
  </si>
  <si>
    <t>WHF-PLAIN-OS-TAN-S</t>
  </si>
  <si>
    <t>WHF-PLAIN-OS-TAN-M</t>
  </si>
  <si>
    <t>WHF-PLAIN-OS-TAN-L</t>
  </si>
  <si>
    <t>WHF-PLAIN-OS-TAN-XL</t>
  </si>
  <si>
    <t>3063 - My Girlfriend Is Hotter Than You</t>
  </si>
  <si>
    <t>Plain Acid Washed Tee&lt;19-Sep-2025&gt; [0.17] |0.02|</t>
  </si>
  <si>
    <t>WHF-OS-ACID-Wash-S</t>
  </si>
  <si>
    <t>WHF-OS-ACID-Wash-M</t>
  </si>
  <si>
    <t>WHF-OS-ACID-Wash-L</t>
  </si>
  <si>
    <t>3064 - Not A Morning Person</t>
  </si>
  <si>
    <t>WHF-OS-ACID-Wash-XL</t>
  </si>
  <si>
    <t>Brown Oversized Tee&lt;19-Sep-2025&gt; [0.29] |0.08|</t>
  </si>
  <si>
    <t>3065 - I Told My Mom About U</t>
  </si>
  <si>
    <t>WHF-OS-Brown-S</t>
  </si>
  <si>
    <t>WHF-OS-Brown-M</t>
  </si>
  <si>
    <t>WHF-OS-Brown-L</t>
  </si>
  <si>
    <t>WHF-OS-Brown-XL</t>
  </si>
  <si>
    <t>3066 - Girlfriend Loves Justin Beiber</t>
  </si>
  <si>
    <t>Grey Oversized Tee&lt;19-Sep-2025&gt; [0.17] |0.04|</t>
  </si>
  <si>
    <t>3067 - Lana Del Rey Made Sadness Glamorous</t>
  </si>
  <si>
    <t>WHF-OS-Grey-S</t>
  </si>
  <si>
    <t>3068 - Make Boys Cry</t>
  </si>
  <si>
    <t>WHF-OS-Grey-M</t>
  </si>
  <si>
    <t>WHF-OS-Grey-L</t>
  </si>
  <si>
    <t>WHF-OS-Grey-XL</t>
  </si>
  <si>
    <t>WHF-PLAIN-OS-Grey-S</t>
  </si>
  <si>
    <t>WHF-PLAIN-OS-Grey-M</t>
  </si>
  <si>
    <t>3069 - He Said Drake or Me Sometimes I Miss Him</t>
  </si>
  <si>
    <t>WHF-PLAIN-OS-Grey-L</t>
  </si>
  <si>
    <t>WHF-PLAIN-OS-Grey-XL</t>
  </si>
  <si>
    <t>Black Oversized Tee&lt;19-Sep-2025&gt; [0.16] |0.01|</t>
  </si>
  <si>
    <t>3070 - I DON’T CARE IF SHE GOT RED FLAGS I'M BULL</t>
  </si>
  <si>
    <t>WHF-OS-Black-S</t>
  </si>
  <si>
    <t>WHF-OS-Black-M</t>
  </si>
  <si>
    <t>WHF-OS-Black-L</t>
  </si>
  <si>
    <t>WHF-OS-Black-XL</t>
  </si>
  <si>
    <t>WHF-PLAIN-OS-Black-S</t>
  </si>
  <si>
    <t>WHF-PLAIN-OS-Black-M</t>
  </si>
  <si>
    <t>WHF-PLAIN-OS-Black-L</t>
  </si>
  <si>
    <t>3071 - I WANT YOU I JUST CAN'T FLIRT</t>
  </si>
  <si>
    <t>WHF-PLAIN-OS-Black-XL</t>
  </si>
  <si>
    <t>3072 - Alexa Play Everyone</t>
  </si>
  <si>
    <t>Sage Green Oversized Tee&lt;19-Sep-2025&gt; [0.16] |0.01|</t>
  </si>
  <si>
    <t>3073 - F*ck N*des Send Me Your Playlist</t>
  </si>
  <si>
    <t>WHF-OS-Sage-Green-S</t>
  </si>
  <si>
    <t>WHF-OS-Sage-Green-M</t>
  </si>
  <si>
    <t>WHF-OS-Sage-Green-L</t>
  </si>
  <si>
    <t>WHF-OS-Sage-Green-XL</t>
  </si>
  <si>
    <t>WHF-PLAIN-OS-Sage-Green-S</t>
  </si>
  <si>
    <t>WHF-PLAIN-OS-Sage-Green-M</t>
  </si>
  <si>
    <t>WHF-PLAIN-OS-Sage-Green-L</t>
  </si>
  <si>
    <t>3074 - Kanye Attitude with Drake Feelings</t>
  </si>
  <si>
    <t>WHF-PLAIN-OS-Sage-Green-XL</t>
  </si>
  <si>
    <t>3075 - HE SAID RONALDO OR ME SOMETIMES I MISS HIM</t>
  </si>
  <si>
    <t>Navy Blue Oversized Tee&lt;19-Sep-2025&gt; [0.23] |0.02|</t>
  </si>
  <si>
    <t>WHF-OS-NAVY-S</t>
  </si>
  <si>
    <t>3076 - SHE SAID RONALDO OR ME SOMETIMES I MISS HER</t>
  </si>
  <si>
    <t>WHF-OS-NAVY-M</t>
  </si>
  <si>
    <t>WHF-OS-NAVY-L</t>
  </si>
  <si>
    <t>WHF-OS-NAVY-XL</t>
  </si>
  <si>
    <t>WHF-PLAIN-OS-NAVY-S</t>
  </si>
  <si>
    <t>WHF-PLAIN-OS-NAVY-M</t>
  </si>
  <si>
    <t>WHF-PLAIN-OS-NAVY-L</t>
  </si>
  <si>
    <t>WHF-PLAIN-OS-NAVY-XL</t>
  </si>
  <si>
    <t>3077 - I Can't Flirt, I am afraid of Women</t>
  </si>
  <si>
    <t>White Oversized Tee&lt;19-Sep-2025&gt; [1] |0.54|</t>
  </si>
  <si>
    <t>WHF-OS-White-S</t>
  </si>
  <si>
    <t>WHF-OS-White-M</t>
  </si>
  <si>
    <t>WHF-OS-White-L</t>
  </si>
  <si>
    <t>WHF-OS-White-XL</t>
  </si>
  <si>
    <t>WHF-PLAIN-OS-White-S</t>
  </si>
  <si>
    <t>WHF-PLAIN-OS-White-M</t>
  </si>
  <si>
    <t>WHF-PLAIN-OS-White-L</t>
  </si>
  <si>
    <t>WHF-PLAIN-OS-White-XL</t>
  </si>
  <si>
    <t>Beige Oversized Tee&lt;19-Sep-2025&gt; [0.15] |0.01|</t>
  </si>
  <si>
    <t>WHF-OS-BEIGE-S</t>
  </si>
  <si>
    <t>WHF-OS-BEIGE-M</t>
  </si>
  <si>
    <t>WHF-OS-BEIGE-L</t>
  </si>
  <si>
    <t>WHF-OS-BEIGE-XL</t>
  </si>
  <si>
    <t>Teal Oversized Tee&lt;19-Sep-2025&gt; [0.24] |0.06|</t>
  </si>
  <si>
    <t>WHF-OS-TEAL-S</t>
  </si>
  <si>
    <t>WHF-OS-TEAL-M</t>
  </si>
  <si>
    <t>WHF-OS-TEAL-L</t>
  </si>
  <si>
    <t>WHF-OS-TEAL-XL</t>
  </si>
  <si>
    <t>Ice Blue Oversized Tee&lt;19-Sep-2025&gt; [0.19] |0.00|</t>
  </si>
  <si>
    <t>WHF-OS-ICE-BLUE-S</t>
  </si>
  <si>
    <t>WHF-OS-ICE-BLUE-M</t>
  </si>
  <si>
    <t>WHF-OS-ICE-BLUE-L</t>
  </si>
  <si>
    <t>WHF-OS-ICE-BLUE-XL</t>
  </si>
  <si>
    <t>WHF-PLAIN-OS-ICE-BLUE-S</t>
  </si>
  <si>
    <t>WHF-PLAIN-OS-ICE-BLUE-M</t>
  </si>
  <si>
    <t>WHF-PLAIN-OS-ICE-BLUE-L</t>
  </si>
  <si>
    <t>WHF-PLAIN-OS-ICE-BLUE-XL</t>
  </si>
  <si>
    <t>Plain Black Hoodie&lt;19-Sep-2025&gt; [0.15] |0.00|</t>
  </si>
  <si>
    <t>WHF-HO-PLAIN-BLACK-S</t>
  </si>
  <si>
    <t>WHF-HO-PLAIN-BLACK-M</t>
  </si>
  <si>
    <t>WHF-HO-PLAIN-BLACK-L</t>
  </si>
  <si>
    <t>WHF-HO-PLAIN-BLACK-XL</t>
  </si>
  <si>
    <t>Plain Off White Hoodie&lt;19-Sep-2025&gt; [0.16] |0.01|</t>
  </si>
  <si>
    <t>WHF-HO-PLAIN-OFF-WHITE-S</t>
  </si>
  <si>
    <t>WHF-HO-PLAIN-OFF-WHITE-M</t>
  </si>
  <si>
    <t>WHF-HO-PLAIN-OFF-WHITE-L</t>
  </si>
  <si>
    <t>WHF-HO-PLAIN-OFF-WHITE-XL</t>
  </si>
  <si>
    <t>Chrollo Hoodie&lt;19-Sep-2025&gt; [1] |0.20|</t>
  </si>
  <si>
    <t>tan_hoodie</t>
  </si>
  <si>
    <t>WHF-HO-CHROLLO-S</t>
  </si>
  <si>
    <t>WHF-HO-CHROLLO-M</t>
  </si>
  <si>
    <t>WHF-HO-CHROLLO-L</t>
  </si>
  <si>
    <t>WHF-HO-CHROLLO-XL</t>
  </si>
  <si>
    <t>Gojo Fish Hoodie&lt;19-Sep-2025&gt; [1] |0.44|</t>
  </si>
  <si>
    <t>WHF-HO-GOJO-FISH-S</t>
  </si>
  <si>
    <t>WHF-HO-GOJO-FISH-M</t>
  </si>
  <si>
    <t>WHF-HO-GOJO-FISH-L</t>
  </si>
  <si>
    <t>WHF-HO-GOJO-FISH-XL</t>
  </si>
  <si>
    <t>Gojo Fish Tshirt&lt;19-Sep-2025&gt; [0.36] |0.40|</t>
  </si>
  <si>
    <t>WHF-OS-GOJO-FISH-S</t>
  </si>
  <si>
    <t>WHF-OS-GOJO-FISH-M</t>
  </si>
  <si>
    <t>WHF-OS-GOJO-FISH-L</t>
  </si>
  <si>
    <t>WHF-OS-GOJO-FISH-XL</t>
  </si>
  <si>
    <t>Asta - Black Divider Hoodie&lt;19-Sep-2025&gt; [0.35] |0.15|</t>
  </si>
  <si>
    <t>HO-BLACKDIVIDER-S</t>
  </si>
  <si>
    <t>HO-BLACKDIVIDER-M</t>
  </si>
  <si>
    <t>HO-BLACKDIVIDER-L</t>
  </si>
  <si>
    <t>HO-BLACKDIVIDER-XL</t>
  </si>
  <si>
    <t>WHF-HO-BLACKDIVIDER-S</t>
  </si>
  <si>
    <t>WHF-HO-BLACKDIVIDER-M</t>
  </si>
  <si>
    <t>WHF-HO-BLACKDIVIDER-L</t>
  </si>
  <si>
    <t>WHF-HO-BLACKDIVIDER-XL</t>
  </si>
  <si>
    <t>Dynamight Hoodie&lt;19-Sep-2025&gt; [0.25] |0.02|</t>
  </si>
  <si>
    <t>WHF-HO-DYNAMIGHT-M</t>
  </si>
  <si>
    <t>WHF-HO-DYNAMIGHT-L</t>
  </si>
  <si>
    <t>WHF-HO-DYNAMIGHT-XL</t>
  </si>
  <si>
    <t>Tan Plain Hoodie&lt;19-Sep-2025&gt; [0.22] |0.02|</t>
  </si>
  <si>
    <t>WHF-HO-TAN-S</t>
  </si>
  <si>
    <t>WHF-HO-TAN-M</t>
  </si>
  <si>
    <t>WHF-HO-TAN-L</t>
  </si>
  <si>
    <t>WHF-HO-TAN-XL</t>
  </si>
  <si>
    <t>Gojo Hand Hoodie&lt;19-Sep-2025&gt; [0.47] |0.25|</t>
  </si>
  <si>
    <t>WHF-HO-GOJO-BLACK-S</t>
  </si>
  <si>
    <t>WHF-HO-GOJO-BLACK-M</t>
  </si>
  <si>
    <t>WHF-HO-GOJO-BLACK-L</t>
  </si>
  <si>
    <t>WHF-HO-GOJO-BLACK-XL</t>
  </si>
  <si>
    <t>Plain Acid Washed Hoodie&lt;19-Sep-2025&gt; [0.32] |0.00|</t>
  </si>
  <si>
    <t>WHF-HO-ACID-WASH-HOODIE-S</t>
  </si>
  <si>
    <t>WHF-HO-ACID-WASH-HOODIE-M</t>
  </si>
  <si>
    <t>WHF-HO-ACID-WASH-HOODIE-L</t>
  </si>
  <si>
    <t>WHF-HO-ACID-WASH-HOODIE-XL</t>
  </si>
  <si>
    <t>Berserk Shirt&lt;19-Sep-2025&gt; [1] |0.11|</t>
  </si>
  <si>
    <t>berserk_shirt</t>
  </si>
  <si>
    <t>WHF-SHIRT-BERSERK-S</t>
  </si>
  <si>
    <t>WHF-SHIRT-BERSERK-M</t>
  </si>
  <si>
    <t>WHF-SHIRT-BERSERK-L</t>
  </si>
  <si>
    <t>WHF-SHIRT-BERSERK-XL</t>
  </si>
  <si>
    <t>Vigilante Tshirt&lt;19-Sep-2025&gt; [0.2] |0.09|</t>
  </si>
  <si>
    <t>WHF-VIGILANTE-S</t>
  </si>
  <si>
    <t>WHF-VIGILANTE-M</t>
  </si>
  <si>
    <t>WHF-VIGILANTE-L</t>
  </si>
  <si>
    <t>WHF-VIGILANTE-XL</t>
  </si>
  <si>
    <t>Asta Readymade tshirt (ready)&lt;19-Sep-2025&gt; [1] |0.15|</t>
  </si>
  <si>
    <t>asta_readymade_tshirt</t>
  </si>
  <si>
    <t>os-asta-s</t>
  </si>
  <si>
    <t>os-asta-m</t>
  </si>
  <si>
    <t>os-asta-l</t>
  </si>
  <si>
    <t>os-asta-xl</t>
  </si>
  <si>
    <t>OS-ASTA-S</t>
  </si>
  <si>
    <t>OS-ASTA-M</t>
  </si>
  <si>
    <t>OS-ASTA-L</t>
  </si>
  <si>
    <t>OS-ASTA-XL</t>
  </si>
  <si>
    <t>OS-Asta-S</t>
  </si>
  <si>
    <t>OS-Asta-M</t>
  </si>
  <si>
    <t>OS-Asta-L</t>
  </si>
  <si>
    <t>OS-Asta-XL</t>
  </si>
  <si>
    <t>Berserk Pent&lt;25-Mar-2026&gt; [1] |0.17|</t>
  </si>
  <si>
    <t>black_plain_pent</t>
  </si>
  <si>
    <t>WHF-PANT-BERSERK-M</t>
  </si>
  <si>
    <t>WHF-PANT-BERSERK-L</t>
  </si>
  <si>
    <t>Berserk Armour Tshirt&lt;14-Mar-2026&gt; [1] |0.98|</t>
  </si>
  <si>
    <t>armour_acid_wash_tshirt</t>
  </si>
  <si>
    <t>WHF-RF-BerserkPattern-S</t>
  </si>
  <si>
    <t>WHF-RF-BerserkPattern-M</t>
  </si>
  <si>
    <t>WHF-RF-BerserkPattern-L</t>
  </si>
  <si>
    <t>WHF-RF-BerserkPattern-XL</t>
  </si>
  <si>
    <t>Chrollo grey Tshirt&lt;27-Apr-2026&gt; [0.55] |0.80|</t>
  </si>
  <si>
    <t>WHF-OS-CHROLLO-GREY-S</t>
  </si>
  <si>
    <t>WHF-OS-CHROLLO-GREY-M</t>
  </si>
  <si>
    <t>WHF-OS-CHROLLO-GREY-L</t>
  </si>
  <si>
    <t>Chrollo beige Tshirt&lt;27-Apr-2026&gt; [0.17] |0.07|</t>
  </si>
  <si>
    <t>WHF-OS-CHROLLO-BEIGE-S</t>
  </si>
  <si>
    <t>WHF-OS-CHROLLO-BEIGE-M</t>
  </si>
  <si>
    <t>WHF-OS-CHROLLO-BEIGE-L</t>
  </si>
  <si>
    <t>WHF-OS-CHROLLO-BEIGE-XL</t>
  </si>
  <si>
    <t>Fire Force Tshirt&lt;27-Apr-2026&gt; [0.24] |0.37|</t>
  </si>
  <si>
    <t>WHF-OS-DEVIL-FIRE-FORCE-S</t>
  </si>
  <si>
    <t>WHF-OS-DEVIL-FIRE-FORCE-M</t>
  </si>
  <si>
    <t>WHF-OS-DEVIL-FIRE-FORCE-L</t>
  </si>
  <si>
    <t>WHF-OS-DEVIL-FIRE-FORCE-XL</t>
  </si>
  <si>
    <t>F1 Tshirt&lt;27-Apr-2026&gt; [1] |0.18|</t>
  </si>
  <si>
    <t>red_tshirt</t>
  </si>
  <si>
    <t>WHF-OS-F1-S</t>
  </si>
  <si>
    <t>WHF-OS-F1-M</t>
  </si>
  <si>
    <t>WHF-OS-F1-L</t>
  </si>
  <si>
    <t>WHF-OS-F1-XL</t>
  </si>
  <si>
    <t>Yuta Tshirt&lt;27-Apr-2026&gt; [0.92] |0.50|</t>
  </si>
  <si>
    <t>WHF-OS-YUTA-S</t>
  </si>
  <si>
    <t>WHF-OS-YUTA-M</t>
  </si>
  <si>
    <t>WHF-OS-YUTA-L</t>
  </si>
  <si>
    <t>WHF-OS-YUTA-XL</t>
  </si>
  <si>
    <t>Griffith Tshirt&lt;27-Apr-2026&gt; [1] |0.41|</t>
  </si>
  <si>
    <t>nexa_washed_green_tshirt</t>
  </si>
  <si>
    <t>WHF-OS-GRIFFITH-S</t>
  </si>
  <si>
    <t>WHF-OS-GRIFFITH-M</t>
  </si>
  <si>
    <t>WHF-OS-GRIFFITH-L</t>
  </si>
  <si>
    <t>WHF-OS-GRIFFITH-XL</t>
  </si>
  <si>
    <t>Fire Force Pent&lt;27-Apr-2026&gt; [0.38] |0.04|</t>
  </si>
  <si>
    <t>WHF-PANT-FIREFORCE-S</t>
  </si>
  <si>
    <t>WHF-PANT-FIREFORCE-M</t>
  </si>
  <si>
    <t>WHF-PANT-FIREFORCE-L</t>
  </si>
  <si>
    <t>WHF-PANT-FIREFORCE-XL</t>
  </si>
  <si>
    <t>Bungee Gum Pent&lt;27-Apr-2026&gt; [0.77] |0.13|</t>
  </si>
  <si>
    <t>WHF-PANT-BUNGEE-S</t>
  </si>
  <si>
    <t>WHF-PANT-BUNGEE-M</t>
  </si>
  <si>
    <t>WHF-PANT-BUNGEE-XL</t>
  </si>
  <si>
    <t>Sukuna Pent&lt;27-Apr-2026&gt; [0.31] |0.02|</t>
  </si>
  <si>
    <t>WHF-PANT-SUKUNA-S</t>
  </si>
  <si>
    <t>WHF-PANT-SUKUNA-M</t>
  </si>
  <si>
    <t>WHF-PANT-SUKUNA-L</t>
  </si>
  <si>
    <t>WHF-PANT-SUKUNA-XL</t>
  </si>
  <si>
    <t>Sasuke Pent&lt;27-Apr-2026&gt; [0.29] |0.02|</t>
  </si>
  <si>
    <t>WHF-PANT-SNAKE-S</t>
  </si>
  <si>
    <t>WHF-PANT-SNAKE-M</t>
  </si>
  <si>
    <t>WHF-PANT-SNAKE-L</t>
  </si>
  <si>
    <t>WHF-PANT-SNAKE-XL</t>
  </si>
  <si>
    <t>Cherry Blossom Tshirt&lt;26-May-2026&gt; [1] |1.83|</t>
  </si>
  <si>
    <t>WHF-OS-CHERRY-BLOSSOM-S</t>
  </si>
  <si>
    <t>WHF-OS-CHERRY-BLOSSOM-M</t>
  </si>
  <si>
    <t>WHF-OS-CHERRY-BLOSSOM-L</t>
  </si>
  <si>
    <t>WHF-OS-CHERRY-BLOSSOM-XL</t>
  </si>
  <si>
    <t>Divine Touch Tshirt&lt;30-May-2026&gt; [1] |0.86|</t>
  </si>
  <si>
    <t>WHF-OS-DIVINE-TOUCH-S</t>
  </si>
  <si>
    <t>WHF-OS-DIVINE-TOUCH-M</t>
  </si>
  <si>
    <t>WHF-OS-DIVINE-TOUCH-L</t>
  </si>
  <si>
    <t>WHF-OS-DIVINE-TOUCH-XL</t>
  </si>
  <si>
    <t>114 - Golden Caps</t>
  </si>
  <si>
    <t>Golden Cap Tshirt&lt;19-Sep-2025&gt; [0.18] |0.02|</t>
  </si>
  <si>
    <t>WHF-OS-GOLDEN-CAP-S</t>
  </si>
  <si>
    <t>WHF-OS-GOLDEN-CAP-M</t>
  </si>
  <si>
    <t>WHF-OS-GOLDEN-CAP-L</t>
  </si>
  <si>
    <t>WHF-OS-GOLDEN-CAP-XL</t>
  </si>
  <si>
    <t>Himalayas Tshirt&lt;14-Jun-2026&gt; [0.31] |0.12|</t>
  </si>
  <si>
    <t>WHF-OS-HIMALAYAS-S</t>
  </si>
  <si>
    <t>WHF-OS-HIMALAYAS-M</t>
  </si>
  <si>
    <t>WHF-OS-HIMALAYAS-L</t>
  </si>
  <si>
    <t>WHF-OS-HIMALAYAS-XL</t>
  </si>
  <si>
    <t>116 - Mindset Teal 26May26</t>
  </si>
  <si>
    <t>Chess Ice Teal Tshirt&lt;26-May-2026&gt; [0.1] |0.00|</t>
  </si>
  <si>
    <t>WHF-OS-TEAL-CHESS-ICE-S</t>
  </si>
  <si>
    <t>WHF-OS-TEAL-CHESS-ICE-M</t>
  </si>
  <si>
    <t>WHF-OS-TEAL-CHESS-ICE-L</t>
  </si>
  <si>
    <t>WHF-OS-TEAL-CHESS-ICE-XL</t>
  </si>
  <si>
    <t>117 - Mindset White 1June26</t>
  </si>
  <si>
    <t>Chess Ice White Tshirt&lt;01-Jun-2026&gt; [0.2] |0.04|</t>
  </si>
  <si>
    <t>WHF-OS-WHITE-CHESS-ICE-S</t>
  </si>
  <si>
    <t>WHF-OS-WHITE-CHESS-ICE-M</t>
  </si>
  <si>
    <t>WHF-OS-WHITE-CHESS-ICE-L</t>
  </si>
  <si>
    <t>WHF-OS-WHITE-CHESS-ICE-XL</t>
  </si>
  <si>
    <t>Royalti - Hathi Tshirt&lt;01-Jun-2026&gt; [0.19] |0.09|</t>
  </si>
  <si>
    <t>WHF-OS-ROYALITY-S</t>
  </si>
  <si>
    <t>WHF-OS-ROYALITY-M</t>
  </si>
  <si>
    <t>WHF-OS-ROYALITY-L</t>
  </si>
  <si>
    <t>WHF-OS-ROYALITY-XL</t>
  </si>
  <si>
    <t>Supreme Mentality&lt;14-Jun-2026&gt; [0.17] |0.04|</t>
  </si>
  <si>
    <t>WHF-OS-SUPREME-MENTALITY-S</t>
  </si>
  <si>
    <t>WHF-OS-SUPREME-MENTALITY-M</t>
  </si>
  <si>
    <t>WHF-OS-SUPREME-MENTALITY-L</t>
  </si>
  <si>
    <t>WHF-OS-SUPREME-MENTALITY-XL</t>
  </si>
  <si>
    <t>Gujarat Tshirt&lt;26-May-2026&gt; [0.29] |0.10|</t>
  </si>
  <si>
    <t>WHF-OS-GUJARAT-S</t>
  </si>
  <si>
    <t>WHF-OS-GUJARAT-M</t>
  </si>
  <si>
    <t>WHF-OS-GUJARAT-L</t>
  </si>
  <si>
    <t>WHF-OS-GUJARAT-XL</t>
  </si>
  <si>
    <t>Rajasthan Tshirt&lt;26-May-2026&gt; [0.16] |0.02|</t>
  </si>
  <si>
    <t>WHF-OS-RAJASTHAN-S</t>
  </si>
  <si>
    <t>WHF-OS-RAJASTHAN-M</t>
  </si>
  <si>
    <t>WHF-OS-RAJASTHAN-L</t>
  </si>
  <si>
    <t>WHF-OS-RAJASTHAN-XL</t>
  </si>
  <si>
    <t>Maharashtra Tshirt&lt;26-May-2026&gt; [0.16] |0.02|</t>
  </si>
  <si>
    <t>WHF-OS-MAHARASHTRA-S</t>
  </si>
  <si>
    <t>WHF-OS-MAHARASHTRA-M</t>
  </si>
  <si>
    <t>WHF-OS-MAHARASHTRA-L</t>
  </si>
  <si>
    <t>WHF-OS-MAHARASHTRA-XL</t>
  </si>
  <si>
    <t>Hot GF Tshirt&lt;26-May-2026&gt; [0.66] |0.38|</t>
  </si>
  <si>
    <t>WHF-OS-HOT-GF-S</t>
  </si>
  <si>
    <t>WHF-OS-HOT-GF-M</t>
  </si>
  <si>
    <t>WHF-OS-HOT-GF-L</t>
  </si>
  <si>
    <t>WHF-OS-HOT-GF-XL</t>
  </si>
  <si>
    <t>Alcoholic Tshirt&lt;26-May-2026&gt; [0.41] |0.22|</t>
  </si>
  <si>
    <t>WHF-OS-ALCOHOLIC-S</t>
  </si>
  <si>
    <t>WHF-OS-ALCOHOLIC-M</t>
  </si>
  <si>
    <t>WHF-OS-ALCOHOLIC-L</t>
  </si>
  <si>
    <t>WHF-OS-ALCOHOLIC-XL</t>
  </si>
  <si>
    <t>Good Girl Tshirt&lt;26-May-2026&gt; [0.1] |0.00|</t>
  </si>
  <si>
    <t>WHF-OS-GOOD-GIRL-S</t>
  </si>
  <si>
    <t>WHF-OS-GOOD-GIRL-M</t>
  </si>
  <si>
    <t>WHF-OS-GOOD-GIRL-L</t>
  </si>
  <si>
    <t>WHF-OS-GOOD-GIRL-XL</t>
  </si>
  <si>
    <t>Malibu Tshirt&lt;26-May-2026&gt; [0.16] |0.02|</t>
  </si>
  <si>
    <t>WHF-OS-MALIBU-S</t>
  </si>
  <si>
    <t>WHF-OS-MALIBU-M</t>
  </si>
  <si>
    <t>WHF-OS-MALIBU-L</t>
  </si>
  <si>
    <t>WHF-OS-MALIBU-XL</t>
  </si>
  <si>
    <t>Flirting Tshirt&lt;26-May-2026&gt; [0.38] |0.43|</t>
  </si>
  <si>
    <t>WHF-OS-FLIRTING-S</t>
  </si>
  <si>
    <t>WHF-OS-FLIRTING-M</t>
  </si>
  <si>
    <t>WHF-OS-FLIRTING-L</t>
  </si>
  <si>
    <t>WHF-OS-FLIRTING-XL</t>
  </si>
  <si>
    <t>Lily Pent&lt;07-Jun-2026&gt; [0.94] |0.16|</t>
  </si>
  <si>
    <t>WHF-PANT-LILY-S</t>
  </si>
  <si>
    <t>WHF-PANT-LILY-M</t>
  </si>
  <si>
    <t>WHF-PANT-LILY-L</t>
  </si>
  <si>
    <t>WHF-PANT-LILY-XL</t>
  </si>
  <si>
    <t>Heart Pent&lt;26-Jun-2026&gt; [0.27] |0.02|</t>
  </si>
  <si>
    <t>WHF-PANT-HEART-S</t>
  </si>
  <si>
    <t>WHF-PANT-HEART-M</t>
  </si>
  <si>
    <t>WHF-PANT-HEART-L</t>
  </si>
  <si>
    <t>WHF-PANT-HEART-XL</t>
  </si>
  <si>
    <t>Mob Psycho Tshirt&lt;02-Jul-2026&gt; [0.1] |0.00|</t>
  </si>
  <si>
    <t>WHF-OS-MOB-PSYCHO-S</t>
  </si>
  <si>
    <t>WHF-OS-MOB-PSYCHO-M</t>
  </si>
  <si>
    <t>WHF-OS-MOB-PSYCHO-L</t>
  </si>
  <si>
    <t>WHF-OS-MOB-PSYCHO-XL</t>
  </si>
  <si>
    <t>Tsukuyomi (Ready Tshirt) (ready)&lt;19-Sep-2025&gt; [1] |0.42|</t>
  </si>
  <si>
    <t>tsukuyomi_tshirt_ready</t>
  </si>
  <si>
    <t>WHF-OS-TSUKUYOMI-S</t>
  </si>
  <si>
    <t>WHF-OS-TSUKUYOMI-M</t>
  </si>
  <si>
    <t>WHF-OS-TSUKUYOMI-L</t>
  </si>
  <si>
    <t>WHF-OS-TSUKUYOMI-XL</t>
  </si>
  <si>
    <t>Blood Sword Tshirt (Acid)&lt;02-Jul-2026&gt; [0.31] |0.34|</t>
  </si>
  <si>
    <t>WHF-OS-BLOOD-SWORD-S</t>
  </si>
  <si>
    <t>WHF-OS-BLOOD-SWORD-M</t>
  </si>
  <si>
    <t>WHF-OS-BLOOD-SWORD-L</t>
  </si>
  <si>
    <t>WHF-OS-BLOOD-SWORD-XL</t>
  </si>
  <si>
    <t>Green Clover Tshirt (Nexa)&lt;02-Jul-2026&gt; [0.22] |0.04|</t>
  </si>
  <si>
    <t>WHF-OS-GREEN-CLOVER-S</t>
  </si>
  <si>
    <t>WHF-OS-GREEN-CLOVER-M</t>
  </si>
  <si>
    <t>WHF-OS-GREEN-CLOVER-L</t>
  </si>
  <si>
    <t>WHF-OS-GREEN-CLOVER-XL</t>
  </si>
  <si>
    <t>Kurta Tshirt (Acid)&lt;02-Jul-2026&gt; [0.24] |0.17|</t>
  </si>
  <si>
    <t>WHF-OS-KURTA-S</t>
  </si>
  <si>
    <t>WHF-OS-KURTA-M</t>
  </si>
  <si>
    <t>WHF-OS-KURTA-L</t>
  </si>
  <si>
    <t>WHF-OS-KURTA-XL</t>
  </si>
  <si>
    <t>Hand locket Tshirt (Acid)&lt;02-Jul-2026&gt; [0.28] |0.24|</t>
  </si>
  <si>
    <t>WHF-OS-HAND-LOCKET-S</t>
  </si>
  <si>
    <t>WHF-OS-HAND-LOCKET-M</t>
  </si>
  <si>
    <t>WHF-OS-HAND-LOCKET-L</t>
  </si>
  <si>
    <t>WHF-OS-HAND-LOCKET-XL</t>
  </si>
  <si>
    <t>Skull Tshirt (Acid)&lt;21-Jul-2026&gt; [0.25] |0.21|</t>
  </si>
  <si>
    <t>WHF-OS-SKULL-S</t>
  </si>
  <si>
    <t>WHF-OS-SKULL-M</t>
  </si>
  <si>
    <t>WHF-OS-SKULL-L</t>
  </si>
  <si>
    <t>WHF-OS-SKULL-XL</t>
  </si>
  <si>
    <t>Scars on back Tshirt (Nexa)&lt;02-Jul-2026&gt; [0.23] |0.03|</t>
  </si>
  <si>
    <t>WHF-OS-SCARS-ON-BACK-S</t>
  </si>
  <si>
    <t>WHF-OS-SCARS-ON-BACK-M</t>
  </si>
  <si>
    <t>WHF-OS-SCARS-ON-BACK-L</t>
  </si>
  <si>
    <t>WHF-OS-SCARS-ON-BACK-XL</t>
  </si>
  <si>
    <t>Shunsui Tshirt&lt;02-Jul-2026&gt; [0.32] |0.12|</t>
  </si>
  <si>
    <t>WHF-OS-SHUNSUI-S</t>
  </si>
  <si>
    <t>WHF-OS-SHUNSUI-M</t>
  </si>
  <si>
    <t>WHF-OS-SHUNSUI-L</t>
  </si>
  <si>
    <t>WHF-OS-SHUNSUI-XL</t>
  </si>
  <si>
    <t>White bread Tshirt (Acid)&lt;22-Jul-2026&gt; [0.1] |0.00|</t>
  </si>
  <si>
    <t>WHF-OS-WHITE-BEARD-S</t>
  </si>
  <si>
    <t>WHF-OS-WHITE-BEARD-M</t>
  </si>
  <si>
    <t>WHF-OS-WHITE-BEARD-L</t>
  </si>
  <si>
    <t>WHF-OS-WHITE-BEARD-XL</t>
  </si>
  <si>
    <t>Eight Batch Tshirt (Acid)&lt;02-Jul-2026&gt; [0.19] |0.07|</t>
  </si>
  <si>
    <t>WHF-OS-EIGHT-BATCH-S</t>
  </si>
  <si>
    <t>WHF-OS-EIGHT-BATCH-M</t>
  </si>
  <si>
    <t>WHF-OS-EIGHT-BATCH-L</t>
  </si>
  <si>
    <t>WHF-OS-EIGHT-BATCH-XL</t>
  </si>
  <si>
    <t>No enemies&lt;22-Jul-2026&gt; [0.16] |0.05|</t>
  </si>
  <si>
    <t>WHF-OS-NO-ENEMIES-S</t>
  </si>
  <si>
    <t>WHF-OS-NO-ENEMIES-M</t>
  </si>
  <si>
    <t>WHF-OS-NO-ENEMIES-L</t>
  </si>
  <si>
    <t>WHF-OS-NO-ENEMIES-XL</t>
  </si>
  <si>
    <t>strongest&lt;22-Jul-2026&gt; [0.88] |0.64|</t>
  </si>
  <si>
    <t>WHF-OS-STRONGEST-S</t>
  </si>
  <si>
    <t>WHF-OS-STRONGEST-M</t>
  </si>
  <si>
    <t>WHF-OS-STRONGEST-L</t>
  </si>
  <si>
    <t>WHF-OS-STRONGEST-XL</t>
  </si>
  <si>
    <t>kon Tshirt (Acid)&lt;03-Jul-2026&gt; [0.19] |0.07|</t>
  </si>
  <si>
    <t>WHF-OS-KON-S</t>
  </si>
  <si>
    <t>WHF-OS-KON-M</t>
  </si>
  <si>
    <t>WHF-OS-KON-L</t>
  </si>
  <si>
    <t>WHF-OS-KON-XL</t>
  </si>
  <si>
    <t>long Hair Tshirt (Acid)&lt;03-Jul-2026&gt; [0.2] |0.10|</t>
  </si>
  <si>
    <t>WHF-OS-LONG-HAIR-S</t>
  </si>
  <si>
    <t>WHF-OS-LONG-HAIR-M</t>
  </si>
  <si>
    <t>WHF-OS-LONG-HAIR-L</t>
  </si>
  <si>
    <t>WHF-OS-LONG-HAIR-XL</t>
  </si>
  <si>
    <t>Black Bull Tshirt (Acid)&lt;03-Jul-2026&gt; [0.28] |0.28|</t>
  </si>
  <si>
    <t>WHF-OS-BLACK-BULL-M</t>
  </si>
  <si>
    <t>WHF-OS-BLACK-BULL-XL</t>
  </si>
  <si>
    <t>Six Eyes&lt;03-Jul-2026&gt; [0.56] |0.42|</t>
  </si>
  <si>
    <t>WHF-OS-SIX-EYES-S</t>
  </si>
  <si>
    <t>WHF-OS-SIX-EYES-M</t>
  </si>
  <si>
    <t>WHF-OS-SIX-EYES-L</t>
  </si>
  <si>
    <t>WHF-OS-SIX-EYES-XL</t>
  </si>
  <si>
    <t>My Magic Tshirt (Acid)&lt;03-Jul-2026&gt; [0.18] |0.05|</t>
  </si>
  <si>
    <t>WHF-OS-MY-MAGIC-S</t>
  </si>
  <si>
    <t>WHF-OS-MY-MAGIC-M</t>
  </si>
  <si>
    <t>WHF-OS-MY-MAGIC-L</t>
  </si>
  <si>
    <t>WHF-OS-MY-MAGIC-XL</t>
  </si>
  <si>
    <t>Ghoul Tshirt (Acid)&lt;22-Jul-2026&gt; [0.48] |0.69|</t>
  </si>
  <si>
    <t>WHF-OS-GHOUL-S</t>
  </si>
  <si>
    <t>WHF-OS-GHOUL-M</t>
  </si>
  <si>
    <t>WHF-OS-GHOUL-L</t>
  </si>
  <si>
    <t>WHF-OS-GHOUL-XL</t>
  </si>
  <si>
    <t>Two Guns Tshirt&lt;03-Jul-2026&gt; [0.23] |0.06|</t>
  </si>
  <si>
    <t>WHF-OS-TWO-GUNS-S</t>
  </si>
  <si>
    <t>WHF-OS-TWO-GUNS-M</t>
  </si>
  <si>
    <t>WHF-OS-TWO-GUNS-L</t>
  </si>
  <si>
    <t>WHF-OS-TWO-GUNS-XL</t>
  </si>
  <si>
    <t>Hand Clap Tshirt (Acid)&lt;03-Jul-2026&gt; [0.43] |0.55|</t>
  </si>
  <si>
    <t>WHF-OS-HAND-CLAP-S</t>
  </si>
  <si>
    <t>WHF-OS-HAND-CLAP-L</t>
  </si>
  <si>
    <t>WHF-OS-HAND-CLAP-XL</t>
  </si>
  <si>
    <t>Death Tshirt (Acid)&lt;22-Jul-2026&gt; [0.36] |0.44|</t>
  </si>
  <si>
    <t>WHF-OS-DEATH-S</t>
  </si>
  <si>
    <t>WHF-OS-DEATH-M</t>
  </si>
  <si>
    <t>WHF-OS-DEATH-L</t>
  </si>
  <si>
    <t>WHF-OS-DEATH-XL</t>
  </si>
  <si>
    <t>0 Shirt&lt;26-May-2026&gt; [0.66] |0.32|</t>
  </si>
  <si>
    <t>black_shirt</t>
  </si>
  <si>
    <t>WHF-SHIRT-ZERO-S</t>
  </si>
  <si>
    <t>WHF-SHIRT-ZERO-M</t>
  </si>
  <si>
    <t>WHF-SHIRT-ZERO-L</t>
  </si>
  <si>
    <t>WHF-SHIRT-ZERO-XL</t>
  </si>
  <si>
    <t>Heart Shirt&lt;26-May-2026&gt; [0.1] |0.00|</t>
  </si>
  <si>
    <t>WHF-SHIRT-HEART-S</t>
  </si>
  <si>
    <t>WHF-SHIRT-HEART-M</t>
  </si>
  <si>
    <t>WHF-SHIRT-HEART-L</t>
  </si>
  <si>
    <t>WHF-SHIRT-HEART-XL</t>
  </si>
  <si>
    <t>EL Shirt&lt;30-Aug-2026&gt; [0.4] |0.06|</t>
  </si>
  <si>
    <t>WHF-SHIRT-EL-S</t>
  </si>
  <si>
    <t>WHF-SHIRT-EL-M</t>
  </si>
  <si>
    <t>WHF-SHIRT-EL-L</t>
  </si>
  <si>
    <t>WHF-SHIRT-EL-XL</t>
  </si>
  <si>
    <t>Gear 5 Shirt&lt;30-Aug-2026&gt; [0.8] |0.95|</t>
  </si>
  <si>
    <t>WHF-SHIRT-GEAR5-S</t>
  </si>
  <si>
    <t>WHF-SHIRT-GEAR5-M</t>
  </si>
  <si>
    <t>WHF-SHIRT-GEAR5-L</t>
  </si>
  <si>
    <t>WHF-SHIRT-GEAR5-XL</t>
  </si>
  <si>
    <t>Kurama Shirt&lt;26-May-2026&gt; [0.19] |0.03|</t>
  </si>
  <si>
    <t>WHF-SHIRT-KURAMA-S</t>
  </si>
  <si>
    <t>WHF-SHIRT-KURAMA-M</t>
  </si>
  <si>
    <t>WHF-SHIRT-KURAMA-L</t>
  </si>
  <si>
    <t>WHF-SHIRT-KURAMA-XL</t>
  </si>
  <si>
    <t>Mob Psycho Shirt&lt;30-Aug-2026&gt; [0.29] |0.05|</t>
  </si>
  <si>
    <t>WHF-SHIRT-MOB-PSYCHO-S</t>
  </si>
  <si>
    <t>WHF-SHIRT-MOB-PSYCHO-M</t>
  </si>
  <si>
    <t>WHF-SHIRT-MOB-PSYCHO-L</t>
  </si>
  <si>
    <t>WHF-SHIRT-MOB-PSYCHO-XL</t>
  </si>
  <si>
    <t>Vagabond Shirt&lt;30-Aug-2026&gt; [0.44] |0.17|</t>
  </si>
  <si>
    <t>WHF-SHIRT-VAGABOND-S</t>
  </si>
  <si>
    <t>WHF-SHIRT-VAGABOND-M</t>
  </si>
  <si>
    <t>WHF-SHIRT-VAGABOND-L</t>
  </si>
  <si>
    <t>WHF-SHIRT-VAGABOND-XL</t>
  </si>
  <si>
    <t>SpiderMan Tshirt Red&lt;30-Aug-2026&gt; [0.4] |0.05|</t>
  </si>
  <si>
    <t>WHF-OS-SPIDERMAN-RED-S</t>
  </si>
  <si>
    <t>WHF-OS-SPIDERMAN-RED-M</t>
  </si>
  <si>
    <t>WHF-OS-SPIDERMAN-RED-L</t>
  </si>
  <si>
    <t>WHF-OS-SPIDERMAN-RED-XL</t>
  </si>
  <si>
    <t>SpiderMan Tshirt&lt;30-Aug-2026&gt; [0.43] |0.16|</t>
  </si>
  <si>
    <t>WHF-OS-SPIDERMAN-BLACK-S</t>
  </si>
  <si>
    <t>WHF-OS-SPIDERMAN-BLACK-L</t>
  </si>
  <si>
    <t>WHF-OS-SPIDERMAN-BLACK-XL</t>
  </si>
  <si>
    <t>Black Clover Skull&lt;19-Sep-2026&gt; [0.56] |0.20|</t>
  </si>
  <si>
    <t>WHF-OS-BLACK-CLOVER-SKULL-S</t>
  </si>
  <si>
    <t>WHF-OS-BLACK-CLOVER-SKULL-M</t>
  </si>
  <si>
    <t>WHF-OS-BLACK-CLOVER-SKULL-L</t>
  </si>
  <si>
    <t>WHF-OS-BLACK-CLOVER-SKULL-XL</t>
  </si>
  <si>
    <t>Vinland Saga Brown&lt;19-Sep-2026&gt; [0.56] |0.20|</t>
  </si>
  <si>
    <t>WHF-OS-VINLAND-BROWN-S</t>
  </si>
  <si>
    <t>WHF-OS-VINLAND-BROWN-M</t>
  </si>
  <si>
    <t>WHF-OS-VINLAND-BROWN-L</t>
  </si>
  <si>
    <t>WHF-OS-VINLAND-BROWN-XL</t>
  </si>
  <si>
    <t>Kenpachi&lt;19-Sep-2026&gt; [0.56] |0.20|</t>
  </si>
  <si>
    <t>WHF-OS-KENPACHI-S</t>
  </si>
  <si>
    <t>WHF-OS-KENPACHI-M</t>
  </si>
  <si>
    <t>WHF-OS-KENPACHI-L</t>
  </si>
  <si>
    <t>WHF-OS-KENPACHI-XL</t>
  </si>
  <si>
    <t>Gachiakuta&lt;19-Sep-2026&gt; [0.56] |0.20|</t>
  </si>
  <si>
    <t>WHF-OS-GACHIAKUTA-S</t>
  </si>
  <si>
    <t>WHF-OS-GACHIAKUTA-M</t>
  </si>
  <si>
    <t>WHF-OS-GACHIAKUTA-L</t>
  </si>
  <si>
    <t>WHF-OS-GACHIAKUTA-XL</t>
  </si>
  <si>
    <t>Evangelion&lt;19-Sep-2026&gt; [0.56] |0.20|</t>
  </si>
  <si>
    <t>WHF-OS-EVANGELION-S</t>
  </si>
  <si>
    <t>WHF-OS-EVANGELION-L</t>
  </si>
  <si>
    <t>WHF-OS-EVANGELION-XL</t>
  </si>
  <si>
    <t>Luffy Bubbles&lt;19-Sep-2026&gt; [1] |0.00|</t>
  </si>
  <si>
    <t>black_reverse_stitch_tshirt</t>
  </si>
  <si>
    <t>WHF-OS-LUFFY-BUBBLES-S</t>
  </si>
  <si>
    <t>WHF-OS-LUFFY-BUBBLES-M</t>
  </si>
  <si>
    <t>WHF-OS-LUFFY-BUBBLES-L</t>
  </si>
  <si>
    <t>WHF-OS-LUFFY-BUBBLES-XL</t>
  </si>
  <si>
    <t>Ace Flame&lt;19-Sep-2026&gt; [0.56] |0.20|</t>
  </si>
  <si>
    <t>WHF-OS-ACE-FLAME-S</t>
  </si>
  <si>
    <t>WHF-OS-ACE-FLAME-M</t>
  </si>
  <si>
    <t>WHF-OS-ACE-FLAME-L</t>
  </si>
  <si>
    <t>WHF-OS-ACE-FLAME-XL</t>
  </si>
  <si>
    <t>Ryuk&lt;19-Sep-2026&gt; [0.56] |0.20|</t>
  </si>
  <si>
    <t>WHF-OS-RYUK-FRONT-S</t>
  </si>
  <si>
    <t>WHF-OS-RYUK-FRONT-M</t>
  </si>
  <si>
    <t>WHF-OS-RYUK-FRONT-L</t>
  </si>
  <si>
    <t>WHF-OS-RYUK-FRONT-XL</t>
  </si>
  <si>
    <t>Natsu&lt;19-Sep-2026&gt; [0.56] |0.20|</t>
  </si>
  <si>
    <t>WHF-OS-NATSU-S</t>
  </si>
  <si>
    <t>WHF-OS-NATSU-M</t>
  </si>
  <si>
    <t>WHF-OS-NATSU-L</t>
  </si>
  <si>
    <t>WHF-OS-NATSU-XL</t>
  </si>
  <si>
    <t>Escanor&lt;19-Sep-2026&gt; [0.56] |0.20|</t>
  </si>
  <si>
    <t>WHF-OS-ESCANOR-S</t>
  </si>
  <si>
    <t>WHF-OS-ESCANOR-M</t>
  </si>
  <si>
    <t>WHF-OS-ESCANOR-L</t>
  </si>
  <si>
    <t>WHF-OS-ESCANOR-XL</t>
  </si>
  <si>
    <t>Vinland Saga Teal&lt;19-Sep-2026&gt; [0.56] |0.20|</t>
  </si>
  <si>
    <t>WHF-OS-VINLAND-TEAL-S</t>
  </si>
  <si>
    <t>WHF-OS-VINLAND-TEAL-M</t>
  </si>
  <si>
    <t>WHF-OS-VINLAND-TEAL-L</t>
  </si>
  <si>
    <t>WHF-OS-VINLAND-TEAL-XL</t>
  </si>
  <si>
    <t>Stare or Come Talk&lt;01-May-2026&gt; [0.1] |0.00|</t>
  </si>
  <si>
    <t>SB-OS-STARE-COME-S</t>
  </si>
  <si>
    <t>SB-OS-STARE-COME-M</t>
  </si>
  <si>
    <t>SB-OS-STARE-COME-L</t>
  </si>
  <si>
    <t>SB-OS-STARE-COME-XL</t>
  </si>
  <si>
    <t>Break Bed not Heart&lt;01-May-2026&gt; [0.1] |0.00|</t>
  </si>
  <si>
    <t>SB-OS-BREAK-BAD-S</t>
  </si>
  <si>
    <t>SB-OS-BREAK-BAD-M</t>
  </si>
  <si>
    <t>SB-OS-BREAK-BAD-L</t>
  </si>
  <si>
    <t>SB-OS-BREAK-BAD-XL</t>
  </si>
  <si>
    <t>Dont Hate Turns Me On&lt;01-May-2026&gt; [0.1] |0.00|</t>
  </si>
  <si>
    <t>SB-OS-DONT-HATE-ME-S</t>
  </si>
  <si>
    <t>SB-OS-DONT-HATE-ME-M</t>
  </si>
  <si>
    <t>SB-OS-DONT-HATE-ME-L</t>
  </si>
  <si>
    <t>SB-OS-DONT-HATE-ME-XL</t>
  </si>
  <si>
    <t>Save Hex&lt;01-May-2026&gt; [0.1] |0.00|</t>
  </si>
  <si>
    <t>SB-OS-SAVE-HEX-S</t>
  </si>
  <si>
    <t>SB-OS-SAVE-HEX-M</t>
  </si>
  <si>
    <t>SB-OS-SAVE-HEX-L</t>
  </si>
  <si>
    <t>SB-OS-SAVE-HEX-XL</t>
  </si>
  <si>
    <t>googled love&lt;01-May-2026&gt; [0.1] |0.00|</t>
  </si>
  <si>
    <t>SB-OS-GOOGLED-LOVE-S</t>
  </si>
  <si>
    <t>SB-OS-GOOGLED-LOVE-M</t>
  </si>
  <si>
    <t>SB-OS-GOOGLED-LOVE-L</t>
  </si>
  <si>
    <t>SB-OS-GOOGLED-LOVE-XL</t>
  </si>
  <si>
    <t>Eminem one shot&lt;01-May-2026&gt; [0.1] |0.00|</t>
  </si>
  <si>
    <t>SB-OS-EMINEM-ONE-SHOT-S</t>
  </si>
  <si>
    <t>SB-OS-EMINEM-ONE-SHOT-M</t>
  </si>
  <si>
    <t>SB-OS-EMINEM-ONE-SHOT-L</t>
  </si>
  <si>
    <t>SB-OS-EMINEM-ONE-SHOT-XL</t>
  </si>
  <si>
    <t>anne marie friends&lt;01-May-2026&gt; [0.1] |0.00|</t>
  </si>
  <si>
    <t>SB-OS-ANNE-MARIE-FRIENDS-S</t>
  </si>
  <si>
    <t>SB-OS-ANNE-MARIE-FRIENDS-M</t>
  </si>
  <si>
    <t>SB-OS-ANNE-MARIE-FRIENDS-L</t>
  </si>
  <si>
    <t>SB-OS-ANNE-MARIE-FRIENDS-XL</t>
  </si>
  <si>
    <t>ed sheeran shape of u&lt;01-May-2026&gt; [0.1] |0.00|</t>
  </si>
  <si>
    <t>SB-OS-ED-SHEERAN-SHAPE-OF-U-S</t>
  </si>
  <si>
    <t>SB-OS-ED-SHEERAN-SHAPE-OF-U-M</t>
  </si>
  <si>
    <t>SB-OS-ED-SHEERAN-SHAPE-OF-U-L</t>
  </si>
  <si>
    <t>SB-OS-ED-SHEERAN-SHAPE-OF-U-XL</t>
  </si>
  <si>
    <t>drake Off Script&lt;01-May-2026&gt; [0.1] |0.00|</t>
  </si>
  <si>
    <t>SB-OS-DRAKE-OFF-SCRIPT-S</t>
  </si>
  <si>
    <t>SB-OS-DRAKE-OFF-SCRIPT-M</t>
  </si>
  <si>
    <t>SB-OS-DRAKE-OFF-SCRIPT-L</t>
  </si>
  <si>
    <t>SB-OS-DRAKE-OFF-SCRIPT-XL</t>
  </si>
  <si>
    <t>sabrina replace you&lt;01-May-2026&gt; [0.1] |0.00|</t>
  </si>
  <si>
    <t>SB-OS-SABRINA-REPLACE-YOU-S</t>
  </si>
  <si>
    <t>SB-OS-SABRINA-REPLACE-YOU-M</t>
  </si>
  <si>
    <t>SB-OS-SABRINA-REPLACE-YOU-L</t>
  </si>
  <si>
    <t>SB-OS-SABRINA-REPLACE-YOU-XL</t>
  </si>
  <si>
    <t>Chappell see u never&lt;01-May-2026&gt; [0.1] |0.00|</t>
  </si>
  <si>
    <t>SB-OS-CHAPPELL-GOOD-LUCK-S</t>
  </si>
  <si>
    <t>SB-OS-CHAPPELL-GOOD-LUCK-M</t>
  </si>
  <si>
    <t>SB-OS-CHAPPELL-GOOD-LUCK-L</t>
  </si>
  <si>
    <t>SB-OS-CHAPPELL-GOOD-LUCK-XL</t>
  </si>
  <si>
    <t>rihana block u&lt;01-May-2026&gt; [0.1] |0.00|</t>
  </si>
  <si>
    <t>SB-OS-RIHANA-BLOCK-S</t>
  </si>
  <si>
    <t>SB-OS-RIHANA-BLOCK-M</t>
  </si>
  <si>
    <t>SB-OS-RIHANA-BLOCK-L</t>
  </si>
  <si>
    <t>SB-OS-RIHANA-BLOCK-XL</t>
  </si>
  <si>
    <t>sabrina leve me alone&lt;01-May-2026&gt; [0.1] |0.00|</t>
  </si>
  <si>
    <t>SB-OS-SABRINA-LEAVE-ME-S</t>
  </si>
  <si>
    <t>SB-OS-SABRINA-LEAVE-ME-M</t>
  </si>
  <si>
    <t>SB-OS-SABRINA-LEAVE-ME-L</t>
  </si>
  <si>
    <t>SB-OS-SABRINA-LEAVE-ME-XL</t>
  </si>
  <si>
    <t>eminem dont come back&lt;01-May-2026&gt; [0.1] |0.00|</t>
  </si>
  <si>
    <t>SB-OS-EMINEM-DONT-COME-S</t>
  </si>
  <si>
    <t>SB-OS-EMINEM-DONT-COME-M</t>
  </si>
  <si>
    <t>SB-OS-EMINEM-DONT-COME-L</t>
  </si>
  <si>
    <t>SB-OS-EMINEM-DONT-COME-XL</t>
  </si>
  <si>
    <t>definitely red flag&lt;01-May-2026&gt; [0.1] |0.00|</t>
  </si>
  <si>
    <t>SB-OS-RED-FLAG-S</t>
  </si>
  <si>
    <t>SB-OS-RED-FLAG-M</t>
  </si>
  <si>
    <t>SB-OS-RED-FLAG-L</t>
  </si>
  <si>
    <t>SB-OS-RED-FLAG-XL</t>
  </si>
  <si>
    <t>move on get hotter&lt;01-May-2026&gt; [0.1] |0.00|</t>
  </si>
  <si>
    <t>SB-OS-GET-HOTTER-S</t>
  </si>
  <si>
    <t>SB-OS-GET-HOTTER-M</t>
  </si>
  <si>
    <t>SB-OS-GET-HOTTER-L</t>
  </si>
  <si>
    <t>SB-OS-GET-HOTTER-XL</t>
  </si>
  <si>
    <t>Lewis miss her&lt;01-May-2026&gt; [0.1] |0.00|</t>
  </si>
  <si>
    <t>SB-OS-LEWIS-MISS-HER-S</t>
  </si>
  <si>
    <t>SB-OS-LEWIS-MISS-HER-M</t>
  </si>
  <si>
    <t>SB-OS-LEWIS-MISS-HER-L</t>
  </si>
  <si>
    <t>SB-OS-LEWIS-MISS-HER-XL</t>
  </si>
  <si>
    <t>Lewis miss him&lt;01-May-2026&gt; [0.1] |0.00|</t>
  </si>
  <si>
    <t>SB-OS-LEWIS-MISS-HIM-S</t>
  </si>
  <si>
    <t>SB-OS-LEWIS-MISS-HIM-M</t>
  </si>
  <si>
    <t>SB-OS-LEWIS-MISS-HIM-L</t>
  </si>
  <si>
    <t>SB-OS-LEWIS-MISS-HIM-XL</t>
  </si>
  <si>
    <t>not Ferrari&lt;01-May-2026&gt; [0.1] |0.00|</t>
  </si>
  <si>
    <t>SB-OS-FERRARI-MISTAKES-TWICE-S</t>
  </si>
  <si>
    <t>SB-OS-FERRARI-MISTAKES-TWICE-M</t>
  </si>
  <si>
    <t>SB-OS-FERRARI-MISTAKES-TWICE-L</t>
  </si>
  <si>
    <t>SB-OS-FERRARI-MISTAKES-TWICE-XL</t>
  </si>
  <si>
    <t>Academic success&lt;01-May-2026&gt; [0.1] |0.00|</t>
  </si>
  <si>
    <t>SB-OS-ACEDEMIC-S</t>
  </si>
  <si>
    <t>SB-OS-ACEDEMIC-M</t>
  </si>
  <si>
    <t>SB-OS-ACEDEMIC-L</t>
  </si>
  <si>
    <t>SB-OS-ACEDEMIC-XL</t>
  </si>
  <si>
    <t>billie eilish miss her&lt;01-May-2026&gt; [0.1] |0.00|</t>
  </si>
  <si>
    <t>SB-OS-BILLIE-MISS-HER-S</t>
  </si>
  <si>
    <t>SB-OS-BILLIE-MISS-HER-M</t>
  </si>
  <si>
    <t>SB-OS-BILLIE-MISS-HER-L</t>
  </si>
  <si>
    <t>SB-OS-BILLIE-MISS-HER-XL</t>
  </si>
  <si>
    <t>billie eilish miss him&lt;01-May-2026&gt; [0.1] |0.00|</t>
  </si>
  <si>
    <t>SB-OS-BILLIE-MISS-HIM-S</t>
  </si>
  <si>
    <t>SB-OS-BILLIE-MISS-HIM-M</t>
  </si>
  <si>
    <t>SB-OS-BILLIE-MISS-HIM-L</t>
  </si>
  <si>
    <t>SB-OS-BILLIE-MISS-HIM-XL</t>
  </si>
  <si>
    <t>zoro lost on purpose&lt;01-May-2026&gt; [0.1] |0.00|</t>
  </si>
  <si>
    <t>SB-OS-ZORO-LOST-S</t>
  </si>
  <si>
    <t>SB-OS-ZORO-LOST-M</t>
  </si>
  <si>
    <t>SB-OS-ZORO-LOST-L</t>
  </si>
  <si>
    <t>SB-OS-ZORO-LOST-XL</t>
  </si>
  <si>
    <t>Text gojo i'd win&lt;01-May-2026&gt; [0.1] |0.00|</t>
  </si>
  <si>
    <t>SB-OS-GOJO-WIN-S</t>
  </si>
  <si>
    <t>SB-OS-GOJO-WIN-M</t>
  </si>
  <si>
    <t>SB-OS-GOJO-WIN-L</t>
  </si>
  <si>
    <t>SB-OS-GOJO-WIN-XL</t>
  </si>
  <si>
    <t>Justin Bieber STAY&lt;01-May-2026&gt; [0.1] |0.00|</t>
  </si>
  <si>
    <t>SB-OS-JUSTIN-BIEBER-STAY-S</t>
  </si>
  <si>
    <t>SB-OS-JUSTIN-BIEBER-STAY-M</t>
  </si>
  <si>
    <t>SB-OS-JUSTIN-BIEBER-STAY-L</t>
  </si>
  <si>
    <t>SB-OS-JUSTIN-BIEBER-STAY-XL</t>
  </si>
  <si>
    <t>Chalie puth Attention&lt;01-May-2026&gt; [0.1] |0.00|</t>
  </si>
  <si>
    <t>SB-OS-CHARLIE-PUTH-ATTENTION-S</t>
  </si>
  <si>
    <t>SB-OS-CHARLIE-PUTH-ATTENTION-M</t>
  </si>
  <si>
    <t>SB-OS-CHARLIE-PUTH-ATTENTION-L</t>
  </si>
  <si>
    <t>SB-OS-CHARLIE-PUTH-ATTENTION-XL</t>
  </si>
  <si>
    <t>Weeknd save ur tears&lt;01-May-2026&gt; [0.1] |0.00|</t>
  </si>
  <si>
    <t>SB-OS-WEEKND-SAVE-TEARS-S</t>
  </si>
  <si>
    <t>SB-OS-WEEKND-SAVE-TEARS-M</t>
  </si>
  <si>
    <t>SB-OS-WEEKND-SAVE-TEARS-L</t>
  </si>
  <si>
    <t>SB-OS-WEEKND-SAVE-TEARS-XL</t>
  </si>
  <si>
    <t>selena justin no Sorry&lt;01-May-2026&gt; [0.1] |0.00|</t>
  </si>
  <si>
    <t>SB-OS-SELENA-JUSTIN-SORRY-S</t>
  </si>
  <si>
    <t>SB-OS-SELENA-JUSTIN-SORRY-M</t>
  </si>
  <si>
    <t>SB-OS-SELENA-JUSTIN-SORRY-L</t>
  </si>
  <si>
    <t>SB-OS-SELENA-JUSTIN-SORRY-XL</t>
  </si>
  <si>
    <t>Not relationship Material&lt;01-May-2026&gt; [0.1] |0.00|</t>
  </si>
  <si>
    <t>SB-OS-NOT-RELATIONSHIP-S</t>
  </si>
  <si>
    <t>SB-OS-NOT-RELATIONSHIP-M</t>
  </si>
  <si>
    <t>SB-OS-NOT-RELATIONSHIP-L</t>
  </si>
  <si>
    <t>SB-OS-NOT-RELATIONSHIP-XL</t>
  </si>
  <si>
    <t>kira stay away&lt;01-May-2026&gt; [0.1] |0.00|</t>
  </si>
  <si>
    <t>SB-OS-KIRA-WRITE-UR-NAME-S</t>
  </si>
  <si>
    <t>SB-OS-KIRA-WRITE-UR-NAME-M</t>
  </si>
  <si>
    <t>SB-OS-KIRA-WRITE-UR-NAME-L</t>
  </si>
  <si>
    <t>SB-OS-KIRA-WRITE-UR-NAME-XL</t>
  </si>
  <si>
    <t>Guts gonna sleep&lt;01-May-2026&gt; [0.1] |0.00|</t>
  </si>
  <si>
    <t>SB-OS-GUTS-SLEEP-S</t>
  </si>
  <si>
    <t>SB-OS-GUTS-SLEEP-M</t>
  </si>
  <si>
    <t>SB-OS-GUTS-SLEEP-L</t>
  </si>
  <si>
    <t>SB-OS-GUTS-SLEEP-XL</t>
  </si>
  <si>
    <t>Lost u found me I win&lt;01-May-2026&gt; [0.1] |0.00|</t>
  </si>
  <si>
    <t>SB-OS-LOST-BUT-WIN-S</t>
  </si>
  <si>
    <t>SB-OS-LOST-BUT-WIN-M</t>
  </si>
  <si>
    <t>SB-OS-LOST-BUT-WIN-L</t>
  </si>
  <si>
    <t>SB-OS-LOST-BUT-WIN-XL</t>
  </si>
  <si>
    <t>Text Isagi needs a nap&lt;01-May-2026&gt; [0.1] |0.00|</t>
  </si>
  <si>
    <t>SB-OS-ISAGI-EGO-NAP-S</t>
  </si>
  <si>
    <t>SB-OS-ISAGI-EGO-NAP-M</t>
  </si>
  <si>
    <t>SB-OS-ISAGI-EGO-NAP-L</t>
  </si>
  <si>
    <t>SB-OS-ISAGI-EGO-NAP-XL</t>
  </si>
  <si>
    <t>graphic isagi needs ego naps&lt;01-May-2026&gt; [0.1] |0.00|</t>
  </si>
  <si>
    <t>SB-OS-ZORO-GOOGLE-MAP-S</t>
  </si>
  <si>
    <t>SB-OS-ZORO-GOOGLE-MAP-M</t>
  </si>
  <si>
    <t>SB-OS-ZORO-GOOGLE-MAP-L</t>
  </si>
  <si>
    <t>SB-OS-ZORO-GOOGLE-MAP-XL</t>
  </si>
  <si>
    <t>Graphic Gojo i'd win&lt;01-May-2026&gt; [0.1] |0.00|</t>
  </si>
  <si>
    <t>SB-OS-ISAGI-EGO-NAP-GRAPHIC-S</t>
  </si>
  <si>
    <t>SB-OS-ISAGI-EGO-NAP-GRAPHIC-M</t>
  </si>
  <si>
    <t>SB-OS-ISAGI-EGO-NAP-GRAPHIC-L</t>
  </si>
  <si>
    <t>SB-OS-ISAGI-EGO-NAP-GRAPHIC-XL</t>
  </si>
  <si>
    <t>missing zoro google map&lt;01-May-2026&gt; [0.1] |0.00|</t>
  </si>
  <si>
    <t>SB-OS-GOJO-WIN-GRAPHIC-S</t>
  </si>
  <si>
    <t>SB-OS-GOJO-WIN-GRAPHIC-M</t>
  </si>
  <si>
    <t>SB-OS-GOJO-WIN-GRAPHIC-L</t>
  </si>
  <si>
    <t>SB-OS-GOJO-WIN-GRAPHIC-XL</t>
  </si>
  <si>
    <t>Not Kira L so Chill&lt;01-May-2026&gt; [0.1] |0.00|</t>
  </si>
  <si>
    <t>SB-OS-KIRA-L-CHILL-S</t>
  </si>
  <si>
    <t>SB-OS-KIRA-L-CHILL-M</t>
  </si>
  <si>
    <t>SB-OS-KIRA-L-CHILL-L</t>
  </si>
  <si>
    <t>SB-OS-KIRA-L-CHILL-XL</t>
  </si>
  <si>
    <t>Quincy Waffle (Ready)&lt;01-May-2026&gt; [1] |0.18|</t>
  </si>
  <si>
    <t>quincy_waffle_tshirt_ready</t>
  </si>
  <si>
    <t>WHF-OS-QUINCY-S</t>
  </si>
  <si>
    <t>WHF-OS-QUINCY-M</t>
  </si>
  <si>
    <t>WHF-OS-QUINCY-L</t>
  </si>
  <si>
    <t>WHF-OS-QUINCY-XL</t>
  </si>
  <si>
    <t>GhostFreak Tshirt (ready)&lt;01-May-2026&gt; [1] |0.00|</t>
  </si>
  <si>
    <t>ghostfreak_tshirt_ready</t>
  </si>
  <si>
    <t>WHF-OS-GHOSTFREAK-S</t>
  </si>
  <si>
    <t>WHF-OS-GHOSTFREAK-M</t>
  </si>
  <si>
    <t>WHF-OS-GHOSTFREAK-L</t>
  </si>
  <si>
    <t>WHF-OS-GHOSTFREAK-XL</t>
  </si>
  <si>
    <t>I should have stayed at home&lt;01-May-2026&gt; [0.1] |0.00|</t>
  </si>
  <si>
    <t>SB-OS-STAYED-HOME-S</t>
  </si>
  <si>
    <t>SB-OS-STAYED-HOME-M</t>
  </si>
  <si>
    <t>SB-OS-STAYED-HOME-L</t>
  </si>
  <si>
    <t>SB-OS-STAYED-HOME-XL</t>
  </si>
  <si>
    <t>It Is Delusional&lt;01-May-2026&gt; [0.1] |0.00|</t>
  </si>
  <si>
    <t>SB-OS-DELUSIONAL-S</t>
  </si>
  <si>
    <t>SB-OS-DELUSIONAL-M</t>
  </si>
  <si>
    <t>SB-OS-DELUSIONAL-L</t>
  </si>
  <si>
    <t>SB-OS-DELUSIONAL-XL</t>
  </si>
  <si>
    <t>Being a girl must be easy&lt;01-May-2026&gt; [0.1] |0.00|</t>
  </si>
  <si>
    <t>SB-OS-BIENG-GIRL-S</t>
  </si>
  <si>
    <t>SB-OS-BIENG-GIRL-M</t>
  </si>
  <si>
    <t>SB-OS-BIENG-GIRL-L</t>
  </si>
  <si>
    <t>SB-OS-BIENG-GIRL-XL</t>
  </si>
  <si>
    <t>Hardcore Techno&lt;01-May-2026&gt; [0.1] |0.00|</t>
  </si>
  <si>
    <t>SB-OS-TECHNO-S</t>
  </si>
  <si>
    <t>SB-OS-TECHNO-M</t>
  </si>
  <si>
    <t>SB-OS-TECHNO-L</t>
  </si>
  <si>
    <t>SB-OS-TECHNO-XL</t>
  </si>
  <si>
    <t>Let me Overthink&lt;01-May-2026&gt; [0.1] |0.00|</t>
  </si>
  <si>
    <t>SB-OS-OVERTHINK-S</t>
  </si>
  <si>
    <t>SB-OS-OVERTHINK-M</t>
  </si>
  <si>
    <t>SB-OS-OVERTHINK-L</t>
  </si>
  <si>
    <t>SB-OS-OVERTHINK-XL</t>
  </si>
  <si>
    <t>Life is too short do whatever&lt;01-May-2026&gt; [0.1] |0.00|</t>
  </si>
  <si>
    <t>SB-OS-LIFE-SHORT-S</t>
  </si>
  <si>
    <t>SB-OS-LIFE-SHORT-M</t>
  </si>
  <si>
    <t>SB-OS-LIFE-SHORT-L</t>
  </si>
  <si>
    <t>SB-OS-LIFE-SHORT-XL</t>
  </si>
  <si>
    <t>Im friendy but my wife isnt&lt;01-May-2026&gt; [0.1] |0.00|</t>
  </si>
  <si>
    <t>SB-OS-IM-FRIENDLY-S</t>
  </si>
  <si>
    <t>SB-OS-IM-FRIENDLY-M</t>
  </si>
  <si>
    <t>SB-OS-IM-FRIENDLY-L</t>
  </si>
  <si>
    <t>SB-OS-IM-FRIENDLY-XL</t>
  </si>
  <si>
    <t>She said techno or me&lt;01-May-2026&gt; [0.1] |0.00|</t>
  </si>
  <si>
    <t>SB-OS-TECNO-OR-ME-S</t>
  </si>
  <si>
    <t>SB-OS-TECNO-OR-ME-M</t>
  </si>
  <si>
    <t>SB-OS-TECNO-OR-ME-L</t>
  </si>
  <si>
    <t>SB-OS-TECNO-OR-ME-XL</t>
  </si>
  <si>
    <t>Drake or me miss her&lt;01-May-2026&gt; [0.1] |0.00|</t>
  </si>
  <si>
    <t>SB-OS-DRAKE-OR-ME-S</t>
  </si>
  <si>
    <t>SB-OS-DRAKE-OR-ME-M</t>
  </si>
  <si>
    <t>SB-OS-DRAKE-OR-ME-L</t>
  </si>
  <si>
    <t>SB-OS-DRAKE-OR-ME-XL</t>
  </si>
  <si>
    <t>I Kissed your Girlfriend&lt;01-May-2026&gt; [0.1] |0.00|</t>
  </si>
  <si>
    <t>SB-OS-KISSED-GIRLFRIEND-S</t>
  </si>
  <si>
    <t>SB-OS-KISSED-GIRLFRIEND-M</t>
  </si>
  <si>
    <t>SB-OS-KISSED-GIRLFRIEND-L</t>
  </si>
  <si>
    <t>SB-OS-KISSED-GIRLFRIEND-XL</t>
  </si>
  <si>
    <t>Hug Me untill i smell like you&lt;01-May-2026&gt; [0.1] |0.00|</t>
  </si>
  <si>
    <t>SB-OS-SMELL-LIKE-YOU-S</t>
  </si>
  <si>
    <t>SB-OS-SMELL-LIKE-YOU-M</t>
  </si>
  <si>
    <t>SB-OS-SMELL-LIKE-YOU-L</t>
  </si>
  <si>
    <t>SB-OS-SMELL-LIKE-YOU-XL</t>
  </si>
  <si>
    <t>Sorry Girls love with my girlfriend&lt;01-May-2026&gt; [0.1] |0.00|</t>
  </si>
  <si>
    <t>SB-OS-SORRY-GIRLS-S</t>
  </si>
  <si>
    <t>SB-OS-SORRY-GIRLS-M</t>
  </si>
  <si>
    <t>SB-OS-SORRY-GIRLS-L</t>
  </si>
  <si>
    <t>SB-OS-SORRY-GIRLS-XL</t>
  </si>
  <si>
    <t>Need a Hug from Baddie&lt;01-May-2026&gt; [0.1] |0.00|</t>
  </si>
  <si>
    <t>SB-OS-NEED-HUG-S</t>
  </si>
  <si>
    <t>SB-OS-NEED-HUG-M</t>
  </si>
  <si>
    <t>SB-OS-NEED-HUG-L</t>
  </si>
  <si>
    <t>SB-OS-NEED-HUG-XL</t>
  </si>
  <si>
    <t>She said Calvin Harris Miss Her&lt;01-May-2026&gt; [0.1] |0.00|</t>
  </si>
  <si>
    <t>SB-OS-HARRIS-ME-HER-S</t>
  </si>
  <si>
    <t>SB-OS-HARRIS-ME-HER-M</t>
  </si>
  <si>
    <t>SB-OS-HARRIS-ME-HER-L</t>
  </si>
  <si>
    <t>SB-OS-HARRIS-ME-HER-XL</t>
  </si>
  <si>
    <t>He said Calvin Harris Miss Him&lt;01-May-2026&gt; [0.1] |0.00|</t>
  </si>
  <si>
    <t>SB-OS-HARRIS-ME-HIM-S</t>
  </si>
  <si>
    <t>SB-OS-HARRIS-ME-HIM-M</t>
  </si>
  <si>
    <t>SB-OS-HARRIS-ME-HIM-L</t>
  </si>
  <si>
    <t>SB-OS-HARRIS-ME-HIM-XL</t>
  </si>
  <si>
    <t>Im not Drake attachment&lt;01-May-2026&gt; [0.1] |0.00|</t>
  </si>
  <si>
    <t>SB-OS-DRAKE-GODS-PLAN-S</t>
  </si>
  <si>
    <t>SB-OS-DRAKE-GODS-PLAN-M</t>
  </si>
  <si>
    <t>SB-OS-DRAKE-GODS-PLAN-L</t>
  </si>
  <si>
    <t>SB-OS-DRAKE-GODS-PLAN-XL</t>
  </si>
  <si>
    <t>Sexy Life Gets Hard&lt;01-May-2026&gt; [0.1] |0.00|</t>
  </si>
  <si>
    <t>SB-OS-HARD-S</t>
  </si>
  <si>
    <t>SB-OS-HARD-M</t>
  </si>
  <si>
    <t>SB-OS-HARD-L</t>
  </si>
  <si>
    <t>SB-OS-HARD-XL</t>
  </si>
  <si>
    <t>I Flirt for Fun, and Panic When It Works&lt;01-May-2026&gt; [0.1] |0.00|</t>
  </si>
  <si>
    <t>SB-OS-FLIRT-FOR-FUN-S</t>
  </si>
  <si>
    <t>SB-OS-FLIRT-FOR-FUN-M</t>
  </si>
  <si>
    <t>SB-OS-FLIRT-FOR-FUN-L</t>
  </si>
  <si>
    <t>SB-OS-FLIRT-FOR-FUN-XL</t>
  </si>
  <si>
    <t>Just Kiss Me, We Can Talk Later&lt;01-May-2026&gt; [0.1] |0.00|</t>
  </si>
  <si>
    <t>SB-OS-KISS-TALK-S</t>
  </si>
  <si>
    <t>SB-OS-KISS-TALK-M</t>
  </si>
  <si>
    <t>SB-OS-KISS-TALK-L</t>
  </si>
  <si>
    <t>SB-OS-KISS-TALK-XL</t>
  </si>
  <si>
    <t>I'm Not Flirting, I'm Just Hot And Like To Talk Back&lt;01-May-2026&gt; [0.1] |0.00|</t>
  </si>
  <si>
    <t>SB-OS-HOT-TALK-S</t>
  </si>
  <si>
    <t>SB-OS-HOT-TALK-M</t>
  </si>
  <si>
    <t>SB-OS-HOT-TALK-L</t>
  </si>
  <si>
    <t>SB-OS-HOT-TALK-XL</t>
  </si>
  <si>
    <t>Pretty Souls Are Rare, Pretty Faces Are Everything&lt;01-May-2026&gt; [0.1] |0.00|</t>
  </si>
  <si>
    <t>SB-OS-PRETTY-SOULS-S</t>
  </si>
  <si>
    <t>SB-OS-PRETTY-SOULS-M</t>
  </si>
  <si>
    <t>SB-OS-PRETTY-SOULS-L</t>
  </si>
  <si>
    <t>SB-OS-PRETTY-SOULS-XL</t>
  </si>
  <si>
    <t>I Have So So Much Love For You That It Doesn't Fit&lt;01-May-2026&gt; [0.1] |0.00|</t>
  </si>
  <si>
    <t>SB-OS-HEART-S</t>
  </si>
  <si>
    <t>SB-OS-HEART-M</t>
  </si>
  <si>
    <t>SB-OS-HEART-L</t>
  </si>
  <si>
    <t>SB-OS-HEART-XL</t>
  </si>
  <si>
    <t>I Love When People Shut The Fck Up Back Tee&lt;01-May-2026&gt; [0.1] |0.00|</t>
  </si>
  <si>
    <t>SB-OS-SHUT-UP-S</t>
  </si>
  <si>
    <t>SB-OS-SHUT-UP-M</t>
  </si>
  <si>
    <t>SB-OS-SHUT-UP-L</t>
  </si>
  <si>
    <t>SB-OS-SHUT-UP-XL</t>
  </si>
  <si>
    <t>I Told ChatGPT About U&lt;01-May-2026&gt; [0.1] |0.00|</t>
  </si>
  <si>
    <t>SB-OS-TOLD-CHATGPT-S</t>
  </si>
  <si>
    <t>SB-OS-TOLD-CHATGPT-M</t>
  </si>
  <si>
    <t>SB-OS-TOLD-CHATGPT-L</t>
  </si>
  <si>
    <t>SB-OS-TOLD-CHATGPT-XL</t>
  </si>
  <si>
    <t>Everything I love Is Illegal, Blonde Or Expensive&lt;01-May-2026&gt; [0.1] |0.00|</t>
  </si>
  <si>
    <t>SB-OS-BLONDE-S</t>
  </si>
  <si>
    <t>SB-OS-BLONDE-M</t>
  </si>
  <si>
    <t>SB-OS-BLONDE-L</t>
  </si>
  <si>
    <t>SB-OS-BLONDE-XL</t>
  </si>
  <si>
    <t>My Girlfriend Is Hotter Than You&lt;01-May-2026&gt; [0.1] |0.00|</t>
  </si>
  <si>
    <t>SB-OS-GIRLFRIEND-HOTTER-S</t>
  </si>
  <si>
    <t>SB-OS-GIRLFRIEND-HOTTER-M</t>
  </si>
  <si>
    <t>SB-OS-GIRLFRIEND-HOTTER-L</t>
  </si>
  <si>
    <t>SB-OS-GIRLFRIEND-HOTTER-XL</t>
  </si>
  <si>
    <t>Not A Morning Person&lt;01-May-2026&gt; [0.1] |0.00|</t>
  </si>
  <si>
    <t>SB-OS-MORNING-PERSON-S</t>
  </si>
  <si>
    <t>SB-OS-MORNING-PERSON-M</t>
  </si>
  <si>
    <t>SB-OS-MORNING-PERSON-L</t>
  </si>
  <si>
    <t>SB-OS-MORNING-PERSON-XL</t>
  </si>
  <si>
    <t>I Told My Mom About U&lt;01-May-2026&gt; [0.1] |0.00|</t>
  </si>
  <si>
    <t>SB-OS-TOLD-MOM-S</t>
  </si>
  <si>
    <t>SB-OS-TOLD-MOM-M</t>
  </si>
  <si>
    <t>SB-OS-TOLD-MOM-L</t>
  </si>
  <si>
    <t>SB-OS-TOLD-MOM-XL</t>
  </si>
  <si>
    <t>I Love My Girlfriend, But My Girlfriend Loves JUSTIN BEIBER&lt;01-May-2026&gt; [0.1] |0.00|</t>
  </si>
  <si>
    <t>SB-OS-LOVES-JUSTIN-S</t>
  </si>
  <si>
    <t>SB-OS-LOVES-JUSTIN-M</t>
  </si>
  <si>
    <t>SB-OS-LOVES-JUSTIN-L</t>
  </si>
  <si>
    <t>SB-OS-LOVES-JUSTIN-XL</t>
  </si>
  <si>
    <t>Lana Del Rey Made Sadness Glamorous&lt;01-May-2026&gt; [0.1] |0.00|</t>
  </si>
  <si>
    <t>SB-OS-LANA-DEL-REY-S</t>
  </si>
  <si>
    <t>SB-OS-LANA-DEL-REY-M</t>
  </si>
  <si>
    <t>SB-OS-LANA-DEL-REY-L</t>
  </si>
  <si>
    <t>SB-OS-LANA-DEL-REY-XL</t>
  </si>
  <si>
    <t>Make Boys Cry&lt;01-May-2026&gt; [0.1] |0.00|</t>
  </si>
  <si>
    <t>SB-OS-MAKE-BOYS-CRY-S</t>
  </si>
  <si>
    <t>SB-OS-MAKE-BOYS-CRY-M</t>
  </si>
  <si>
    <t>SB-OS-MAKE-BOYS-CRY-L</t>
  </si>
  <si>
    <t>SB-OS-MAKE-BOYS-CRY-XL</t>
  </si>
  <si>
    <t>He Said Drake Or Me, Sometimes I Miss Him&lt;01-May-2026&gt; [0.1] |0.00|</t>
  </si>
  <si>
    <t>SB-OS-HE-SAID-DRAKE-S</t>
  </si>
  <si>
    <t>SB-OS-HE-SAID-DRAKE-M</t>
  </si>
  <si>
    <t>SB-OS-HE-SAID-DRAKE-L</t>
  </si>
  <si>
    <t>SB-OS-HE-SAID-DRAKE-XL</t>
  </si>
  <si>
    <t>I Don't Care If She Got Red Flags, I'M Bull&lt;01-May-2026&gt; [0.1] |0.00|</t>
  </si>
  <si>
    <t>SB-OS-RED-FLAGS-S</t>
  </si>
  <si>
    <t>SB-OS-RED-FLAGS-M</t>
  </si>
  <si>
    <t>SB-OS-RED-FLAGS-L</t>
  </si>
  <si>
    <t>SB-OS-RED-FLAGS-XL</t>
  </si>
  <si>
    <t>I Want You, I Just Can't Flirt&lt;01-May-2026&gt; [0.1] |0.00|</t>
  </si>
  <si>
    <t>SB-OS-WANT-YOU-S</t>
  </si>
  <si>
    <t>SB-OS-WANT-YOU-M</t>
  </si>
  <si>
    <t>SB-OS-WANT-YOU-L</t>
  </si>
  <si>
    <t>SB-OS-WANT-YOU-XL</t>
  </si>
  <si>
    <t>Alexa Play Everyone That Played Me&lt;01-May-2026&gt; [0.1] |0.00|</t>
  </si>
  <si>
    <t>SB-OS-ALEXA-S</t>
  </si>
  <si>
    <t>SB-OS-ALEXA-M</t>
  </si>
  <si>
    <t>SB-OS-ALEXA-L</t>
  </si>
  <si>
    <t>SB-OS-ALEXA-XL</t>
  </si>
  <si>
    <t>Fck Ndes Send Me Your Playlist&lt;01-May-2026&gt; [0.1] |0.00|</t>
  </si>
  <si>
    <t>SB-OS-SEND-PLAYLIST-S</t>
  </si>
  <si>
    <t>SB-OS-SEND-PLAYLIST-M</t>
  </si>
  <si>
    <t>SB-OS-SEND-PLAYLIST-L</t>
  </si>
  <si>
    <t>SB-OS-SEND-PLAYLIST-XL</t>
  </si>
  <si>
    <t>Kanye Attitude with Drake Feelings&lt;01-May-2026&gt; [0.1] |0.00|</t>
  </si>
  <si>
    <t>SB-OS-KANYE-ATTITUDE-S</t>
  </si>
  <si>
    <t>SB-OS-KANYE-ATTITUDE-M</t>
  </si>
  <si>
    <t>SB-OS-KANYE-ATTITUDE-L</t>
  </si>
  <si>
    <t>SB-OS-KANYE-ATTITUDE-XL</t>
  </si>
  <si>
    <t>He Said Ronaldo Or Me, Sometimes I Miss Him&lt;01-May-2026&gt; [0.1] |0.00|</t>
  </si>
  <si>
    <t>SB-OS-HE-SAID-RONALDO-S</t>
  </si>
  <si>
    <t>SB-OS-HE-SAID-RONALDO-M</t>
  </si>
  <si>
    <t>SB-OS-HE-SAID-RONALDO-L</t>
  </si>
  <si>
    <t>SB-OS-HE-SAID-RONALDO-XL</t>
  </si>
  <si>
    <t>She Said Ronaldo Or Me, Sometimes I Miss Her&lt;01-May-2026&gt; [0.1] |0.00|</t>
  </si>
  <si>
    <t>SB-OS-SHE-SAID-RONALDO-S</t>
  </si>
  <si>
    <t>SB-OS-SHE-SAID-RONALDO-M</t>
  </si>
  <si>
    <t>SB-OS-SHE-SAID-RONALDO-L</t>
  </si>
  <si>
    <t>SB-OS-SHE-SAID-RONALDO-XL</t>
  </si>
  <si>
    <t>I Can't Flirt, I Am Afraid Of Women&lt;01-May-2026&gt; [0.1] |0.00|</t>
  </si>
  <si>
    <t>SB-OS-CANT-FLIRT-S</t>
  </si>
  <si>
    <t>SB-OS-CANT-FLIRT-M</t>
  </si>
  <si>
    <t>SB-OS-CANT-FLIRT-L</t>
  </si>
  <si>
    <t>SB-OS-CANT-FLIRT-XL</t>
  </si>
  <si>
    <t>SKU</t>
  </si>
  <si>
    <t>SKU 1</t>
  </si>
  <si>
    <t>SKU 2</t>
  </si>
  <si>
    <t>Blade-S-Levithan-S</t>
  </si>
  <si>
    <t>Blade-S-Levithan-M</t>
  </si>
  <si>
    <t>Blade-S-Levithan-L</t>
  </si>
  <si>
    <t>Blade-S-Levithan-XL</t>
  </si>
  <si>
    <t>Blade-M-Levithan-S</t>
  </si>
  <si>
    <t>Blade-M-Levithan-M</t>
  </si>
  <si>
    <t>Blade-M-Levithan-L</t>
  </si>
  <si>
    <t>Blade-M-Levithan-XL</t>
  </si>
  <si>
    <t>Blade-L-Levithan-S</t>
  </si>
  <si>
    <t>Blade-L-Levithan-M</t>
  </si>
  <si>
    <t>Blade-L-Levithan-L</t>
  </si>
  <si>
    <t>Blade-L-Levithan-XL</t>
  </si>
  <si>
    <t>Blade-XL-Levithan-S</t>
  </si>
  <si>
    <t>Blade-XL-Levithan-M</t>
  </si>
  <si>
    <t>Blade-XL-Levithan-L</t>
  </si>
  <si>
    <t>Blade-XL-Levithan-XL</t>
  </si>
  <si>
    <t>Sukuna-S-Limitless-S</t>
  </si>
  <si>
    <t>Sukuna-S-Limitless-M</t>
  </si>
  <si>
    <t>Sukuna-S-Limitless-L</t>
  </si>
  <si>
    <t>Sukuna-S-Limitless-XL</t>
  </si>
  <si>
    <t>Sukuna-M-Limitless-S</t>
  </si>
  <si>
    <t>Sukuna-M-Limitless-M</t>
  </si>
  <si>
    <t>Sukuna-M-Limitless-L</t>
  </si>
  <si>
    <t>Sukuna-M-Limitless-XL</t>
  </si>
  <si>
    <t>Sukuna-L-Limitless-S</t>
  </si>
  <si>
    <t>Sukuna-L-Limitless-M</t>
  </si>
  <si>
    <t>Sukuna-L-Limitless-L</t>
  </si>
  <si>
    <t>Sukuna-L-Limitless-XL</t>
  </si>
  <si>
    <t>Sukuna-XL-Limitless-S</t>
  </si>
  <si>
    <t>Sukuna-XL-Limitless-M</t>
  </si>
  <si>
    <t>Sukuna-XL-Limitless-L</t>
  </si>
  <si>
    <t>Sukuna-XL-Limitless-XL</t>
  </si>
  <si>
    <t>Itachi-S-Levi-S+Taupe</t>
  </si>
  <si>
    <t>Itachi-S-Levi-S+White</t>
  </si>
  <si>
    <t>Itachi-S-Levi-M+Taupe</t>
  </si>
  <si>
    <t>Itachi-S-Levi-M+White</t>
  </si>
  <si>
    <t>Itachi-S-Levi-L+Taupe</t>
  </si>
  <si>
    <t>Itachi-S-Levi-L+White</t>
  </si>
  <si>
    <t>Itachi-S-Levi-XL+Taupe</t>
  </si>
  <si>
    <t>Itachi-S-Levi-XL+White</t>
  </si>
  <si>
    <t>Itachi-M-Levi-S+Taupe</t>
  </si>
  <si>
    <t>Itachi-M-Levi-S+White</t>
  </si>
  <si>
    <t>Itachi-M-Levi-M+Taupe</t>
  </si>
  <si>
    <t>Itachi-M-Levi-M+White</t>
  </si>
  <si>
    <t>Itachi-M-Levi-L+Taupe</t>
  </si>
  <si>
    <t>Itachi-M-Levi-L+White</t>
  </si>
  <si>
    <t>Itachi-M-Levi-XL+Taupe</t>
  </si>
  <si>
    <t>Itachi-M-Levi-XL+White</t>
  </si>
  <si>
    <t>Itachi-L-Levi-S+Taupe</t>
  </si>
  <si>
    <t>Itachi-L-Levi-S+White</t>
  </si>
  <si>
    <t>Itachi-L-Levi-M+Taupe</t>
  </si>
  <si>
    <t>Itachi-L-Levi-M+White</t>
  </si>
  <si>
    <t>Itachi-L-Levi-L+Taupe</t>
  </si>
  <si>
    <t>Itachi-L-Levi-L+White</t>
  </si>
  <si>
    <t>Itachi-L-Levi-XL+Taupe</t>
  </si>
  <si>
    <t>Itachi-L-Levi-XL+White</t>
  </si>
  <si>
    <t>Itachi-XL-Levi-S+Taupe</t>
  </si>
  <si>
    <t>Itachi-XL-Levi-S+White</t>
  </si>
  <si>
    <t>Itachi-XL-Levi-M+Taupe</t>
  </si>
  <si>
    <t>Itachi-XL-Levi-M+White</t>
  </si>
  <si>
    <t>Itachi-XL-Levi-L+Taupe</t>
  </si>
  <si>
    <t>Itachi-XL-Levi-L+White</t>
  </si>
  <si>
    <t>Itachi-XL-Levi-XL+Taupe</t>
  </si>
  <si>
    <t>Itachi-XL-Levi-XL+White</t>
  </si>
  <si>
    <t>Sukuna-S-Toji-S+JF</t>
  </si>
  <si>
    <t>Sukuna-S-Toji-S+FB</t>
  </si>
  <si>
    <t>Sukuna-S-Toji-M+JF</t>
  </si>
  <si>
    <t>Sukuna-S-Toji-M+FB</t>
  </si>
  <si>
    <t>Sukuna-S-Toji-L+JF</t>
  </si>
  <si>
    <t>Sukuna-S-Toji-L+FB</t>
  </si>
  <si>
    <t>Sukuna-S-Toji-XL+JF</t>
  </si>
  <si>
    <t>Sukuna-S-Toji-XL+FB</t>
  </si>
  <si>
    <t>Sukuna-M-Toji-S+JF</t>
  </si>
  <si>
    <t>Sukuna-M-Toji-S+FB</t>
  </si>
  <si>
    <t>Sukuna-M-Toji-M+JF</t>
  </si>
  <si>
    <t>Sukuna-M-Toji-M+FB</t>
  </si>
  <si>
    <t>Sukuna-M-Toji-L+JF</t>
  </si>
  <si>
    <t>Sukuna-M-Toji-L+FB</t>
  </si>
  <si>
    <t>Sukuna-M-Toji-XL+JF</t>
  </si>
  <si>
    <t>Sukuna-M-Toji-XL+FB</t>
  </si>
  <si>
    <t>Sukuna-L-Toji-S+JF</t>
  </si>
  <si>
    <t>Sukuna-L-Toji-S+FB</t>
  </si>
  <si>
    <t>Sukuna-L-Toji-M+JF</t>
  </si>
  <si>
    <t>Sukuna-L-Toji-M+FB</t>
  </si>
  <si>
    <t>Sukuna-L-Toji-L+JF</t>
  </si>
  <si>
    <t>Sukuna-L-Toji-L+FB</t>
  </si>
  <si>
    <t>Sukuna-L-Toji-XL+JF</t>
  </si>
  <si>
    <t>Sukuna-L-Toji-XL+FB</t>
  </si>
  <si>
    <t>Sukuna-XL-Toji-S+JF</t>
  </si>
  <si>
    <t>Sukuna-XL-Toji-S+FB</t>
  </si>
  <si>
    <t>Sukuna-XL-Toji-M+JF</t>
  </si>
  <si>
    <t>Sukuna-XL-Toji-M+FB</t>
  </si>
  <si>
    <t>Sukuna-XL-Toji-L+JF</t>
  </si>
  <si>
    <t>Sukuna-XL-Toji-L+FB</t>
  </si>
  <si>
    <t>Sukuna-XL-Toji-XL+JF</t>
  </si>
  <si>
    <t>Sukuna-XL-Toji-XL+FB</t>
  </si>
  <si>
    <t>Sukuna-S-Gojo-S-Black</t>
  </si>
  <si>
    <t>Sukuna-S-Gojo-M-Black</t>
  </si>
  <si>
    <t>Sukuna-S-Gojo-L-Black</t>
  </si>
  <si>
    <t>Sukuna-S-Gojo-XL-Black</t>
  </si>
  <si>
    <t>Sukuna-M-Gojo-S-Black</t>
  </si>
  <si>
    <t>Sukuna-M-Gojo-M-Black</t>
  </si>
  <si>
    <t>Sukuna-M-Gojo-L-Black</t>
  </si>
  <si>
    <t>Sukuna-M-Gojo-XL-Black</t>
  </si>
  <si>
    <t>Sukuna-L-Gojo-S-Black</t>
  </si>
  <si>
    <t>Sukuna-L-Gojo-M-Black</t>
  </si>
  <si>
    <t>Sukuna-L-Gojo-L-Black</t>
  </si>
  <si>
    <t>Sukuna-L-Gojo-XL-Black</t>
  </si>
  <si>
    <t>Sukuna-XL-Gojo-S-Black</t>
  </si>
  <si>
    <t>Sukuna-XL-Gojo-M-Black</t>
  </si>
  <si>
    <t>Sukuna-XL-Gojo-L-Black</t>
  </si>
  <si>
    <t>Sukuna-XL-Gojo-XL-Black</t>
  </si>
  <si>
    <t>Sukuna-S-Gojo-S-Navy</t>
  </si>
  <si>
    <t>Sukuna-S-Gojo-M-Navy</t>
  </si>
  <si>
    <t>Sukuna-S-Gojo-L-Navy</t>
  </si>
  <si>
    <t>Sukuna-S-Gojo-XL-Navy</t>
  </si>
  <si>
    <t>Sukuna-M-Gojo-S-Navy</t>
  </si>
  <si>
    <t>Sukuna-M-Gojo-M-Navy</t>
  </si>
  <si>
    <t>Sukuna-M-Gojo-L-Navy</t>
  </si>
  <si>
    <t>Sukuna-M-Gojo-XL-Navy</t>
  </si>
  <si>
    <t>Sukuna-L-Gojo-S-Navy</t>
  </si>
  <si>
    <t>Sukuna-L-Gojo-M-Navy</t>
  </si>
  <si>
    <t>Sukuna-L-Gojo-L-Navy</t>
  </si>
  <si>
    <t>Sukuna-L-Gojo-XL-Navy</t>
  </si>
  <si>
    <t>Sukuna-XL-Gojo-S-Navy</t>
  </si>
  <si>
    <t>Sukuna-XL-Gojo-M-Navy</t>
  </si>
  <si>
    <t>Sukuna-XL-Gojo-L-Navy</t>
  </si>
  <si>
    <t>Sukuna-XL-Gojo-XL-Navy</t>
  </si>
  <si>
    <t>Colour</t>
  </si>
  <si>
    <t>S_V</t>
  </si>
  <si>
    <t>M_V</t>
  </si>
  <si>
    <t>L_V</t>
  </si>
  <si>
    <t>XL_V</t>
  </si>
  <si>
    <t>Suggest</t>
  </si>
  <si>
    <t>Category</t>
  </si>
  <si>
    <t>more_than_2_sizes_below_oos_th</t>
  </si>
  <si>
    <t>rolls_paid_date</t>
  </si>
  <si>
    <t>suggested_product_rolls</t>
  </si>
  <si>
    <t>suggested_rolls</t>
  </si>
  <si>
    <t>paid_for_rolls</t>
  </si>
  <si>
    <t>paid</t>
  </si>
  <si>
    <t>ratio</t>
  </si>
  <si>
    <t>lock_ratio</t>
  </si>
  <si>
    <t>remove_virtual_stock</t>
  </si>
  <si>
    <t>Create_Date</t>
  </si>
  <si>
    <t>Last_Update_Date</t>
  </si>
  <si>
    <t>associated_virtual_stock</t>
  </si>
  <si>
    <t>plain_tshirt</t>
  </si>
  <si>
    <t>No</t>
  </si>
  <si>
    <t>5:3:1:0</t>
  </si>
  <si>
    <t>{"S":67,"M":40,"L":13,"XL":0}</t>
  </si>
  <si>
    <t>4:5:5:3</t>
  </si>
  <si>
    <t>{"S":28,"M":36,"L":35,"XL":21}</t>
  </si>
  <si>
    <t>5:3:1:3</t>
  </si>
  <si>
    <t>{"S":125,"M":75,"L":25,"XL":75}</t>
  </si>
  <si>
    <t>Yes</t>
  </si>
  <si>
    <t>plain_hoodie</t>
  </si>
  <si>
    <t>plain_trackpant</t>
  </si>
  <si>
    <t>plain_shirt</t>
  </si>
  <si>
    <t>plain_shorts</t>
  </si>
  <si>
    <t>readymade_cargo</t>
  </si>
  <si>
    <t>readymade_tshirt</t>
  </si>
  <si>
    <t>readymade_hoodie</t>
  </si>
  <si>
    <t>readymade_shirt</t>
  </si>
  <si>
    <t>Date</t>
  </si>
  <si>
    <t>BlankType</t>
  </si>
  <si>
    <t>kaiju_no_8_ready</t>
  </si>
  <si>
    <t>COLOUR</t>
  </si>
  <si>
    <t>PRINT_COUNT</t>
  </si>
  <si>
    <t>CATEGORY</t>
  </si>
  <si>
    <t>FABRIC_OR_READY</t>
  </si>
  <si>
    <t>PCS_PER_ROLL</t>
  </si>
  <si>
    <t>S_OOS_TH</t>
  </si>
  <si>
    <t>S_NEW_ORDER_TH</t>
  </si>
  <si>
    <t>S_TARGET_STOCK</t>
  </si>
  <si>
    <t>M_OOS_TH</t>
  </si>
  <si>
    <t>M_NEW_ORDER_TH</t>
  </si>
  <si>
    <t>M_TARGET_STOCK</t>
  </si>
  <si>
    <t>L_OOS_TH</t>
  </si>
  <si>
    <t>L_NEW_ORDER_TH</t>
  </si>
  <si>
    <t>L_TARGET_STOCK</t>
  </si>
  <si>
    <t>XL_OOS_TH</t>
  </si>
  <si>
    <t>XL_NEW_ORDER_TH</t>
  </si>
  <si>
    <t>XL_TARGET_STOCK</t>
  </si>
  <si>
    <t>ALLOC</t>
  </si>
  <si>
    <t>ALLOC_UNHEALTHY</t>
  </si>
  <si>
    <t>S_UNHEALTHY</t>
  </si>
  <si>
    <t>M_UNHEALTHY</t>
  </si>
  <si>
    <t>L_UNHEALTHY</t>
  </si>
  <si>
    <t>XL_UNHEALTHY</t>
  </si>
  <si>
    <t>FABRIC</t>
  </si>
  <si>
    <t>READY</t>
  </si>
  <si>
    <t>x</t>
  </si>
  <si>
    <t>start_date</t>
  </si>
  <si>
    <t>end_date</t>
  </si>
  <si>
    <t>boost</t>
  </si>
  <si>
    <t>CREATE_DATE</t>
  </si>
  <si>
    <t>UPDATE_DATE</t>
  </si>
  <si>
    <t>ROLLS_COUNT</t>
  </si>
  <si>
    <t>PIECES_IN_A_ROLL</t>
  </si>
  <si>
    <t>FABRIC_ORDER_GIVEN</t>
  </si>
  <si>
    <t>S_RATIO</t>
  </si>
  <si>
    <t>M_RATIO</t>
  </si>
  <si>
    <t>L_RATIO</t>
  </si>
  <si>
    <t>XL_RATIO</t>
  </si>
  <si>
    <t>RATIO_GIVEN</t>
  </si>
  <si>
    <t>V_S</t>
  </si>
  <si>
    <t>V_M</t>
  </si>
  <si>
    <t>V_L</t>
  </si>
  <si>
    <t>V_XL</t>
  </si>
  <si>
    <t>PHYSICALLY_RECEIVED</t>
  </si>
  <si>
    <t>black</t>
  </si>
  <si>
    <t>YES/NO</t>
  </si>
  <si>
    <t>ONCE YES ADD THIS INTO VIRTUAL STOCK IN MASTER SHEET(NOTE: UNTIL RATIO_GIVEN IS NO, STOCK AND RATIO WOULD BE UPDATED DAILY</t>
  </si>
  <si>
    <t>UNTIL IT IS NO, CALCULATE RATIO AND VIRTUAL INVENTORY.</t>
  </si>
  <si>
    <t>UNTIL NO, VIRTUAL INVENTORY WILL STAY IN MASTER_INVENTORY SHEET AND SHOULD BE CONSIDERED.</t>
  </si>
  <si>
    <t>UNTIL IT IS NO, SAME ROW WILL BE UPDATED(BOTH ROLLS AND RATIO WILL BE UPDATED)</t>
  </si>
  <si>
    <t>ONCE YES, RATIO AND VIRTUAL INVENTORY SHOULD BE LOCKED AND SHOULD NOT GET CHANGE IN NEXT INTERATIONS.</t>
  </si>
  <si>
    <t>ONCE YES, VIRTUAL INVENTORY THAT WE HAVE CONSIDERED SHOULD BE NULLIFIDED AND ACTUAL PHYSICAL STOCK SHOULD BE ADDED MANUALLY TO MASTER_INVENTORY SHEET</t>
  </si>
  <si>
    <t>AFTER IT BECOMES YES, AND IN FUTURE EVEN AFTER CONSIDERING REAL + VIRTUAL COUNT, LOW STOCK TRIGGERS THEN ANOTHER ROW WILL BE ADDED FOR THAT. (VIRTUAL INCENTORY WILL BE ADDED) NOTE: HERE VIRTUAL STOCK WILL BE  VIRTUAL OF PRIVIOUS RECORD + VIRTUAL OF THIS NEW RECORD</t>
  </si>
  <si>
    <t>ONCE YES, IN NEXT INTERATION, THIS ROW WILL BE MOVED TO A HISTORY LOG SHEET</t>
  </si>
  <si>
    <t>generate_ratio</t>
  </si>
  <si>
    <t>Paid</t>
  </si>
  <si>
    <t>Generate Ratio</t>
  </si>
  <si>
    <t>2:5:3:2</t>
  </si>
  <si>
    <t>Lock Ratio</t>
  </si>
  <si>
    <t>Remove Virtual Stock</t>
  </si>
  <si>
    <t>done</t>
  </si>
  <si>
    <t xml:space="preserve">orange and red highlight depends on physical + virtual so no oramge and red mark for those orders has been done already </t>
  </si>
  <si>
    <t>ratio check - 1 and 2 is missing as candidate</t>
  </si>
  <si>
    <t>UNLOCK -&gt; S
LOCK -&gt; S+ S_V(LOCKED WALU)</t>
  </si>
  <si>
    <t xml:space="preserve">add ordder date as first column </t>
  </si>
  <si>
    <t>combine functions and create a neat look</t>
  </si>
  <si>
    <t>Count</t>
  </si>
  <si>
    <t>Locked</t>
  </si>
  <si>
    <t>OnHand</t>
  </si>
  <si>
    <t>---</t>
  </si>
  <si>
    <t>add % column in inventory_lookup and based on mrp tag sheet, find color, product from mapping fetch inventory from master and % from inventory_lookup canaculate it and if below OOS_Th, make it zero</t>
  </si>
  <si>
    <t>addtion and deduction logic or sheet for master_invnetory inventory?</t>
  </si>
  <si>
    <t>rto handing(streamlit geneartes - 2 excels for 1 orders and  2 RTOs)</t>
  </si>
  <si>
    <t>Yellow Tier handling (UNHEALTHY)</t>
  </si>
  <si>
    <t>update tier_rules - checking and do with practical examples now</t>
  </si>
  <si>
    <t>Triggers</t>
  </si>
  <si>
    <t>evening a trigger for RTO clean up where on hand = 0 + other trgger check and setup</t>
  </si>
  <si>
    <t>evening a trigger for RTO clean up where on hand = 0</t>
  </si>
  <si>
    <t>serach in RTO App</t>
  </si>
  <si>
    <t>weight to be considered from actual sales</t>
  </si>
  <si>
    <t>actual sales based weights that calculates based on in stock last 120 days + freeze works? + dynamically fetches real last instock 120 days?</t>
  </si>
  <si>
    <t>remove [x] &lt;date&gt; from nextjs app excel+pdf</t>
  </si>
  <si>
    <r>
      <rPr>
        <sz val="10"/>
        <color theme="1"/>
        <rFont val="Arial"/>
      </rPr>
      <t xml:space="preserve">RTO locking </t>
    </r>
    <r>
      <rPr>
        <sz val="10"/>
        <color rgb="FFFF0000"/>
        <rFont val="Arial"/>
      </rPr>
      <t xml:space="preserve">deduction </t>
    </r>
    <r>
      <rPr>
        <sz val="10"/>
        <color theme="1"/>
        <rFont val="Arial"/>
      </rPr>
      <t>issues</t>
    </r>
  </si>
  <si>
    <t>DTF thresold based on sales calculates based on in stock last 120 days with short term performace respect</t>
  </si>
  <si>
    <t>Festive sales date print boost</t>
  </si>
  <si>
    <t>|x| for overall for better inventory thresold</t>
  </si>
  <si>
    <t>print counter in Next Js App or excel sheet + tshirt as well?</t>
  </si>
  <si>
    <t xml:space="preserve">If you see current screen has Platform Name (Mandatory)
where user write.. Instead make it from dropdown
only these values in same order:
Myntra
Website
Ajio
Flipkart
Pop
Nykaa
Etsy
Website Global
Shakyboo
Other
</t>
  </si>
  <si>
    <t>remve {url} [x] &lt;date&gt; from python based streamlit app</t>
  </si>
  <si>
    <t>Add flipkart sku in mapping sheet</t>
  </si>
  <si>
    <t>Add logic for returns ( bundle mapping) Email issue</t>
  </si>
  <si>
    <t>Print: ❌ (SKU not in Mapping Sheet) | Plain/Ready Merch: ❌ (SKU not in Mapping Sheet)</t>
  </si>
  <si>
    <t>Adding {url} in Column of mapping sheet</t>
  </si>
  <si>
    <t>Step by Step Traning and SOP (1. how to use 2. How add new products so system doesn't fail (a video + checklist)</t>
  </si>
  <si>
    <t>-------</t>
  </si>
  <si>
    <t>headless broswer auto upload inventory( TRIGGERS FROM THIS menu items - syncMyntraInventory )</t>
  </si>
  <si>
    <t>inventory for website + pop + flipkart</t>
  </si>
  <si>
    <t>buttton to download csv for myntra inventory- skip - will do automation</t>
  </si>
  <si>
    <t>remainer email to accept credti notes in ajio to care.wh email</t>
  </si>
  <si>
    <t>keep</t>
  </si>
  <si>
    <t>once a day( add a line above)</t>
  </si>
  <si>
    <t>remove</t>
  </si>
  <si>
    <t>inside suggest tfabruc</t>
  </si>
  <si>
    <t>runs every 3 hrs</t>
  </si>
  <si>
    <t xml:space="preserve">all 3 checkboxes runs suggest fabruc </t>
  </si>
  <si>
    <t>MIN_DESIGNS</t>
  </si>
  <si>
    <t>readymade_all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</si>
</sst>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\-mmm\-yyyy"/>
    <numFmt numFmtId="166" formatCode="d\-mmmm\-yyyy"/>
    <numFmt numFmtId="167" formatCode="dd/mm/yyyy\ hh:mm:ss"/>
    <numFmt numFmtId="168" formatCode="m/d/yyyy\ h:mm:ss"/>
    <numFmt numFmtId="169" formatCode="dd\-mm\-yyyy\ hh:mm"/>
  </numFmts>
  <fonts count="77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FFFFFF"/>
      <name val="Arial"/>
      <scheme val="minor"/>
    </font>
    <font>
      <b/>
      <sz val="10"/>
      <color rgb="FFFFFFFF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FkGroteskNeue"/>
    </font>
    <font>
      <b/>
      <sz val="12"/>
      <color rgb="FFF3F3F3"/>
      <name val="Arial"/>
    </font>
    <font>
      <b/>
      <sz val="16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2"/>
      <color theme="1"/>
      <name val="Arial"/>
    </font>
    <font>
      <sz val="10"/>
      <color rgb="FF000000"/>
      <name val="Arial"/>
    </font>
    <font>
      <b/>
      <sz val="12"/>
      <color rgb="FFFF0000"/>
      <name val="Arial"/>
    </font>
    <font>
      <sz val="10"/>
      <color rgb="FF000000"/>
      <name val="Arial"/>
      <scheme val="minor"/>
    </font>
    <font>
      <b/>
      <sz val="12"/>
      <color rgb="FFFFD98B"/>
      <name val="Arial"/>
    </font>
    <font>
      <sz val="11"/>
      <color rgb="FF000000"/>
      <name val="&quot;Aptos Narrow&quot;"/>
    </font>
    <font>
      <sz val="11"/>
      <color rgb="FF000000"/>
      <name val="Arial"/>
    </font>
    <font>
      <b/>
      <sz val="12"/>
      <color rgb="FFF3F3F3"/>
      <name val="FkGroteskNeue"/>
    </font>
    <font>
      <b/>
      <sz val="12"/>
      <color rgb="FFFFFF00"/>
      <name val="FkGroteskNeue"/>
    </font>
    <font>
      <b/>
      <sz val="10"/>
      <color theme="1"/>
      <name val="Arial"/>
    </font>
    <font>
      <b/>
      <sz val="12"/>
      <color rgb="FFFF9900"/>
      <name val="Arial"/>
    </font>
    <font>
      <b/>
      <sz val="12"/>
      <color rgb="FFFFFFFF"/>
      <name val="FkGroteskNeue"/>
    </font>
    <font>
      <b/>
      <sz val="12"/>
      <color theme="1"/>
      <name val="FkGroteskNeue"/>
    </font>
    <font>
      <b/>
      <sz val="12"/>
      <color rgb="FFCFE2F3"/>
      <name val="Arial"/>
    </font>
    <font>
      <b/>
      <sz val="12"/>
      <color rgb="FF000000"/>
      <name val="Arial"/>
    </font>
    <font>
      <b/>
      <sz val="12"/>
      <color rgb="FF9FC5E8"/>
      <name val="FkGroteskNeue"/>
    </font>
    <font>
      <b/>
      <sz val="12"/>
      <color rgb="FF9FC5E8"/>
      <name val="Arial"/>
    </font>
    <font>
      <b/>
      <sz val="12"/>
      <color rgb="FFFF9900"/>
      <name val="FkGroteskNeue"/>
    </font>
    <font>
      <b/>
      <sz val="10"/>
      <color theme="1"/>
      <name val="FkGroteskNeue"/>
    </font>
    <font>
      <b/>
      <sz val="12"/>
      <color rgb="FFFFD98B"/>
      <name val="FkGroteskNeue"/>
    </font>
    <font>
      <b/>
      <sz val="12"/>
      <color rgb="FFFFFFFF"/>
      <name val="Arial"/>
    </font>
    <font>
      <b/>
      <sz val="12"/>
      <color theme="1"/>
      <name val="Arial"/>
      <scheme val="minor"/>
    </font>
    <font>
      <b/>
      <sz val="12"/>
      <color rgb="FF4285F4"/>
      <name val="Arial"/>
      <scheme val="minor"/>
    </font>
    <font>
      <b/>
      <sz val="12"/>
      <color rgb="FFFFD966"/>
      <name val="Arial"/>
      <scheme val="minor"/>
    </font>
    <font>
      <b/>
      <sz val="12"/>
      <color rgb="FFF3F3F3"/>
      <name val="Arial"/>
      <scheme val="minor"/>
    </font>
    <font>
      <b/>
      <sz val="12"/>
      <color rgb="FF783F04"/>
      <name val="Arial"/>
      <scheme val="minor"/>
    </font>
    <font>
      <b/>
      <sz val="12"/>
      <color rgb="FF434343"/>
      <name val="Arial"/>
      <scheme val="minor"/>
    </font>
    <font>
      <sz val="10"/>
      <color rgb="FF212121"/>
      <name val="Inter"/>
    </font>
    <font>
      <b/>
      <sz val="12"/>
      <color rgb="FFFF0000"/>
      <name val="Arial"/>
      <scheme val="minor"/>
    </font>
    <font>
      <b/>
      <sz val="12"/>
      <color rgb="FFFFFFFF"/>
      <name val="Arial"/>
      <scheme val="minor"/>
    </font>
    <font>
      <b/>
      <sz val="12"/>
      <color rgb="FFEA4335"/>
      <name val="Arial"/>
      <scheme val="minor"/>
    </font>
    <font>
      <b/>
      <sz val="12"/>
      <color rgb="FFF1C232"/>
      <name val="Arial"/>
      <scheme val="minor"/>
    </font>
    <font>
      <b/>
      <sz val="12"/>
      <color rgb="FFE06666"/>
      <name val="Arial"/>
    </font>
    <font>
      <b/>
      <sz val="12"/>
      <color rgb="FFE06666"/>
      <name val="Arial"/>
      <scheme val="minor"/>
    </font>
    <font>
      <b/>
      <sz val="12"/>
      <color rgb="FFD9D2E9"/>
      <name val="Arial"/>
      <scheme val="minor"/>
    </font>
    <font>
      <b/>
      <sz val="12"/>
      <color rgb="FFFFFF00"/>
      <name val="Arial"/>
    </font>
    <font>
      <b/>
      <sz val="12"/>
      <color rgb="FFCC0000"/>
      <name val="Arial"/>
      <scheme val="minor"/>
    </font>
    <font>
      <b/>
      <sz val="12"/>
      <color rgb="FF46BDC6"/>
      <name val="Arial"/>
    </font>
    <font>
      <sz val="10"/>
      <color rgb="FF999999"/>
      <name val="Arial"/>
      <scheme val="minor"/>
    </font>
    <font>
      <b/>
      <sz val="13"/>
      <color rgb="FFF3F3F3"/>
      <name val="Arial"/>
      <scheme val="minor"/>
    </font>
    <font>
      <b/>
      <sz val="13"/>
      <color theme="1"/>
      <name val="Arial"/>
    </font>
    <font>
      <b/>
      <sz val="13"/>
      <color rgb="FF999999"/>
      <name val="Arial"/>
    </font>
    <font>
      <b/>
      <sz val="13"/>
      <color theme="1"/>
      <name val="Arial"/>
      <scheme val="minor"/>
    </font>
    <font>
      <b/>
      <sz val="13"/>
      <color rgb="FFFFFFFF"/>
      <name val="Arial"/>
      <scheme val="minor"/>
    </font>
    <font>
      <b/>
      <sz val="13"/>
      <color rgb="FFF3F3F3"/>
      <name val="Calibri"/>
    </font>
    <font>
      <b/>
      <sz val="13"/>
      <color rgb="FFF3F3F3"/>
      <name val="Arial"/>
    </font>
    <font>
      <b/>
      <sz val="13"/>
      <color rgb="FF000000"/>
      <name val="Arial"/>
      <scheme val="minor"/>
    </font>
    <font>
      <b/>
      <sz val="13"/>
      <color rgb="FFEFEFEF"/>
      <name val="Calibri"/>
    </font>
    <font>
      <b/>
      <sz val="13"/>
      <color rgb="FFF1C232"/>
      <name val="Arial"/>
      <scheme val="minor"/>
    </font>
    <font>
      <b/>
      <sz val="13"/>
      <color rgb="FFCFE2F3"/>
      <name val="Arial"/>
      <scheme val="minor"/>
    </font>
    <font>
      <b/>
      <sz val="13"/>
      <color rgb="FFFFFF00"/>
      <name val="Arial"/>
      <scheme val="minor"/>
    </font>
    <font>
      <b/>
      <sz val="13"/>
      <color rgb="FF00FFFF"/>
      <name val="Arial"/>
      <scheme val="minor"/>
    </font>
    <font>
      <b/>
      <sz val="13"/>
      <color rgb="FFFFFFFF"/>
      <name val="Calibri"/>
    </font>
    <font>
      <b/>
      <sz val="13"/>
      <color rgb="FFFFFFFF"/>
      <name val="Arial"/>
    </font>
    <font>
      <b/>
      <sz val="10"/>
      <color rgb="FF000000"/>
      <name val="Arial"/>
      <scheme val="minor"/>
    </font>
    <font>
      <sz val="11"/>
      <color rgb="FFFFFFFF"/>
      <name val="Calibri"/>
    </font>
    <font>
      <sz val="10"/>
      <color rgb="FFFFFFFF"/>
      <name val="Arial"/>
    </font>
    <font>
      <sz val="10"/>
      <color rgb="FFFF0000"/>
      <name val="Arial"/>
      <scheme val="minor"/>
    </font>
    <font>
      <sz val="11"/>
      <color theme="1"/>
      <name val="Arial"/>
    </font>
    <font>
      <sz val="10"/>
      <color rgb="FFFF0000"/>
      <name val="Arial"/>
    </font>
  </fonts>
  <fills count="4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CFAD7E"/>
        <bgColor rgb="FFCFAD7E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073763"/>
        <bgColor rgb="FF073763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659052"/>
        <bgColor rgb="FF659052"/>
      </patternFill>
    </fill>
    <fill>
      <patternFill patternType="solid">
        <fgColor rgb="FF999999"/>
        <bgColor rgb="FF999999"/>
      </patternFill>
    </fill>
    <fill>
      <patternFill patternType="solid">
        <fgColor rgb="FF1C4587"/>
        <bgColor rgb="FF1C4587"/>
      </patternFill>
    </fill>
    <fill>
      <patternFill patternType="solid">
        <fgColor rgb="FF783F04"/>
        <bgColor rgb="FF783F04"/>
      </patternFill>
    </fill>
    <fill>
      <patternFill patternType="solid">
        <fgColor rgb="FF179DA6"/>
        <bgColor rgb="FF179DA6"/>
      </patternFill>
    </fill>
    <fill>
      <patternFill patternType="solid">
        <fgColor rgb="FF00C8A3"/>
        <bgColor rgb="FF00C8A3"/>
      </patternFill>
    </fill>
    <fill>
      <patternFill patternType="solid">
        <fgColor rgb="FFFCE5CD"/>
        <bgColor rgb="FFFCE5CD"/>
      </patternFill>
    </fill>
    <fill>
      <patternFill patternType="solid">
        <fgColor rgb="FFEDDDAC"/>
        <bgColor rgb="FFEDDDAC"/>
      </patternFill>
    </fill>
    <fill>
      <patternFill patternType="solid">
        <fgColor rgb="FFFFD98B"/>
        <bgColor rgb="FFFFD98B"/>
      </patternFill>
    </fill>
    <fill>
      <patternFill patternType="solid">
        <fgColor rgb="FFFAFAFA"/>
        <bgColor rgb="FFFAFAFA"/>
      </patternFill>
    </fill>
    <fill>
      <patternFill patternType="solid">
        <fgColor rgb="FFF1C232"/>
        <bgColor rgb="FFF1C232"/>
      </patternFill>
    </fill>
    <fill>
      <patternFill patternType="solid">
        <fgColor rgb="FFE5AFEF"/>
        <bgColor rgb="FFE5AFEF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A500"/>
        <bgColor rgb="FFFFA500"/>
      </patternFill>
    </fill>
    <fill>
      <patternFill patternType="solid">
        <fgColor rgb="FF20124D"/>
        <bgColor rgb="FF20124D"/>
      </patternFill>
    </fill>
    <fill>
      <patternFill patternType="solid">
        <fgColor rgb="FF61F6C4"/>
        <bgColor rgb="FF61F6C4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9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2" fontId="5" fillId="2" borderId="0" xfId="0" applyNumberFormat="1" applyFont="1" applyFill="1"/>
    <xf numFmtId="2" fontId="2" fillId="4" borderId="1" xfId="0" applyNumberFormat="1" applyFont="1" applyFill="1" applyBorder="1"/>
    <xf numFmtId="2" fontId="4" fillId="4" borderId="1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5" fillId="2" borderId="0" xfId="0" applyFont="1" applyFill="1"/>
    <xf numFmtId="0" fontId="8" fillId="0" borderId="0" xfId="0" applyFont="1"/>
    <xf numFmtId="164" fontId="9" fillId="6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7" borderId="1" xfId="0" applyFont="1" applyFill="1" applyBorder="1"/>
    <xf numFmtId="165" fontId="6" fillId="0" borderId="1" xfId="0" applyNumberFormat="1" applyFont="1" applyBorder="1"/>
    <xf numFmtId="4" fontId="2" fillId="8" borderId="1" xfId="0" applyNumberFormat="1" applyFont="1" applyFill="1" applyBorder="1"/>
    <xf numFmtId="0" fontId="6" fillId="0" borderId="1" xfId="0" applyFont="1" applyBorder="1"/>
    <xf numFmtId="0" fontId="10" fillId="6" borderId="1" xfId="0" applyFont="1" applyFill="1" applyBorder="1" applyAlignment="1">
      <alignment horizontal="center"/>
    </xf>
    <xf numFmtId="0" fontId="2" fillId="9" borderId="0" xfId="0" applyFont="1" applyFill="1"/>
    <xf numFmtId="0" fontId="11" fillId="0" borderId="4" xfId="0" applyFont="1" applyBorder="1" applyAlignment="1">
      <alignment horizontal="left"/>
    </xf>
    <xf numFmtId="2" fontId="9" fillId="6" borderId="1" xfId="0" applyNumberFormat="1" applyFont="1" applyFill="1" applyBorder="1" applyAlignment="1">
      <alignment horizontal="center"/>
    </xf>
    <xf numFmtId="165" fontId="8" fillId="0" borderId="1" xfId="0" applyNumberFormat="1" applyFont="1" applyBorder="1"/>
    <xf numFmtId="4" fontId="10" fillId="0" borderId="1" xfId="0" applyNumberFormat="1" applyFont="1" applyBorder="1" applyAlignment="1">
      <alignment horizontal="center"/>
    </xf>
    <xf numFmtId="0" fontId="12" fillId="10" borderId="1" xfId="0" applyFont="1" applyFill="1" applyBorder="1"/>
    <xf numFmtId="0" fontId="9" fillId="0" borderId="1" xfId="0" applyFont="1" applyBorder="1"/>
    <xf numFmtId="0" fontId="14" fillId="11" borderId="1" xfId="0" applyFont="1" applyFill="1" applyBorder="1"/>
    <xf numFmtId="0" fontId="15" fillId="0" borderId="0" xfId="0" applyFont="1"/>
    <xf numFmtId="0" fontId="8" fillId="0" borderId="1" xfId="0" applyFont="1" applyBorder="1"/>
    <xf numFmtId="0" fontId="6" fillId="0" borderId="0" xfId="0" applyFont="1"/>
    <xf numFmtId="0" fontId="16" fillId="0" borderId="1" xfId="0" applyFont="1" applyBorder="1"/>
    <xf numFmtId="2" fontId="8" fillId="6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17" fillId="0" borderId="1" xfId="0" applyFont="1" applyBorder="1"/>
    <xf numFmtId="2" fontId="15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7" fillId="12" borderId="1" xfId="0" applyFont="1" applyFill="1" applyBorder="1"/>
    <xf numFmtId="0" fontId="8" fillId="0" borderId="0" xfId="0" applyFont="1" applyAlignment="1">
      <alignment horizontal="center"/>
    </xf>
    <xf numFmtId="0" fontId="19" fillId="10" borderId="1" xfId="0" applyFont="1" applyFill="1" applyBorder="1"/>
    <xf numFmtId="0" fontId="20" fillId="0" borderId="0" xfId="0" applyFont="1"/>
    <xf numFmtId="0" fontId="20" fillId="0" borderId="1" xfId="0" applyFont="1" applyBorder="1" applyAlignment="1">
      <alignment horizontal="left"/>
    </xf>
    <xf numFmtId="4" fontId="8" fillId="0" borderId="0" xfId="0" applyNumberFormat="1" applyFont="1"/>
    <xf numFmtId="0" fontId="18" fillId="0" borderId="0" xfId="0" applyFont="1"/>
    <xf numFmtId="4" fontId="6" fillId="0" borderId="1" xfId="0" applyNumberFormat="1" applyFont="1" applyBorder="1"/>
    <xf numFmtId="0" fontId="16" fillId="0" borderId="4" xfId="0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0" fontId="14" fillId="9" borderId="1" xfId="0" applyFont="1" applyFill="1" applyBorder="1" applyAlignment="1">
      <alignment vertical="top"/>
    </xf>
    <xf numFmtId="0" fontId="16" fillId="0" borderId="1" xfId="0" applyFont="1" applyBorder="1" applyAlignment="1">
      <alignment horizontal="right" vertical="top"/>
    </xf>
    <xf numFmtId="2" fontId="14" fillId="0" borderId="1" xfId="0" applyNumberFormat="1" applyFont="1" applyBorder="1" applyAlignment="1">
      <alignment horizontal="right" vertical="top"/>
    </xf>
    <xf numFmtId="0" fontId="20" fillId="0" borderId="1" xfId="0" applyFont="1" applyBorder="1"/>
    <xf numFmtId="0" fontId="6" fillId="0" borderId="1" xfId="0" applyFont="1" applyBorder="1" applyAlignment="1">
      <alignment horizontal="right"/>
    </xf>
    <xf numFmtId="0" fontId="21" fillId="10" borderId="1" xfId="0" applyFont="1" applyFill="1" applyBorder="1"/>
    <xf numFmtId="0" fontId="6" fillId="0" borderId="1" xfId="0" applyFont="1" applyBorder="1" applyAlignment="1">
      <alignment horizontal="center"/>
    </xf>
    <xf numFmtId="0" fontId="14" fillId="0" borderId="1" xfId="0" applyFont="1" applyBorder="1"/>
    <xf numFmtId="0" fontId="8" fillId="1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2" fillId="0" borderId="1" xfId="0" applyFont="1" applyBorder="1"/>
    <xf numFmtId="0" fontId="17" fillId="14" borderId="1" xfId="0" applyFont="1" applyFill="1" applyBorder="1"/>
    <xf numFmtId="4" fontId="8" fillId="9" borderId="1" xfId="0" applyNumberFormat="1" applyFont="1" applyFill="1" applyBorder="1" applyAlignment="1">
      <alignment horizontal="center"/>
    </xf>
    <xf numFmtId="0" fontId="16" fillId="0" borderId="0" xfId="0" applyFont="1"/>
    <xf numFmtId="0" fontId="14" fillId="0" borderId="0" xfId="0" applyFont="1"/>
    <xf numFmtId="0" fontId="11" fillId="0" borderId="0" xfId="0" applyFont="1" applyAlignment="1">
      <alignment horizontal="left"/>
    </xf>
    <xf numFmtId="0" fontId="23" fillId="0" borderId="1" xfId="0" applyFont="1" applyBorder="1"/>
    <xf numFmtId="4" fontId="6" fillId="0" borderId="1" xfId="0" applyNumberFormat="1" applyFont="1" applyBorder="1" applyAlignment="1">
      <alignment horizontal="center"/>
    </xf>
    <xf numFmtId="0" fontId="24" fillId="10" borderId="1" xfId="0" applyFont="1" applyFill="1" applyBorder="1"/>
    <xf numFmtId="0" fontId="17" fillId="15" borderId="1" xfId="0" applyFont="1" applyFill="1" applyBorder="1"/>
    <xf numFmtId="0" fontId="25" fillId="5" borderId="1" xfId="0" applyFont="1" applyFill="1" applyBorder="1"/>
    <xf numFmtId="0" fontId="24" fillId="16" borderId="1" xfId="0" applyFont="1" applyFill="1" applyBorder="1"/>
    <xf numFmtId="0" fontId="12" fillId="17" borderId="1" xfId="0" applyFont="1" applyFill="1" applyBorder="1"/>
    <xf numFmtId="0" fontId="12" fillId="18" borderId="1" xfId="0" applyFont="1" applyFill="1" applyBorder="1"/>
    <xf numFmtId="0" fontId="26" fillId="0" borderId="0" xfId="0" applyFont="1"/>
    <xf numFmtId="0" fontId="27" fillId="10" borderId="1" xfId="0" applyFont="1" applyFill="1" applyBorder="1"/>
    <xf numFmtId="0" fontId="28" fillId="18" borderId="1" xfId="0" applyFont="1" applyFill="1" applyBorder="1"/>
    <xf numFmtId="0" fontId="29" fillId="0" borderId="1" xfId="0" applyFont="1" applyBorder="1"/>
    <xf numFmtId="0" fontId="8" fillId="19" borderId="1" xfId="0" applyFont="1" applyFill="1" applyBorder="1" applyAlignment="1">
      <alignment horizontal="center"/>
    </xf>
    <xf numFmtId="0" fontId="24" fillId="20" borderId="1" xfId="0" applyFont="1" applyFill="1" applyBorder="1"/>
    <xf numFmtId="0" fontId="8" fillId="11" borderId="1" xfId="0" applyFont="1" applyFill="1" applyBorder="1"/>
    <xf numFmtId="0" fontId="29" fillId="14" borderId="1" xfId="0" applyFont="1" applyFill="1" applyBorder="1"/>
    <xf numFmtId="4" fontId="6" fillId="9" borderId="1" xfId="0" applyNumberFormat="1" applyFont="1" applyFill="1" applyBorder="1" applyAlignment="1">
      <alignment horizontal="center"/>
    </xf>
    <xf numFmtId="0" fontId="30" fillId="21" borderId="1" xfId="0" applyFont="1" applyFill="1" applyBorder="1"/>
    <xf numFmtId="0" fontId="31" fillId="21" borderId="1" xfId="0" applyFont="1" applyFill="1" applyBorder="1"/>
    <xf numFmtId="0" fontId="12" fillId="22" borderId="1" xfId="0" applyFont="1" applyFill="1" applyBorder="1"/>
    <xf numFmtId="0" fontId="32" fillId="10" borderId="1" xfId="0" applyFont="1" applyFill="1" applyBorder="1"/>
    <xf numFmtId="0" fontId="33" fillId="10" borderId="1" xfId="0" applyFont="1" applyFill="1" applyBorder="1"/>
    <xf numFmtId="0" fontId="16" fillId="0" borderId="1" xfId="0" applyFont="1" applyBorder="1" applyAlignment="1">
      <alignment horizontal="left"/>
    </xf>
    <xf numFmtId="0" fontId="16" fillId="11" borderId="1" xfId="0" applyFont="1" applyFill="1" applyBorder="1"/>
    <xf numFmtId="2" fontId="8" fillId="0" borderId="1" xfId="0" applyNumberFormat="1" applyFont="1" applyBorder="1"/>
    <xf numFmtId="0" fontId="29" fillId="12" borderId="1" xfId="0" applyFont="1" applyFill="1" applyBorder="1"/>
    <xf numFmtId="0" fontId="20" fillId="9" borderId="1" xfId="0" applyFont="1" applyFill="1" applyBorder="1" applyAlignment="1">
      <alignment horizontal="left"/>
    </xf>
    <xf numFmtId="0" fontId="34" fillId="10" borderId="1" xfId="0" applyFont="1" applyFill="1" applyBorder="1"/>
    <xf numFmtId="2" fontId="14" fillId="0" borderId="1" xfId="0" applyNumberFormat="1" applyFont="1" applyBorder="1" applyAlignment="1">
      <alignment horizontal="right"/>
    </xf>
    <xf numFmtId="0" fontId="24" fillId="23" borderId="1" xfId="0" applyFont="1" applyFill="1" applyBorder="1"/>
    <xf numFmtId="0" fontId="35" fillId="0" borderId="4" xfId="0" applyFont="1" applyBorder="1" applyAlignment="1">
      <alignment horizontal="left"/>
    </xf>
    <xf numFmtId="0" fontId="12" fillId="23" borderId="1" xfId="0" applyFont="1" applyFill="1" applyBorder="1"/>
    <xf numFmtId="0" fontId="17" fillId="20" borderId="1" xfId="0" applyFont="1" applyFill="1" applyBorder="1"/>
    <xf numFmtId="0" fontId="29" fillId="21" borderId="1" xfId="0" applyFont="1" applyFill="1" applyBorder="1"/>
    <xf numFmtId="0" fontId="36" fillId="24" borderId="1" xfId="0" applyFont="1" applyFill="1" applyBorder="1"/>
    <xf numFmtId="0" fontId="29" fillId="20" borderId="1" xfId="0" applyFont="1" applyFill="1" applyBorder="1"/>
    <xf numFmtId="0" fontId="28" fillId="10" borderId="1" xfId="0" applyFont="1" applyFill="1" applyBorder="1"/>
    <xf numFmtId="165" fontId="8" fillId="0" borderId="8" xfId="0" applyNumberFormat="1" applyFont="1" applyBorder="1"/>
    <xf numFmtId="0" fontId="8" fillId="0" borderId="8" xfId="0" applyFont="1" applyBorder="1"/>
    <xf numFmtId="0" fontId="37" fillId="10" borderId="1" xfId="0" applyFont="1" applyFill="1" applyBorder="1"/>
    <xf numFmtId="2" fontId="8" fillId="6" borderId="8" xfId="0" applyNumberFormat="1" applyFont="1" applyFill="1" applyBorder="1" applyAlignment="1">
      <alignment horizontal="center"/>
    </xf>
    <xf numFmtId="4" fontId="8" fillId="0" borderId="8" xfId="0" applyNumberFormat="1" applyFont="1" applyBorder="1" applyAlignment="1">
      <alignment horizontal="center"/>
    </xf>
    <xf numFmtId="0" fontId="24" fillId="17" borderId="1" xfId="0" applyFont="1" applyFill="1" applyBorder="1"/>
    <xf numFmtId="0" fontId="8" fillId="0" borderId="8" xfId="0" applyFont="1" applyBorder="1" applyAlignment="1">
      <alignment horizontal="center"/>
    </xf>
    <xf numFmtId="165" fontId="8" fillId="0" borderId="7" xfId="0" applyNumberFormat="1" applyFont="1" applyBorder="1"/>
    <xf numFmtId="0" fontId="29" fillId="25" borderId="1" xfId="0" applyFont="1" applyFill="1" applyBorder="1"/>
    <xf numFmtId="0" fontId="8" fillId="0" borderId="7" xfId="0" applyFont="1" applyBorder="1"/>
    <xf numFmtId="2" fontId="8" fillId="6" borderId="7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4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4" fillId="22" borderId="1" xfId="0" applyFont="1" applyFill="1" applyBorder="1"/>
    <xf numFmtId="0" fontId="16" fillId="9" borderId="1" xfId="0" applyFont="1" applyFill="1" applyBorder="1"/>
    <xf numFmtId="0" fontId="8" fillId="26" borderId="1" xfId="0" applyFont="1" applyFill="1" applyBorder="1" applyAlignment="1">
      <alignment horizontal="center"/>
    </xf>
    <xf numFmtId="0" fontId="8" fillId="11" borderId="0" xfId="0" applyFont="1" applyFill="1"/>
    <xf numFmtId="0" fontId="14" fillId="9" borderId="0" xfId="0" applyFont="1" applyFill="1" applyAlignment="1">
      <alignment vertical="top"/>
    </xf>
    <xf numFmtId="0" fontId="38" fillId="12" borderId="1" xfId="0" applyFont="1" applyFill="1" applyBorder="1"/>
    <xf numFmtId="0" fontId="14" fillId="11" borderId="0" xfId="0" applyFont="1" applyFill="1"/>
    <xf numFmtId="0" fontId="39" fillId="0" borderId="1" xfId="0" applyFont="1" applyBorder="1"/>
    <xf numFmtId="0" fontId="8" fillId="12" borderId="1" xfId="0" applyFont="1" applyFill="1" applyBorder="1" applyAlignment="1">
      <alignment horizontal="center"/>
    </xf>
    <xf numFmtId="0" fontId="38" fillId="27" borderId="1" xfId="0" applyFont="1" applyFill="1" applyBorder="1"/>
    <xf numFmtId="0" fontId="40" fillId="21" borderId="1" xfId="0" applyFont="1" applyFill="1" applyBorder="1"/>
    <xf numFmtId="0" fontId="41" fillId="10" borderId="1" xfId="0" applyFont="1" applyFill="1" applyBorder="1"/>
    <xf numFmtId="0" fontId="38" fillId="0" borderId="1" xfId="0" applyFont="1" applyBorder="1"/>
    <xf numFmtId="0" fontId="41" fillId="18" borderId="1" xfId="0" applyFont="1" applyFill="1" applyBorder="1"/>
    <xf numFmtId="0" fontId="41" fillId="23" borderId="1" xfId="0" applyFont="1" applyFill="1" applyBorder="1"/>
    <xf numFmtId="0" fontId="42" fillId="28" borderId="1" xfId="0" applyFont="1" applyFill="1" applyBorder="1"/>
    <xf numFmtId="0" fontId="16" fillId="6" borderId="1" xfId="0" applyFont="1" applyFill="1" applyBorder="1"/>
    <xf numFmtId="0" fontId="43" fillId="0" borderId="1" xfId="0" applyFont="1" applyBorder="1"/>
    <xf numFmtId="0" fontId="44" fillId="29" borderId="0" xfId="0" applyFont="1" applyFill="1"/>
    <xf numFmtId="0" fontId="41" fillId="21" borderId="1" xfId="0" applyFont="1" applyFill="1" applyBorder="1"/>
    <xf numFmtId="0" fontId="45" fillId="12" borderId="1" xfId="0" applyFont="1" applyFill="1" applyBorder="1"/>
    <xf numFmtId="0" fontId="20" fillId="0" borderId="0" xfId="0" applyFont="1" applyAlignment="1">
      <alignment horizontal="left"/>
    </xf>
    <xf numFmtId="0" fontId="16" fillId="6" borderId="0" xfId="0" applyFont="1" applyFill="1"/>
    <xf numFmtId="0" fontId="46" fillId="21" borderId="1" xfId="0" applyFont="1" applyFill="1" applyBorder="1"/>
    <xf numFmtId="0" fontId="11" fillId="0" borderId="1" xfId="0" applyFont="1" applyBorder="1" applyAlignment="1">
      <alignment horizontal="left"/>
    </xf>
    <xf numFmtId="0" fontId="47" fillId="30" borderId="1" xfId="0" applyFont="1" applyFill="1" applyBorder="1"/>
    <xf numFmtId="0" fontId="15" fillId="0" borderId="1" xfId="0" applyFont="1" applyBorder="1"/>
    <xf numFmtId="0" fontId="43" fillId="15" borderId="1" xfId="0" applyFont="1" applyFill="1" applyBorder="1"/>
    <xf numFmtId="0" fontId="38" fillId="31" borderId="1" xfId="0" applyFont="1" applyFill="1" applyBorder="1"/>
    <xf numFmtId="0" fontId="41" fillId="5" borderId="1" xfId="0" applyFont="1" applyFill="1" applyBorder="1"/>
    <xf numFmtId="0" fontId="15" fillId="0" borderId="1" xfId="0" applyFont="1" applyBorder="1" applyAlignment="1">
      <alignment horizontal="right"/>
    </xf>
    <xf numFmtId="0" fontId="41" fillId="16" borderId="1" xfId="0" applyFont="1" applyFill="1" applyBorder="1"/>
    <xf numFmtId="0" fontId="38" fillId="14" borderId="1" xfId="0" applyFont="1" applyFill="1" applyBorder="1"/>
    <xf numFmtId="0" fontId="38" fillId="21" borderId="1" xfId="0" applyFont="1" applyFill="1" applyBorder="1"/>
    <xf numFmtId="0" fontId="41" fillId="20" borderId="1" xfId="0" applyFont="1" applyFill="1" applyBorder="1"/>
    <xf numFmtId="0" fontId="41" fillId="22" borderId="1" xfId="0" applyFont="1" applyFill="1" applyBorder="1"/>
    <xf numFmtId="2" fontId="8" fillId="0" borderId="0" xfId="0" applyNumberFormat="1" applyFont="1"/>
    <xf numFmtId="0" fontId="8" fillId="0" borderId="0" xfId="0" applyFont="1" applyAlignment="1">
      <alignment horizontal="left"/>
    </xf>
    <xf numFmtId="0" fontId="38" fillId="24" borderId="1" xfId="0" applyFont="1" applyFill="1" applyBorder="1"/>
    <xf numFmtId="0" fontId="48" fillId="32" borderId="0" xfId="0" applyFont="1" applyFill="1"/>
    <xf numFmtId="4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9" fillId="10" borderId="1" xfId="0" applyFont="1" applyFill="1" applyBorder="1"/>
    <xf numFmtId="165" fontId="6" fillId="0" borderId="7" xfId="0" applyNumberFormat="1" applyFont="1" applyBorder="1"/>
    <xf numFmtId="0" fontId="6" fillId="0" borderId="7" xfId="0" applyFont="1" applyBorder="1"/>
    <xf numFmtId="2" fontId="9" fillId="6" borderId="7" xfId="0" applyNumberFormat="1" applyFont="1" applyFill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46" fillId="33" borderId="0" xfId="0" applyFont="1" applyFill="1"/>
    <xf numFmtId="0" fontId="6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38" fillId="34" borderId="1" xfId="0" applyFont="1" applyFill="1" applyBorder="1"/>
    <xf numFmtId="0" fontId="46" fillId="10" borderId="1" xfId="0" applyFont="1" applyFill="1" applyBorder="1"/>
    <xf numFmtId="0" fontId="50" fillId="10" borderId="1" xfId="0" applyFont="1" applyFill="1" applyBorder="1"/>
    <xf numFmtId="0" fontId="51" fillId="10" borderId="1" xfId="0" applyFont="1" applyFill="1" applyBorder="1"/>
    <xf numFmtId="0" fontId="52" fillId="10" borderId="1" xfId="0" applyFont="1" applyFill="1" applyBorder="1"/>
    <xf numFmtId="4" fontId="8" fillId="0" borderId="1" xfId="0" applyNumberFormat="1" applyFont="1" applyBorder="1"/>
    <xf numFmtId="0" fontId="38" fillId="11" borderId="0" xfId="0" applyFont="1" applyFill="1"/>
    <xf numFmtId="0" fontId="38" fillId="0" borderId="0" xfId="0" applyFont="1"/>
    <xf numFmtId="0" fontId="53" fillId="10" borderId="1" xfId="0" applyFont="1" applyFill="1" applyBorder="1"/>
    <xf numFmtId="0" fontId="46" fillId="10" borderId="0" xfId="0" applyFont="1" applyFill="1"/>
    <xf numFmtId="4" fontId="8" fillId="0" borderId="1" xfId="0" applyNumberFormat="1" applyFont="1" applyBorder="1" applyAlignment="1">
      <alignment horizontal="right"/>
    </xf>
    <xf numFmtId="0" fontId="41" fillId="10" borderId="3" xfId="0" applyFont="1" applyFill="1" applyBorder="1"/>
    <xf numFmtId="0" fontId="54" fillId="10" borderId="1" xfId="0" applyFont="1" applyFill="1" applyBorder="1"/>
    <xf numFmtId="0" fontId="46" fillId="16" borderId="1" xfId="0" applyFont="1" applyFill="1" applyBorder="1"/>
    <xf numFmtId="0" fontId="45" fillId="11" borderId="1" xfId="0" applyFont="1" applyFill="1" applyBorder="1"/>
    <xf numFmtId="0" fontId="46" fillId="33" borderId="1" xfId="0" applyFont="1" applyFill="1" applyBorder="1"/>
    <xf numFmtId="4" fontId="6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center"/>
    </xf>
    <xf numFmtId="2" fontId="6" fillId="0" borderId="1" xfId="0" applyNumberFormat="1" applyFont="1" applyBorder="1"/>
    <xf numFmtId="0" fontId="9" fillId="0" borderId="0" xfId="0" applyFont="1"/>
    <xf numFmtId="2" fontId="9" fillId="0" borderId="0" xfId="0" applyNumberFormat="1" applyFont="1"/>
    <xf numFmtId="0" fontId="8" fillId="9" borderId="0" xfId="0" applyFont="1" applyFill="1"/>
    <xf numFmtId="0" fontId="55" fillId="35" borderId="0" xfId="0" applyFont="1" applyFill="1"/>
    <xf numFmtId="0" fontId="56" fillId="2" borderId="0" xfId="0" applyFont="1" applyFill="1"/>
    <xf numFmtId="0" fontId="57" fillId="0" borderId="1" xfId="0" applyFont="1" applyBorder="1" applyAlignment="1">
      <alignment horizontal="right"/>
    </xf>
    <xf numFmtId="0" fontId="58" fillId="35" borderId="9" xfId="0" applyFont="1" applyFill="1" applyBorder="1" applyAlignment="1">
      <alignment horizontal="right"/>
    </xf>
    <xf numFmtId="166" fontId="8" fillId="0" borderId="0" xfId="0" applyNumberFormat="1" applyFont="1"/>
    <xf numFmtId="14" fontId="8" fillId="0" borderId="0" xfId="0" applyNumberFormat="1" applyFont="1"/>
    <xf numFmtId="0" fontId="2" fillId="2" borderId="0" xfId="0" applyFont="1" applyFill="1"/>
    <xf numFmtId="0" fontId="8" fillId="6" borderId="0" xfId="0" applyFont="1" applyFill="1"/>
    <xf numFmtId="167" fontId="8" fillId="0" borderId="0" xfId="0" applyNumberFormat="1" applyFont="1"/>
    <xf numFmtId="0" fontId="59" fillId="0" borderId="0" xfId="0" applyFont="1"/>
    <xf numFmtId="0" fontId="59" fillId="14" borderId="0" xfId="0" applyFont="1" applyFill="1"/>
    <xf numFmtId="0" fontId="57" fillId="36" borderId="1" xfId="0" applyFont="1" applyFill="1" applyBorder="1" applyAlignment="1">
      <alignment horizontal="right"/>
    </xf>
    <xf numFmtId="0" fontId="59" fillId="15" borderId="0" xfId="0" applyFont="1" applyFill="1"/>
    <xf numFmtId="0" fontId="59" fillId="18" borderId="0" xfId="0" applyFont="1" applyFill="1"/>
    <xf numFmtId="0" fontId="57" fillId="33" borderId="1" xfId="0" applyFont="1" applyFill="1" applyBorder="1" applyAlignment="1">
      <alignment horizontal="right"/>
    </xf>
    <xf numFmtId="0" fontId="59" fillId="20" borderId="0" xfId="0" applyFont="1" applyFill="1"/>
    <xf numFmtId="0" fontId="59" fillId="16" borderId="0" xfId="0" applyFont="1" applyFill="1"/>
    <xf numFmtId="0" fontId="60" fillId="23" borderId="0" xfId="0" applyFont="1" applyFill="1"/>
    <xf numFmtId="0" fontId="2" fillId="0" borderId="0" xfId="0" applyFont="1"/>
    <xf numFmtId="0" fontId="56" fillId="37" borderId="0" xfId="0" applyFont="1" applyFill="1"/>
    <xf numFmtId="0" fontId="59" fillId="27" borderId="0" xfId="0" applyFont="1" applyFill="1"/>
    <xf numFmtId="0" fontId="59" fillId="24" borderId="0" xfId="0" applyFont="1" applyFill="1"/>
    <xf numFmtId="0" fontId="59" fillId="12" borderId="0" xfId="0" applyFont="1" applyFill="1"/>
    <xf numFmtId="0" fontId="61" fillId="10" borderId="0" xfId="0" applyFont="1" applyFill="1"/>
    <xf numFmtId="0" fontId="60" fillId="5" borderId="0" xfId="0" applyFont="1" applyFill="1"/>
    <xf numFmtId="0" fontId="62" fillId="33" borderId="0" xfId="0" applyFont="1" applyFill="1"/>
    <xf numFmtId="0" fontId="63" fillId="6" borderId="0" xfId="0" applyFont="1" applyFill="1"/>
    <xf numFmtId="0" fontId="64" fillId="10" borderId="0" xfId="0" applyFont="1" applyFill="1"/>
    <xf numFmtId="0" fontId="60" fillId="2" borderId="0" xfId="0" applyFont="1" applyFill="1"/>
    <xf numFmtId="0" fontId="59" fillId="26" borderId="0" xfId="0" applyFont="1" applyFill="1"/>
    <xf numFmtId="0" fontId="65" fillId="32" borderId="0" xfId="0" applyFont="1" applyFill="1"/>
    <xf numFmtId="0" fontId="58" fillId="0" borderId="0" xfId="0" applyFont="1" applyAlignment="1">
      <alignment horizontal="right"/>
    </xf>
    <xf numFmtId="0" fontId="63" fillId="38" borderId="0" xfId="0" applyFont="1" applyFill="1"/>
    <xf numFmtId="0" fontId="56" fillId="17" borderId="0" xfId="0" applyFont="1" applyFill="1"/>
    <xf numFmtId="0" fontId="57" fillId="0" borderId="0" xfId="0" applyFont="1" applyAlignment="1">
      <alignment horizontal="right"/>
    </xf>
    <xf numFmtId="0" fontId="56" fillId="39" borderId="0" xfId="0" applyFont="1" applyFill="1"/>
    <xf numFmtId="0" fontId="66" fillId="2" borderId="0" xfId="0" applyFont="1" applyFill="1"/>
    <xf numFmtId="0" fontId="59" fillId="40" borderId="0" xfId="0" applyFont="1" applyFill="1"/>
    <xf numFmtId="0" fontId="67" fillId="2" borderId="0" xfId="0" applyFont="1" applyFill="1"/>
    <xf numFmtId="0" fontId="59" fillId="21" borderId="0" xfId="0" applyFont="1" applyFill="1"/>
    <xf numFmtId="0" fontId="59" fillId="31" borderId="0" xfId="0" applyFont="1" applyFill="1"/>
    <xf numFmtId="0" fontId="68" fillId="2" borderId="0" xfId="0" applyFont="1" applyFill="1"/>
    <xf numFmtId="0" fontId="69" fillId="2" borderId="0" xfId="0" applyFont="1" applyFill="1"/>
    <xf numFmtId="0" fontId="60" fillId="33" borderId="0" xfId="0" applyFont="1" applyFill="1"/>
    <xf numFmtId="0" fontId="70" fillId="2" borderId="0" xfId="0" applyFont="1" applyFill="1"/>
    <xf numFmtId="166" fontId="16" fillId="0" borderId="0" xfId="0" applyNumberFormat="1" applyFont="1" applyAlignment="1">
      <alignment horizontal="right"/>
    </xf>
    <xf numFmtId="0" fontId="71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41" borderId="0" xfId="0" applyFont="1" applyFill="1" applyAlignment="1">
      <alignment horizontal="center" vertical="center"/>
    </xf>
    <xf numFmtId="0" fontId="5" fillId="41" borderId="0" xfId="0" applyFont="1" applyFill="1" applyAlignment="1">
      <alignment horizontal="center" vertical="center" wrapText="1"/>
    </xf>
    <xf numFmtId="0" fontId="5" fillId="32" borderId="0" xfId="0" applyFont="1" applyFill="1" applyAlignment="1">
      <alignment horizontal="center" vertical="center"/>
    </xf>
    <xf numFmtId="0" fontId="5" fillId="3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42" borderId="0" xfId="0" applyFont="1" applyFill="1" applyAlignment="1">
      <alignment horizontal="center" vertical="center" wrapText="1"/>
    </xf>
    <xf numFmtId="0" fontId="72" fillId="2" borderId="0" xfId="0" applyFont="1" applyFill="1"/>
    <xf numFmtId="0" fontId="2" fillId="33" borderId="0" xfId="0" applyFont="1" applyFill="1"/>
    <xf numFmtId="0" fontId="73" fillId="2" borderId="0" xfId="0" applyFont="1" applyFill="1"/>
    <xf numFmtId="0" fontId="16" fillId="0" borderId="0" xfId="0" applyFont="1" applyAlignment="1">
      <alignment horizontal="right"/>
    </xf>
    <xf numFmtId="168" fontId="8" fillId="0" borderId="0" xfId="0" applyNumberFormat="1" applyFont="1"/>
    <xf numFmtId="165" fontId="8" fillId="0" borderId="10" xfId="0" applyNumberFormat="1" applyFont="1" applyBorder="1"/>
    <xf numFmtId="0" fontId="10" fillId="0" borderId="0" xfId="0" applyFont="1"/>
    <xf numFmtId="0" fontId="3" fillId="2" borderId="0" xfId="0" applyFont="1" applyFill="1" applyAlignment="1">
      <alignment horizontal="center"/>
    </xf>
    <xf numFmtId="0" fontId="14" fillId="9" borderId="1" xfId="0" applyFont="1" applyFill="1" applyBorder="1"/>
    <xf numFmtId="0" fontId="8" fillId="0" borderId="0" xfId="0" applyFont="1" applyAlignment="1">
      <alignment wrapText="1"/>
    </xf>
    <xf numFmtId="169" fontId="8" fillId="0" borderId="0" xfId="0" applyNumberFormat="1" applyFont="1"/>
    <xf numFmtId="0" fontId="8" fillId="26" borderId="0" xfId="0" applyFont="1" applyFill="1"/>
    <xf numFmtId="0" fontId="74" fillId="9" borderId="1" xfId="0" applyFont="1" applyFill="1" applyBorder="1" applyAlignment="1">
      <alignment horizontal="left"/>
    </xf>
    <xf numFmtId="0" fontId="26" fillId="0" borderId="1" xfId="0" applyFont="1" applyBorder="1"/>
    <xf numFmtId="0" fontId="26" fillId="0" borderId="1" xfId="0" applyFont="1" applyBorder="1" applyAlignment="1">
      <alignment wrapText="1"/>
    </xf>
    <xf numFmtId="0" fontId="26" fillId="19" borderId="1" xfId="0" applyFont="1" applyFill="1" applyBorder="1" applyAlignment="1">
      <alignment wrapText="1"/>
    </xf>
    <xf numFmtId="0" fontId="10" fillId="19" borderId="1" xfId="0" applyFont="1" applyFill="1" applyBorder="1" applyAlignment="1">
      <alignment wrapText="1"/>
    </xf>
    <xf numFmtId="0" fontId="26" fillId="26" borderId="1" xfId="0" applyFont="1" applyFill="1" applyBorder="1" applyAlignment="1">
      <alignment wrapText="1"/>
    </xf>
    <xf numFmtId="0" fontId="10" fillId="26" borderId="1" xfId="0" applyFont="1" applyFill="1" applyBorder="1" applyAlignment="1">
      <alignment wrapText="1"/>
    </xf>
    <xf numFmtId="0" fontId="26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26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8" fillId="44" borderId="1" xfId="0" applyFont="1" applyFill="1" applyBorder="1" applyAlignment="1">
      <alignment wrapText="1"/>
    </xf>
    <xf numFmtId="0" fontId="75" fillId="44" borderId="1" xfId="0" applyFont="1" applyFill="1" applyBorder="1" applyAlignment="1">
      <alignment wrapText="1"/>
    </xf>
    <xf numFmtId="9" fontId="16" fillId="0" borderId="1" xfId="0" applyNumberFormat="1" applyFont="1" applyBorder="1" applyAlignment="1">
      <alignment horizontal="right"/>
    </xf>
    <xf numFmtId="0" fontId="16" fillId="19" borderId="1" xfId="0" applyFont="1" applyFill="1" applyBorder="1" applyAlignment="1">
      <alignment horizontal="right"/>
    </xf>
    <xf numFmtId="0" fontId="16" fillId="26" borderId="1" xfId="0" applyFont="1" applyFill="1" applyBorder="1" applyAlignment="1">
      <alignment horizontal="right"/>
    </xf>
    <xf numFmtId="0" fontId="16" fillId="6" borderId="1" xfId="0" applyFont="1" applyFill="1" applyBorder="1" applyAlignment="1">
      <alignment horizontal="right"/>
    </xf>
    <xf numFmtId="0" fontId="16" fillId="43" borderId="1" xfId="0" applyFont="1" applyFill="1" applyBorder="1" applyAlignment="1">
      <alignment horizontal="right"/>
    </xf>
    <xf numFmtId="0" fontId="8" fillId="43" borderId="1" xfId="0" applyFont="1" applyFill="1" applyBorder="1"/>
    <xf numFmtId="9" fontId="8" fillId="44" borderId="1" xfId="0" applyNumberFormat="1" applyFont="1" applyFill="1" applyBorder="1"/>
    <xf numFmtId="0" fontId="8" fillId="44" borderId="1" xfId="0" applyFont="1" applyFill="1" applyBorder="1"/>
    <xf numFmtId="0" fontId="16" fillId="9" borderId="0" xfId="0" applyFont="1" applyFill="1"/>
    <xf numFmtId="0" fontId="13" fillId="6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4" fillId="5" borderId="2" xfId="0" applyFont="1" applyFill="1" applyBorder="1" applyAlignment="1">
      <alignment horizontal="left"/>
    </xf>
    <xf numFmtId="0" fontId="7" fillId="0" borderId="3" xfId="0" applyFont="1" applyBorder="1"/>
    <xf numFmtId="0" fontId="15" fillId="0" borderId="0" xfId="0" applyFont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137160</xdr:colOff>
      <xdr:row>7</xdr:row>
      <xdr:rowOff>91440</xdr:rowOff>
    </xdr:from>
    <xdr:to>
      <xdr:col>9</xdr:col>
      <xdr:colOff>137160</xdr:colOff>
      <xdr:row>13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00AB79F-F660-07A4-0BB1-BDEEE20A0DEC}"/>
            </a:ext>
          </a:extLst>
        </xdr:cNvPr>
        <xdr:cNvSpPr txBox="1">
          <a:spLocks noChangeArrowheads="1"/>
        </xdr:cNvSpPr>
      </xdr:nvSpPr>
      <xdr:spPr bwMode="auto">
        <a:xfrm>
          <a:off x="3627120" y="1478280"/>
          <a:ext cx="230124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45</xdr:row>
      <xdr:rowOff>38100</xdr:rowOff>
    </xdr:from>
    <xdr:ext cx="2762250" cy="1704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white husk" id="{dea1c6d3-2aaf-42ac-bf48-c86e13786c7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9" dT="2025-09-18T04:41:45.00" personId="{dea1c6d3-2aaf-42ac-bf48-c86e13786c7c}" id="{d19a0db5-cf00-4b45-8b62-9c22312f36d7}" done="0">
    <x18tc:text xml:space="preserve">reglar fit tshirt</x18tc:text>
  </x18tc:threadedComment>
  <x18tc:threadedComment ref="J30" dT="2025-09-13T11:27:04.00" personId="{dea1c6d3-2aaf-42ac-bf48-c86e13786c7c}" id="{ffc30c47-5991-41ff-a37e-38a57f500870}" done="0">
    <x18tc:text xml:space="preserve">added to match wallet balance</x18tc:text>
  </x18tc:threadedComment>
  <x18tc:threadedComment ref="I17" dT="2025-09-03T06:21:45.00" personId="{dea1c6d3-2aaf-42ac-bf48-c86e13786c7c}" id="{c5e1f3ed-8853-4df5-9269-96bdab623270}" done="0">
    <x18tc:text xml:space="preserve">Adjust to sync wallet balance</x18tc:text>
  </x18tc:threadedComment>
  <x18tc:threadedComment ref="E15" dT="2025-08-31T07:59:00.00" personId="{dea1c6d3-2aaf-42ac-bf48-c86e13786c7c}" id="{5ef738c4-0ab6-4e01-8dd9-8f793ea15e88}" done="0">
    <x18tc:text xml:space="preserve">vagabond</x18tc:text>
  </x18tc:threadedComment>
  <x18tc:threadedComment ref="F29" dT="2025-09-13T05:10:06.00" personId="{dea1c6d3-2aaf-42ac-bf48-c86e13786c7c}" id="{ff0bccd4-0a03-45e9-a5e5-b48818938a8e}" done="0">
    <x18tc:text xml:space="preserve">DTF order-not whitehusk</x18tc:text>
  </x18tc:threadedComment>
  <x18tc:threadedComment ref="E7" dT="2025-08-21T05:40:07.00" personId="{dea1c6d3-2aaf-42ac-bf48-c86e13786c7c}" id="{eb38e58b-4602-4431-9fd5-94042aa7fee2}" done="0">
    <x18tc:text xml:space="preserve">Some part has been given on 21Aug</x18tc:text>
  </x18tc:threadedComment>
  <x18tc:threadedComment ref="F15" dT="2025-08-31T08:02:42.00" personId="{dea1c6d3-2aaf-42ac-bf48-c86e13786c7c}" id="{d694399f-51eb-4b59-b2c3-7bc59e0aef6a}" done="0">
    <x18tc:text xml:space="preserve">loffers Adjustment</x18tc:text>
  </x18tc:threadedComment>
  <x18tc:threadedComment ref="F5" dT="2025-08-19T08:34:42.00" personId="{dea1c6d3-2aaf-42ac-bf48-c86e13786c7c}" id="{afbe3167-e528-49ea-a3e2-c0678908dc33}" done="0">
    <x18tc:text xml:space="preserve">Added to ensure wallet balance matches</x18tc:text>
  </x18tc:threadedComment>
  <x18tc:threadedComment ref="F8" dT="2025-08-23T05:12:57.00" personId="{dea1c6d3-2aaf-42ac-bf48-c86e13786c7c}" id="{fd1ea521-66d4-47d0-9f0d-297d8016c6a9}" done="0">
    <x18tc:text xml:space="preserve">madhav custom print</x18tc:text>
  </x18tc:threadedComment>
  <x18tc:threadedComment ref="G17" dT="2025-08-31T07:55:08.00" personId="{dea1c6d3-2aaf-42ac-bf48-c86e13786c7c}" id="{a7f971b1-588c-4b2c-8f6a-9e3e5db41376}" done="0">
    <x18tc:text xml:space="preserve">Ace emblem</x18tc:text>
  </x18tc:threadedComment>
  <x18tc:threadedComment ref="E7" dT="2025-08-21T05:39:14.00" personId="{dea1c6d3-2aaf-42ac-bf48-c86e13786c7c}" id="{8bd93e1e-4753-483a-9871-4f428647812f}" done="1">
    <x18tc:text xml:space="preserve">some part has given on 21 Aug</x18tc:text>
  </x18tc:threadedComment>
  <x18tc:threadedComment ref="E16" dT="2025-08-31T07:57:50.00" personId="{dea1c6d3-2aaf-42ac-bf48-c86e13786c7c}" id="{b5bc012f-c2b8-41a8-b68e-5225d62d4b17}" done="0">
    <x18tc:text xml:space="preserve">Thorfin new final shirt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30.44140625" customWidth="1"/>
    <col min="2" max="2" width="25.88671875" customWidth="1"/>
    <col min="3" max="3" width="13.44140625" customWidth="1"/>
    <col min="4" max="4" width="10.33203125" customWidth="1"/>
    <col min="5" max="5" width="11.44140625" customWidth="1"/>
    <col min="6" max="6" width="12.88671875" customWidth="1"/>
    <col min="7" max="7" width="9.109375" customWidth="1"/>
    <col min="8" max="8" width="36" customWidth="1"/>
    <col min="9" max="9" width="30.21875" customWidth="1"/>
    <col min="10" max="10" width="88.21875" customWidth="1"/>
    <col min="11" max="11" width="31.88671875" customWidth="1"/>
    <col min="12" max="12" width="6" customWidth="1"/>
    <col min="13" max="13" width="7.6640625" customWidth="1"/>
  </cols>
  <sheetData>
    <row r="1" spans="1:17" ht="15.75" customHeight="1">
      <c r="A1" s="1" t="s">
        <v>0</v>
      </c>
      <c r="B1" s="2" t="s">
        <v>1</v>
      </c>
      <c r="C1" s="4" t="s">
        <v>3</v>
      </c>
      <c r="D1" s="6" t="s">
        <v>5</v>
      </c>
      <c r="E1" s="8" t="s">
        <v>6</v>
      </c>
      <c r="F1" s="10" t="s">
        <v>7</v>
      </c>
      <c r="G1" s="16" t="s">
        <v>9</v>
      </c>
      <c r="H1" s="8" t="s">
        <v>21</v>
      </c>
      <c r="I1" s="8" t="s">
        <v>22</v>
      </c>
      <c r="J1" s="19" t="s">
        <v>23</v>
      </c>
      <c r="K1" s="20" t="s">
        <v>29</v>
      </c>
      <c r="L1" s="22" t="s">
        <v>30</v>
      </c>
      <c r="M1" s="29">
        <f>SUMPRODUCT(F:F,G:G)</f>
        <v>9.3927900000000015</v>
      </c>
    </row>
    <row r="2" spans="1:17" ht="15.75" customHeight="1">
      <c r="A2" s="287" t="s">
        <v>35</v>
      </c>
      <c r="B2" s="32" t="s">
        <v>32</v>
      </c>
      <c r="C2" s="36">
        <v>2</v>
      </c>
      <c r="D2" s="38">
        <v>4</v>
      </c>
      <c r="E2" s="34">
        <v>2</v>
      </c>
      <c r="F2" s="41">
        <v>0.46219500000000002</v>
      </c>
      <c r="G2" s="34"/>
      <c r="H2" s="33"/>
      <c r="I2" s="33"/>
      <c r="J2" s="42"/>
      <c r="K2" s="34" t="s">
        <v>59</v>
      </c>
    </row>
    <row r="3" spans="1:17" ht="15.75" customHeight="1">
      <c r="A3" s="288"/>
      <c r="B3" s="32" t="s">
        <v>45</v>
      </c>
      <c r="C3" s="36">
        <v>2</v>
      </c>
      <c r="D3" s="38">
        <v>4</v>
      </c>
      <c r="E3" s="34">
        <v>2</v>
      </c>
      <c r="F3" s="41">
        <v>0.47218599999999999</v>
      </c>
      <c r="G3" s="34"/>
      <c r="H3" s="46"/>
      <c r="I3" s="33" t="s">
        <v>85</v>
      </c>
      <c r="J3" s="47" t="s">
        <v>87</v>
      </c>
      <c r="K3" s="34" t="s">
        <v>91</v>
      </c>
      <c r="L3" s="48"/>
    </row>
    <row r="4" spans="1:17" ht="15.75" customHeight="1">
      <c r="A4" s="288"/>
      <c r="B4" s="32" t="s">
        <v>57</v>
      </c>
      <c r="C4" s="36">
        <v>1</v>
      </c>
      <c r="D4" s="38">
        <v>3</v>
      </c>
      <c r="E4" s="34">
        <v>2</v>
      </c>
      <c r="F4" s="41">
        <v>0.29023700000000002</v>
      </c>
      <c r="G4" s="34"/>
      <c r="H4" s="33"/>
      <c r="I4" s="33" t="s">
        <v>99</v>
      </c>
      <c r="J4" s="47" t="s">
        <v>87</v>
      </c>
      <c r="K4" s="34" t="s">
        <v>100</v>
      </c>
      <c r="L4" s="48"/>
      <c r="Q4" s="33"/>
    </row>
    <row r="5" spans="1:17" ht="15.75" customHeight="1">
      <c r="A5" s="288"/>
      <c r="B5" s="32" t="s">
        <v>70</v>
      </c>
      <c r="C5" s="36">
        <v>1</v>
      </c>
      <c r="D5" s="38">
        <v>13</v>
      </c>
      <c r="E5" s="34">
        <v>7</v>
      </c>
      <c r="F5" s="41">
        <v>0.44119799999999998</v>
      </c>
      <c r="G5" s="34">
        <v>2</v>
      </c>
      <c r="H5" s="33"/>
      <c r="I5" s="33" t="s">
        <v>105</v>
      </c>
      <c r="J5" s="47" t="s">
        <v>87</v>
      </c>
      <c r="K5" s="34" t="s">
        <v>107</v>
      </c>
      <c r="Q5" s="33"/>
    </row>
    <row r="6" spans="1:17" ht="15.75" customHeight="1">
      <c r="A6" s="288"/>
      <c r="B6" s="53" t="s">
        <v>97</v>
      </c>
      <c r="C6" s="54">
        <v>2</v>
      </c>
      <c r="D6" s="38">
        <v>4</v>
      </c>
      <c r="E6" s="54">
        <v>1</v>
      </c>
      <c r="F6" s="55">
        <v>0.55000000000000004</v>
      </c>
      <c r="G6" s="34"/>
      <c r="H6" s="33"/>
      <c r="I6" s="33" t="s">
        <v>43</v>
      </c>
      <c r="J6" s="56" t="s">
        <v>87</v>
      </c>
      <c r="K6" s="34" t="s">
        <v>129</v>
      </c>
      <c r="L6" s="48"/>
      <c r="Q6" s="33"/>
    </row>
    <row r="7" spans="1:17" ht="15.75" customHeight="1">
      <c r="A7" s="288"/>
      <c r="B7" s="53" t="s">
        <v>106</v>
      </c>
      <c r="C7" s="54">
        <v>1</v>
      </c>
      <c r="D7" s="38">
        <v>7</v>
      </c>
      <c r="E7" s="54">
        <v>2</v>
      </c>
      <c r="F7" s="55">
        <v>0.35</v>
      </c>
      <c r="G7" s="34"/>
      <c r="H7" s="33"/>
      <c r="I7" s="33" t="s">
        <v>140</v>
      </c>
      <c r="J7" s="47" t="s">
        <v>87</v>
      </c>
      <c r="K7" s="34" t="s">
        <v>143</v>
      </c>
      <c r="L7" s="48"/>
      <c r="Q7" s="33"/>
    </row>
    <row r="8" spans="1:17" ht="15.75" customHeight="1">
      <c r="A8" s="288"/>
      <c r="B8" s="53" t="s">
        <v>118</v>
      </c>
      <c r="C8" s="54">
        <v>2</v>
      </c>
      <c r="D8" s="38">
        <v>7</v>
      </c>
      <c r="E8" s="54">
        <v>3</v>
      </c>
      <c r="F8" s="55">
        <v>0.6</v>
      </c>
      <c r="G8" s="34"/>
      <c r="H8" s="33"/>
      <c r="I8" s="33" t="s">
        <v>148</v>
      </c>
      <c r="J8" s="46" t="s">
        <v>87</v>
      </c>
      <c r="K8" s="34" t="s">
        <v>151</v>
      </c>
      <c r="Q8" s="33"/>
    </row>
    <row r="9" spans="1:17" ht="15.75" customHeight="1">
      <c r="A9" s="288"/>
      <c r="B9" s="53" t="s">
        <v>128</v>
      </c>
      <c r="C9" s="54">
        <v>1</v>
      </c>
      <c r="D9" s="38">
        <v>6</v>
      </c>
      <c r="E9" s="54">
        <v>4</v>
      </c>
      <c r="F9" s="55">
        <v>0.43</v>
      </c>
      <c r="G9" s="34">
        <v>2</v>
      </c>
      <c r="H9" s="33"/>
      <c r="I9" s="33" t="s">
        <v>160</v>
      </c>
      <c r="J9" s="46" t="s">
        <v>87</v>
      </c>
      <c r="K9" s="60" t="s">
        <v>166</v>
      </c>
      <c r="L9" s="48"/>
      <c r="Q9" s="33"/>
    </row>
    <row r="10" spans="1:17" ht="15.75" customHeight="1">
      <c r="A10" s="288"/>
      <c r="B10" s="53" t="s">
        <v>146</v>
      </c>
      <c r="C10" s="54">
        <v>1</v>
      </c>
      <c r="D10" s="38">
        <v>8</v>
      </c>
      <c r="E10" s="54">
        <v>1</v>
      </c>
      <c r="F10" s="55">
        <v>0.52</v>
      </c>
      <c r="G10" s="34"/>
      <c r="H10" s="33"/>
      <c r="I10" s="33" t="s">
        <v>177</v>
      </c>
      <c r="J10" s="46" t="s">
        <v>87</v>
      </c>
      <c r="K10" s="63" t="s">
        <v>185</v>
      </c>
      <c r="L10" s="48"/>
      <c r="Q10" s="33"/>
    </row>
    <row r="11" spans="1:17" ht="15.75" customHeight="1">
      <c r="A11" s="288"/>
      <c r="B11" s="53" t="s">
        <v>158</v>
      </c>
      <c r="C11" s="54">
        <v>1</v>
      </c>
      <c r="D11" s="38">
        <v>6</v>
      </c>
      <c r="E11" s="54">
        <v>4</v>
      </c>
      <c r="F11" s="55">
        <v>0.41</v>
      </c>
      <c r="G11" s="34"/>
      <c r="H11" s="33"/>
      <c r="I11" s="33" t="s">
        <v>192</v>
      </c>
      <c r="J11" s="46" t="s">
        <v>87</v>
      </c>
      <c r="K11" s="63" t="s">
        <v>196</v>
      </c>
      <c r="L11" s="48"/>
      <c r="Q11" s="33"/>
    </row>
    <row r="12" spans="1:17" ht="15.75" customHeight="1">
      <c r="A12" s="288"/>
      <c r="B12" s="53" t="s">
        <v>170</v>
      </c>
      <c r="C12" s="54">
        <v>1</v>
      </c>
      <c r="D12" s="38">
        <v>2</v>
      </c>
      <c r="E12" s="54">
        <v>1</v>
      </c>
      <c r="F12" s="55">
        <v>0.32</v>
      </c>
      <c r="G12" s="34"/>
      <c r="H12" s="56"/>
      <c r="I12" s="17" t="s">
        <v>206</v>
      </c>
      <c r="J12" s="46" t="s">
        <v>87</v>
      </c>
      <c r="K12" s="63" t="s">
        <v>211</v>
      </c>
      <c r="L12" s="48"/>
      <c r="Q12" s="33"/>
    </row>
    <row r="13" spans="1:17" ht="15.75" customHeight="1">
      <c r="A13" s="289"/>
      <c r="B13" s="53" t="s">
        <v>176</v>
      </c>
      <c r="C13" s="54">
        <v>1</v>
      </c>
      <c r="D13" s="38">
        <v>2</v>
      </c>
      <c r="E13" s="54">
        <v>1</v>
      </c>
      <c r="F13" s="55">
        <v>0.39</v>
      </c>
      <c r="G13" s="34"/>
      <c r="H13" s="56"/>
      <c r="I13" s="66" t="s">
        <v>221</v>
      </c>
      <c r="J13" s="47" t="s">
        <v>87</v>
      </c>
      <c r="K13" s="63" t="s">
        <v>226</v>
      </c>
      <c r="Q13" s="33"/>
    </row>
    <row r="14" spans="1:17" ht="15.75" customHeight="1">
      <c r="A14" s="287" t="s">
        <v>229</v>
      </c>
      <c r="B14" s="53" t="s">
        <v>188</v>
      </c>
      <c r="C14" s="54">
        <v>1</v>
      </c>
      <c r="D14" s="38">
        <v>2</v>
      </c>
      <c r="E14" s="54">
        <v>1</v>
      </c>
      <c r="F14" s="55">
        <v>0.3</v>
      </c>
      <c r="G14" s="34"/>
      <c r="H14" s="56"/>
      <c r="I14" s="67" t="s">
        <v>221</v>
      </c>
      <c r="J14" s="47" t="s">
        <v>87</v>
      </c>
      <c r="K14" s="63" t="s">
        <v>240</v>
      </c>
      <c r="L14" s="48"/>
      <c r="Q14" s="33"/>
    </row>
    <row r="15" spans="1:17" ht="15.75" customHeight="1">
      <c r="A15" s="288"/>
      <c r="B15" s="53" t="s">
        <v>201</v>
      </c>
      <c r="C15" s="54">
        <v>3</v>
      </c>
      <c r="D15" s="38">
        <v>6</v>
      </c>
      <c r="E15" s="54">
        <v>2</v>
      </c>
      <c r="F15" s="55">
        <v>0.52</v>
      </c>
      <c r="G15" s="34"/>
      <c r="H15" s="56"/>
      <c r="I15" s="66" t="s">
        <v>78</v>
      </c>
      <c r="J15" s="47" t="s">
        <v>87</v>
      </c>
      <c r="K15" s="69" t="s">
        <v>246</v>
      </c>
      <c r="L15" s="48"/>
      <c r="Q15" s="33"/>
    </row>
    <row r="16" spans="1:17" ht="15.75" customHeight="1">
      <c r="A16" s="288"/>
      <c r="B16" s="32" t="s">
        <v>219</v>
      </c>
      <c r="C16" s="36">
        <v>2</v>
      </c>
      <c r="D16" s="38">
        <v>4</v>
      </c>
      <c r="E16" s="34">
        <v>2</v>
      </c>
      <c r="F16" s="41">
        <v>0.48657899999999998</v>
      </c>
      <c r="G16" s="34"/>
      <c r="I16" s="67" t="s">
        <v>136</v>
      </c>
      <c r="J16" s="47" t="s">
        <v>87</v>
      </c>
      <c r="K16" s="63" t="s">
        <v>256</v>
      </c>
      <c r="L16" s="48"/>
      <c r="Q16" s="33"/>
    </row>
    <row r="17" spans="1:17" ht="15.75" customHeight="1">
      <c r="A17" s="288"/>
      <c r="B17" s="32" t="s">
        <v>232</v>
      </c>
      <c r="C17" s="36">
        <v>1</v>
      </c>
      <c r="D17" s="38">
        <v>2</v>
      </c>
      <c r="E17" s="34">
        <v>1</v>
      </c>
      <c r="F17" s="41">
        <v>0.29844999999999999</v>
      </c>
      <c r="G17" s="34"/>
      <c r="H17" s="66"/>
      <c r="I17" s="66"/>
      <c r="J17" s="47"/>
      <c r="K17" s="63" t="s">
        <v>259</v>
      </c>
      <c r="L17" s="48"/>
      <c r="Q17" s="33"/>
    </row>
    <row r="18" spans="1:17" ht="15.75" customHeight="1">
      <c r="A18" s="288"/>
      <c r="B18" s="32" t="s">
        <v>238</v>
      </c>
      <c r="C18" s="36">
        <v>2</v>
      </c>
      <c r="D18" s="38">
        <v>2</v>
      </c>
      <c r="E18" s="34">
        <v>1</v>
      </c>
      <c r="F18" s="41">
        <v>0.497332</v>
      </c>
      <c r="G18" s="34"/>
      <c r="H18" s="66"/>
      <c r="I18" s="67" t="s">
        <v>261</v>
      </c>
      <c r="J18" s="47" t="s">
        <v>87</v>
      </c>
      <c r="K18" s="34"/>
      <c r="L18" s="48"/>
      <c r="Q18" s="33"/>
    </row>
    <row r="19" spans="1:17" ht="15.75" customHeight="1">
      <c r="A19" s="288"/>
      <c r="B19" s="32" t="s">
        <v>257</v>
      </c>
      <c r="C19" s="36">
        <v>1</v>
      </c>
      <c r="D19" s="38">
        <v>1000</v>
      </c>
      <c r="E19" s="34">
        <v>-1</v>
      </c>
      <c r="F19" s="41">
        <v>0.38311699999999999</v>
      </c>
      <c r="G19" s="34"/>
      <c r="H19" s="66"/>
      <c r="J19" s="47"/>
      <c r="K19" s="63"/>
      <c r="L19" s="48"/>
    </row>
    <row r="20" spans="1:17" ht="15.75" customHeight="1">
      <c r="A20" s="288"/>
      <c r="B20" s="32" t="s">
        <v>265</v>
      </c>
      <c r="C20" s="36">
        <v>1</v>
      </c>
      <c r="D20" s="38">
        <v>2</v>
      </c>
      <c r="E20" s="34">
        <v>1</v>
      </c>
      <c r="F20" s="41">
        <v>0.49800899999999998</v>
      </c>
      <c r="G20" s="34"/>
      <c r="H20" s="66"/>
      <c r="I20" s="67" t="s">
        <v>277</v>
      </c>
      <c r="J20" s="47" t="s">
        <v>87</v>
      </c>
      <c r="K20" s="63"/>
      <c r="L20" s="48"/>
    </row>
    <row r="21" spans="1:17" ht="15.75" customHeight="1">
      <c r="A21" s="288"/>
      <c r="B21" s="32" t="s">
        <v>275</v>
      </c>
      <c r="C21" s="36">
        <v>1</v>
      </c>
      <c r="D21" s="38">
        <v>2</v>
      </c>
      <c r="E21" s="34">
        <v>2</v>
      </c>
      <c r="F21" s="41">
        <v>0.30717100000000003</v>
      </c>
      <c r="G21" s="34"/>
      <c r="H21" s="66"/>
      <c r="I21" s="66"/>
      <c r="J21" s="47"/>
      <c r="K21" s="63"/>
      <c r="L21" s="48"/>
    </row>
    <row r="22" spans="1:17" ht="15.75" customHeight="1">
      <c r="A22" s="288"/>
      <c r="B22" s="32" t="s">
        <v>286</v>
      </c>
      <c r="C22" s="36">
        <v>2</v>
      </c>
      <c r="D22" s="38">
        <v>5</v>
      </c>
      <c r="E22" s="34">
        <v>2</v>
      </c>
      <c r="F22" s="41">
        <v>0.53610899999999995</v>
      </c>
      <c r="G22" s="34"/>
      <c r="H22" s="66"/>
      <c r="I22" s="66" t="s">
        <v>290</v>
      </c>
      <c r="J22" s="47" t="s">
        <v>87</v>
      </c>
      <c r="K22" s="63"/>
      <c r="L22" s="48"/>
    </row>
    <row r="23" spans="1:17" ht="15.75" customHeight="1">
      <c r="A23" s="288"/>
      <c r="B23" s="32" t="s">
        <v>293</v>
      </c>
      <c r="C23" s="36">
        <v>2</v>
      </c>
      <c r="D23" s="38">
        <v>3</v>
      </c>
      <c r="E23" s="34">
        <v>1</v>
      </c>
      <c r="F23" s="41">
        <v>0.61484899999999998</v>
      </c>
      <c r="G23" s="34"/>
      <c r="H23" s="66"/>
      <c r="I23" s="67"/>
      <c r="J23" s="47"/>
      <c r="K23" s="34"/>
      <c r="L23" s="48"/>
    </row>
    <row r="24" spans="1:17" ht="15.75" customHeight="1">
      <c r="A24" s="288"/>
      <c r="B24" s="32" t="s">
        <v>295</v>
      </c>
      <c r="C24" s="36">
        <v>1</v>
      </c>
      <c r="D24" s="38">
        <v>3</v>
      </c>
      <c r="E24" s="34">
        <v>2</v>
      </c>
      <c r="F24" s="41">
        <v>0.74024100000000004</v>
      </c>
      <c r="G24" s="34"/>
      <c r="H24" s="56"/>
      <c r="I24" s="66" t="s">
        <v>297</v>
      </c>
      <c r="J24" s="47" t="s">
        <v>87</v>
      </c>
      <c r="K24" s="34"/>
      <c r="L24" s="48"/>
    </row>
    <row r="25" spans="1:17" ht="15.75" customHeight="1">
      <c r="A25" s="289"/>
      <c r="B25" s="32" t="s">
        <v>311</v>
      </c>
      <c r="C25" s="36">
        <v>1</v>
      </c>
      <c r="D25" s="38">
        <v>4</v>
      </c>
      <c r="E25" s="34">
        <v>3</v>
      </c>
      <c r="F25" s="41">
        <v>0.29633300000000001</v>
      </c>
      <c r="G25" s="34">
        <v>1</v>
      </c>
      <c r="H25" s="56"/>
      <c r="I25" s="66" t="s">
        <v>144</v>
      </c>
      <c r="J25" s="47" t="s">
        <v>87</v>
      </c>
      <c r="K25" s="34"/>
      <c r="L25" s="48"/>
    </row>
    <row r="26" spans="1:17" ht="15.75" customHeight="1">
      <c r="A26" s="287" t="s">
        <v>318</v>
      </c>
      <c r="B26" s="32" t="s">
        <v>329</v>
      </c>
      <c r="C26" s="36">
        <v>1</v>
      </c>
      <c r="D26" s="38">
        <v>1000</v>
      </c>
      <c r="E26" s="34">
        <v>-1</v>
      </c>
      <c r="F26" s="41">
        <v>0.384048</v>
      </c>
      <c r="G26" s="34"/>
      <c r="H26" s="56"/>
      <c r="I26" s="66" t="s">
        <v>348</v>
      </c>
      <c r="J26" s="47" t="s">
        <v>87</v>
      </c>
      <c r="K26" s="34"/>
      <c r="L26" s="48"/>
      <c r="P26" s="67"/>
    </row>
    <row r="27" spans="1:17" ht="15.75" customHeight="1">
      <c r="A27" s="288"/>
      <c r="B27" s="32" t="s">
        <v>349</v>
      </c>
      <c r="C27" s="36">
        <v>1</v>
      </c>
      <c r="D27" s="38">
        <v>3</v>
      </c>
      <c r="E27" s="34">
        <v>2</v>
      </c>
      <c r="F27" s="41">
        <v>0.228769</v>
      </c>
      <c r="G27" s="34"/>
      <c r="H27" s="56"/>
      <c r="I27" s="77" t="s">
        <v>350</v>
      </c>
      <c r="J27" s="47" t="s">
        <v>87</v>
      </c>
      <c r="K27" s="34"/>
      <c r="L27" s="48"/>
      <c r="P27" s="67"/>
    </row>
    <row r="28" spans="1:17" ht="15.75" customHeight="1">
      <c r="A28" s="288"/>
      <c r="B28" s="32" t="s">
        <v>357</v>
      </c>
      <c r="C28" s="36">
        <v>1</v>
      </c>
      <c r="D28" s="38">
        <v>6</v>
      </c>
      <c r="E28" s="34">
        <v>1</v>
      </c>
      <c r="F28" s="41">
        <v>0.38480999999999999</v>
      </c>
      <c r="G28" s="34"/>
      <c r="H28" s="56"/>
      <c r="I28" s="67" t="s">
        <v>78</v>
      </c>
      <c r="J28" s="47" t="s">
        <v>87</v>
      </c>
      <c r="K28" s="63"/>
      <c r="L28" s="48"/>
      <c r="P28" s="67"/>
    </row>
    <row r="29" spans="1:17" ht="15.75" customHeight="1">
      <c r="A29" s="288"/>
      <c r="B29" s="32" t="s">
        <v>361</v>
      </c>
      <c r="C29" s="36">
        <v>2</v>
      </c>
      <c r="D29" s="38">
        <v>11</v>
      </c>
      <c r="E29" s="34">
        <v>2</v>
      </c>
      <c r="F29" s="41">
        <v>0.38607999999999998</v>
      </c>
      <c r="G29" s="34"/>
      <c r="H29" s="56"/>
      <c r="I29" s="67" t="s">
        <v>363</v>
      </c>
      <c r="J29" s="47" t="s">
        <v>87</v>
      </c>
      <c r="K29" s="34"/>
      <c r="L29" s="48"/>
      <c r="P29" s="67"/>
    </row>
    <row r="30" spans="1:17" ht="14.4">
      <c r="A30" s="288"/>
      <c r="B30" s="32" t="s">
        <v>367</v>
      </c>
      <c r="C30" s="36">
        <v>2</v>
      </c>
      <c r="D30" s="38">
        <v>9</v>
      </c>
      <c r="E30" s="34">
        <v>2</v>
      </c>
      <c r="F30" s="41">
        <v>0.52103900000000003</v>
      </c>
      <c r="G30" s="34"/>
      <c r="H30" s="56"/>
      <c r="I30" s="66"/>
      <c r="J30" s="47"/>
      <c r="K30" s="34"/>
      <c r="L30" s="48"/>
      <c r="P30" s="66"/>
    </row>
    <row r="31" spans="1:17" ht="14.4">
      <c r="A31" s="288"/>
      <c r="B31" s="32" t="s">
        <v>373</v>
      </c>
      <c r="C31" s="36">
        <v>2</v>
      </c>
      <c r="D31" s="38">
        <v>8</v>
      </c>
      <c r="E31" s="34">
        <v>3</v>
      </c>
      <c r="F31" s="41">
        <v>0.6</v>
      </c>
      <c r="G31" s="34"/>
      <c r="H31" s="56"/>
      <c r="I31" s="67"/>
      <c r="J31" s="47"/>
      <c r="K31" s="34"/>
      <c r="L31" s="48"/>
      <c r="P31" s="67"/>
    </row>
    <row r="32" spans="1:17" ht="14.4">
      <c r="A32" s="288"/>
      <c r="B32" s="32" t="s">
        <v>375</v>
      </c>
      <c r="C32" s="36">
        <v>1</v>
      </c>
      <c r="D32" s="38">
        <v>2</v>
      </c>
      <c r="E32" s="34">
        <v>1</v>
      </c>
      <c r="F32" s="41">
        <v>0.362458</v>
      </c>
      <c r="G32" s="34"/>
      <c r="H32" s="56"/>
      <c r="I32" s="66"/>
      <c r="J32" s="47"/>
      <c r="K32" s="34"/>
      <c r="L32" s="48"/>
    </row>
    <row r="33" spans="1:19" ht="14.4">
      <c r="A33" s="288"/>
      <c r="B33" s="32" t="s">
        <v>378</v>
      </c>
      <c r="C33" s="36">
        <v>2</v>
      </c>
      <c r="D33" s="38">
        <v>2</v>
      </c>
      <c r="E33" s="34">
        <v>1</v>
      </c>
      <c r="F33" s="41">
        <v>0.39674799999999999</v>
      </c>
      <c r="G33" s="34"/>
      <c r="H33" s="56"/>
      <c r="I33" s="66"/>
      <c r="J33" s="47"/>
      <c r="K33" s="34"/>
      <c r="L33" s="48"/>
    </row>
    <row r="34" spans="1:19" ht="14.4">
      <c r="A34" s="288"/>
      <c r="B34" s="32" t="s">
        <v>396</v>
      </c>
      <c r="C34" s="36">
        <v>1</v>
      </c>
      <c r="D34" s="38">
        <v>2</v>
      </c>
      <c r="E34" s="34">
        <v>1</v>
      </c>
      <c r="F34" s="41">
        <v>0.36770700000000001</v>
      </c>
      <c r="G34" s="34"/>
      <c r="H34" s="56"/>
      <c r="I34" s="66"/>
      <c r="J34" s="47"/>
      <c r="K34" s="63"/>
      <c r="L34" s="48"/>
      <c r="S34" s="17" t="s">
        <v>407</v>
      </c>
    </row>
    <row r="35" spans="1:19" ht="14.4">
      <c r="A35" s="288"/>
      <c r="B35" s="32" t="s">
        <v>415</v>
      </c>
      <c r="C35" s="36">
        <v>2</v>
      </c>
      <c r="D35" s="38">
        <v>2</v>
      </c>
      <c r="E35" s="34">
        <v>1</v>
      </c>
      <c r="F35" s="41">
        <v>0.400812</v>
      </c>
      <c r="G35" s="34"/>
      <c r="H35" s="56"/>
      <c r="I35" s="66"/>
      <c r="J35" s="47"/>
      <c r="K35" s="34"/>
      <c r="L35" s="48"/>
    </row>
    <row r="36" spans="1:19" ht="14.4">
      <c r="A36" s="288"/>
      <c r="B36" s="32" t="s">
        <v>420</v>
      </c>
      <c r="C36" s="36">
        <v>2</v>
      </c>
      <c r="D36" s="38">
        <v>7</v>
      </c>
      <c r="E36" s="34">
        <v>2</v>
      </c>
      <c r="F36" s="41">
        <v>0.37439600000000001</v>
      </c>
      <c r="G36" s="34"/>
      <c r="H36" s="56"/>
      <c r="I36" s="66"/>
      <c r="J36" s="47"/>
      <c r="K36" s="63"/>
      <c r="L36" s="48"/>
    </row>
    <row r="37" spans="1:19" ht="14.4">
      <c r="A37" s="289"/>
      <c r="B37" s="32" t="s">
        <v>428</v>
      </c>
      <c r="C37" s="36">
        <v>2</v>
      </c>
      <c r="D37" s="38">
        <v>5</v>
      </c>
      <c r="E37" s="34">
        <v>2</v>
      </c>
      <c r="F37" s="41">
        <v>0.37761299999999998</v>
      </c>
      <c r="G37" s="34"/>
      <c r="H37" s="56"/>
      <c r="I37" s="66"/>
      <c r="J37" s="47"/>
      <c r="K37" s="34"/>
      <c r="L37" s="48"/>
    </row>
    <row r="38" spans="1:19" ht="14.4">
      <c r="A38" s="287" t="s">
        <v>434</v>
      </c>
      <c r="B38" s="32" t="s">
        <v>445</v>
      </c>
      <c r="C38" s="36">
        <v>4</v>
      </c>
      <c r="D38" s="38">
        <v>13</v>
      </c>
      <c r="E38" s="34">
        <v>5</v>
      </c>
      <c r="F38" s="41">
        <v>0.94106999999999996</v>
      </c>
      <c r="G38" s="34"/>
      <c r="H38" s="56"/>
      <c r="I38" s="66"/>
      <c r="J38" s="47"/>
      <c r="K38" s="34"/>
      <c r="L38" s="48"/>
    </row>
    <row r="39" spans="1:19" ht="14.4">
      <c r="A39" s="288"/>
      <c r="B39" s="32" t="s">
        <v>454</v>
      </c>
      <c r="C39" s="36">
        <v>1</v>
      </c>
      <c r="D39" s="17">
        <v>1000</v>
      </c>
      <c r="E39" s="34">
        <v>-1</v>
      </c>
      <c r="F39" s="41">
        <v>0.57090700000000005</v>
      </c>
      <c r="G39" s="34"/>
      <c r="H39" s="56"/>
      <c r="I39" s="83"/>
      <c r="J39" s="47"/>
      <c r="K39" s="34"/>
      <c r="L39" s="48"/>
    </row>
    <row r="40" spans="1:19" ht="14.4">
      <c r="A40" s="288"/>
      <c r="B40" s="32" t="s">
        <v>469</v>
      </c>
      <c r="C40" s="36">
        <v>2</v>
      </c>
      <c r="D40" s="38">
        <v>4</v>
      </c>
      <c r="E40" s="34">
        <v>1</v>
      </c>
      <c r="F40" s="41">
        <v>0.40648499999999999</v>
      </c>
      <c r="G40" s="34"/>
      <c r="H40" s="56"/>
      <c r="I40" s="66"/>
      <c r="J40" s="42"/>
      <c r="K40" s="34"/>
      <c r="L40" s="48"/>
    </row>
    <row r="41" spans="1:19" ht="14.4">
      <c r="A41" s="288"/>
      <c r="B41" s="32" t="s">
        <v>478</v>
      </c>
      <c r="C41" s="36">
        <v>2</v>
      </c>
      <c r="D41" s="38">
        <v>3</v>
      </c>
      <c r="E41" s="34">
        <v>2</v>
      </c>
      <c r="F41" s="41">
        <v>0.37414199999999997</v>
      </c>
      <c r="G41" s="34"/>
      <c r="H41" s="56"/>
      <c r="I41" s="66"/>
      <c r="J41" s="42"/>
      <c r="K41" s="34"/>
      <c r="L41" s="48"/>
    </row>
    <row r="42" spans="1:19" ht="14.4">
      <c r="A42" s="288"/>
      <c r="B42" s="32" t="s">
        <v>487</v>
      </c>
      <c r="C42" s="36">
        <v>3</v>
      </c>
      <c r="D42" s="38">
        <v>6</v>
      </c>
      <c r="E42" s="34">
        <v>2</v>
      </c>
      <c r="F42" s="41">
        <v>0.38311699999999999</v>
      </c>
      <c r="G42" s="34"/>
      <c r="H42" s="56"/>
      <c r="I42" s="83"/>
      <c r="J42" s="42"/>
      <c r="K42" s="34"/>
      <c r="L42" s="48"/>
    </row>
    <row r="43" spans="1:19" ht="14.4">
      <c r="A43" s="288"/>
      <c r="B43" s="32" t="s">
        <v>496</v>
      </c>
      <c r="C43" s="36">
        <v>1</v>
      </c>
      <c r="D43" s="38">
        <v>2</v>
      </c>
      <c r="E43" s="34">
        <v>1</v>
      </c>
      <c r="F43" s="41">
        <v>0.29751899999999998</v>
      </c>
      <c r="G43" s="34"/>
      <c r="H43" s="56"/>
      <c r="I43" s="32"/>
      <c r="J43" s="42"/>
      <c r="K43" s="34"/>
      <c r="L43" s="48"/>
    </row>
    <row r="44" spans="1:19" ht="14.4">
      <c r="A44" s="288"/>
      <c r="B44" s="32" t="s">
        <v>501</v>
      </c>
      <c r="C44" s="36">
        <v>2</v>
      </c>
      <c r="D44" s="38">
        <v>2</v>
      </c>
      <c r="E44" s="34">
        <v>1</v>
      </c>
      <c r="F44" s="41">
        <v>0.51172499999999999</v>
      </c>
      <c r="G44" s="34"/>
      <c r="H44" s="56"/>
      <c r="I44" s="83"/>
      <c r="J44" s="42"/>
      <c r="K44" s="34"/>
      <c r="L44" s="48"/>
    </row>
    <row r="45" spans="1:19" ht="14.4">
      <c r="A45" s="288"/>
      <c r="B45" s="32" t="s">
        <v>510</v>
      </c>
      <c r="C45" s="36">
        <v>2</v>
      </c>
      <c r="D45" s="38">
        <v>2</v>
      </c>
      <c r="E45" s="34">
        <v>1</v>
      </c>
      <c r="F45" s="41">
        <v>0.62356999999999996</v>
      </c>
      <c r="G45" s="34"/>
      <c r="H45" s="56"/>
      <c r="I45" s="17"/>
      <c r="J45" s="42"/>
      <c r="K45" s="34"/>
      <c r="L45" s="48"/>
    </row>
    <row r="46" spans="1:19" ht="14.4">
      <c r="A46" s="288"/>
      <c r="B46" s="32" t="s">
        <v>511</v>
      </c>
      <c r="C46" s="36">
        <v>2</v>
      </c>
      <c r="D46" s="38">
        <v>6</v>
      </c>
      <c r="E46" s="34">
        <v>3</v>
      </c>
      <c r="F46" s="41">
        <v>0.52510299999999999</v>
      </c>
      <c r="G46" s="34"/>
      <c r="H46" s="56"/>
      <c r="I46" s="17"/>
      <c r="J46" s="42"/>
      <c r="K46" s="34"/>
      <c r="L46" s="48"/>
    </row>
    <row r="47" spans="1:19" ht="14.4">
      <c r="A47" s="288"/>
      <c r="B47" s="32" t="s">
        <v>513</v>
      </c>
      <c r="C47" s="36">
        <v>1</v>
      </c>
      <c r="D47" s="38">
        <v>2</v>
      </c>
      <c r="E47" s="34">
        <v>1</v>
      </c>
      <c r="F47" s="41">
        <v>0.32435799999999998</v>
      </c>
      <c r="G47" s="34"/>
      <c r="H47" s="56"/>
      <c r="I47" s="17"/>
      <c r="J47" s="42"/>
      <c r="K47" s="34"/>
      <c r="L47" s="48"/>
    </row>
    <row r="48" spans="1:19" ht="14.4">
      <c r="A48" s="288"/>
      <c r="B48" s="32" t="s">
        <v>518</v>
      </c>
      <c r="C48" s="36">
        <v>1</v>
      </c>
      <c r="D48" s="38">
        <v>2</v>
      </c>
      <c r="E48" s="34">
        <v>1</v>
      </c>
      <c r="F48" s="41">
        <v>0.26669999999999999</v>
      </c>
      <c r="G48" s="34"/>
      <c r="H48" s="56"/>
      <c r="I48" s="17"/>
      <c r="J48" s="46"/>
      <c r="K48" s="34"/>
      <c r="L48" s="48"/>
    </row>
    <row r="49" spans="1:12" ht="14.4">
      <c r="A49" s="289"/>
      <c r="B49" s="32" t="s">
        <v>524</v>
      </c>
      <c r="C49" s="36">
        <v>1</v>
      </c>
      <c r="D49" s="38">
        <v>5</v>
      </c>
      <c r="E49" s="34">
        <v>3</v>
      </c>
      <c r="F49" s="41">
        <v>0.34162999999999999</v>
      </c>
      <c r="G49" s="34"/>
      <c r="H49" s="56"/>
      <c r="I49" s="66"/>
      <c r="J49" s="42"/>
      <c r="K49" s="34"/>
      <c r="L49" s="48"/>
    </row>
    <row r="50" spans="1:12" ht="14.4">
      <c r="A50" s="287" t="s">
        <v>525</v>
      </c>
      <c r="B50" s="32" t="s">
        <v>531</v>
      </c>
      <c r="C50" s="36">
        <v>1</v>
      </c>
      <c r="D50" s="38">
        <v>7</v>
      </c>
      <c r="E50" s="34">
        <v>2</v>
      </c>
      <c r="F50" s="41">
        <v>0.47057700000000002</v>
      </c>
      <c r="G50" s="34">
        <v>3</v>
      </c>
      <c r="H50" s="56"/>
      <c r="I50" s="67"/>
      <c r="J50" s="42"/>
      <c r="K50" s="34"/>
      <c r="L50" s="48"/>
    </row>
    <row r="51" spans="1:12" ht="14.4">
      <c r="A51" s="288"/>
      <c r="B51" s="32" t="s">
        <v>536</v>
      </c>
      <c r="C51" s="36">
        <v>1</v>
      </c>
      <c r="D51" s="38">
        <v>7</v>
      </c>
      <c r="E51" s="34">
        <v>3</v>
      </c>
      <c r="F51" s="41">
        <v>0.47057700000000002</v>
      </c>
      <c r="G51" s="34"/>
      <c r="H51" s="56"/>
      <c r="I51" s="66"/>
      <c r="J51" s="42"/>
      <c r="K51" s="34"/>
      <c r="L51" s="48"/>
    </row>
    <row r="52" spans="1:12" ht="14.4">
      <c r="A52" s="288"/>
      <c r="B52" s="32" t="s">
        <v>538</v>
      </c>
      <c r="C52" s="36">
        <v>1</v>
      </c>
      <c r="D52" s="38">
        <v>2</v>
      </c>
      <c r="E52" s="34">
        <v>2</v>
      </c>
      <c r="F52" s="41">
        <v>0.36660700000000002</v>
      </c>
      <c r="G52" s="34"/>
      <c r="H52" s="56"/>
      <c r="I52" s="67"/>
      <c r="J52" s="42"/>
      <c r="K52" s="34"/>
      <c r="L52" s="48"/>
    </row>
    <row r="53" spans="1:12" ht="14.4">
      <c r="A53" s="288"/>
      <c r="B53" s="32" t="s">
        <v>545</v>
      </c>
      <c r="C53" s="36">
        <v>1</v>
      </c>
      <c r="D53" s="38">
        <v>2</v>
      </c>
      <c r="E53" s="34">
        <v>1</v>
      </c>
      <c r="F53" s="41">
        <v>0.34865699999999999</v>
      </c>
      <c r="G53" s="34"/>
      <c r="H53" s="56"/>
      <c r="I53" s="66"/>
      <c r="J53" s="42"/>
      <c r="K53" s="34"/>
      <c r="L53" s="48"/>
    </row>
    <row r="54" spans="1:12" ht="14.4">
      <c r="A54" s="288"/>
      <c r="B54" s="32" t="s">
        <v>548</v>
      </c>
      <c r="C54" s="36">
        <v>1</v>
      </c>
      <c r="D54" s="38">
        <v>3</v>
      </c>
      <c r="E54" s="34">
        <v>3</v>
      </c>
      <c r="F54" s="41">
        <v>0.59605300000000006</v>
      </c>
      <c r="G54" s="34"/>
      <c r="H54" s="56"/>
      <c r="I54" s="67"/>
      <c r="J54" s="42"/>
      <c r="K54" s="34"/>
      <c r="L54" s="48"/>
    </row>
    <row r="55" spans="1:12" ht="14.4">
      <c r="A55" s="288"/>
      <c r="B55" s="32" t="s">
        <v>551</v>
      </c>
      <c r="C55" s="36">
        <v>1</v>
      </c>
      <c r="D55" s="38">
        <v>2</v>
      </c>
      <c r="E55" s="34">
        <v>1</v>
      </c>
      <c r="F55" s="41">
        <v>0.247142</v>
      </c>
      <c r="G55" s="34"/>
      <c r="H55" s="56"/>
      <c r="J55" s="42"/>
      <c r="K55" s="34"/>
      <c r="L55" s="48"/>
    </row>
    <row r="56" spans="1:12" ht="14.4">
      <c r="A56" s="288"/>
      <c r="B56" s="32" t="s">
        <v>557</v>
      </c>
      <c r="C56" s="36">
        <v>1</v>
      </c>
      <c r="D56" s="38">
        <v>2</v>
      </c>
      <c r="E56" s="34">
        <v>1</v>
      </c>
      <c r="F56" s="41">
        <v>0.25366100000000003</v>
      </c>
      <c r="G56" s="34">
        <v>1</v>
      </c>
      <c r="H56" s="56"/>
      <c r="I56" s="67"/>
      <c r="J56" s="42"/>
      <c r="K56" s="34"/>
      <c r="L56" s="48"/>
    </row>
    <row r="57" spans="1:12" ht="14.4">
      <c r="A57" s="288"/>
      <c r="B57" s="91" t="s">
        <v>561</v>
      </c>
      <c r="C57" s="36">
        <v>1</v>
      </c>
      <c r="D57" s="38">
        <v>7</v>
      </c>
      <c r="E57" s="34">
        <v>2</v>
      </c>
      <c r="F57" s="41">
        <v>0.34459299999999998</v>
      </c>
      <c r="G57" s="34"/>
      <c r="H57" s="56"/>
      <c r="I57" s="66"/>
      <c r="J57" s="42"/>
      <c r="K57" s="34"/>
      <c r="L57" s="48"/>
    </row>
    <row r="58" spans="1:12" ht="14.4">
      <c r="A58" s="288"/>
      <c r="B58" s="92" t="s">
        <v>571</v>
      </c>
      <c r="C58" s="36">
        <v>1</v>
      </c>
      <c r="D58" s="38">
        <v>4</v>
      </c>
      <c r="E58" s="34">
        <v>3</v>
      </c>
      <c r="F58" s="41">
        <v>0.57090700000000005</v>
      </c>
      <c r="G58" s="34"/>
      <c r="H58" s="56"/>
      <c r="I58" s="66"/>
      <c r="J58" s="42"/>
      <c r="K58" s="34"/>
      <c r="L58" s="48"/>
    </row>
    <row r="59" spans="1:12" ht="14.4">
      <c r="A59" s="288"/>
      <c r="B59" s="92" t="s">
        <v>577</v>
      </c>
      <c r="C59" s="36">
        <v>1</v>
      </c>
      <c r="D59" s="38">
        <v>3</v>
      </c>
      <c r="E59" s="34">
        <v>2</v>
      </c>
      <c r="F59" s="41">
        <v>0.85911300000000002</v>
      </c>
      <c r="G59" s="34"/>
      <c r="H59" s="56"/>
      <c r="I59" s="67"/>
      <c r="J59" s="42"/>
      <c r="K59" s="34"/>
      <c r="L59" s="48"/>
    </row>
    <row r="60" spans="1:12" ht="13.2">
      <c r="A60" s="288"/>
      <c r="B60" s="92" t="s">
        <v>586</v>
      </c>
      <c r="C60" s="36">
        <v>1</v>
      </c>
      <c r="D60" s="38">
        <v>3</v>
      </c>
      <c r="E60" s="34">
        <v>2</v>
      </c>
      <c r="F60" s="93">
        <v>0.38600000000000001</v>
      </c>
      <c r="G60" s="34"/>
      <c r="H60" s="56"/>
      <c r="I60" s="66"/>
      <c r="J60" s="42"/>
      <c r="K60" s="34"/>
      <c r="L60" s="48"/>
    </row>
    <row r="61" spans="1:12" ht="14.4">
      <c r="A61" s="288"/>
      <c r="B61" s="83" t="s">
        <v>600</v>
      </c>
      <c r="C61" s="34">
        <v>1</v>
      </c>
      <c r="D61" s="38">
        <v>8</v>
      </c>
      <c r="E61" s="34">
        <v>2</v>
      </c>
      <c r="F61" s="41">
        <v>0.42748199999999997</v>
      </c>
      <c r="G61" s="34"/>
      <c r="H61" s="56"/>
      <c r="I61" s="66"/>
      <c r="J61" s="42"/>
      <c r="L61" s="48"/>
    </row>
    <row r="62" spans="1:12" ht="14.4">
      <c r="A62" s="288"/>
      <c r="B62" s="34" t="s">
        <v>604</v>
      </c>
      <c r="C62" s="34">
        <v>2</v>
      </c>
      <c r="D62" s="38">
        <v>9</v>
      </c>
      <c r="E62" s="34">
        <v>2</v>
      </c>
      <c r="F62" s="41">
        <v>0.60866900000000002</v>
      </c>
      <c r="G62" s="34">
        <v>1</v>
      </c>
      <c r="H62" s="56"/>
      <c r="I62" s="66"/>
      <c r="J62" s="95"/>
      <c r="L62" s="48"/>
    </row>
    <row r="63" spans="1:12" ht="13.2">
      <c r="A63" s="288"/>
      <c r="B63" s="83" t="s">
        <v>614</v>
      </c>
      <c r="C63" s="34">
        <v>1</v>
      </c>
      <c r="D63" s="38">
        <v>3</v>
      </c>
      <c r="E63" s="34">
        <v>3</v>
      </c>
      <c r="F63" s="93">
        <v>0.63</v>
      </c>
      <c r="G63" s="34"/>
      <c r="H63" s="56"/>
      <c r="I63" s="66"/>
      <c r="J63" s="95"/>
      <c r="L63" s="48"/>
    </row>
    <row r="64" spans="1:12" ht="14.4">
      <c r="A64" s="288"/>
      <c r="B64" s="34" t="s">
        <v>619</v>
      </c>
      <c r="C64" s="34">
        <v>2</v>
      </c>
      <c r="D64" s="38">
        <v>1000</v>
      </c>
      <c r="E64" s="34">
        <v>-1</v>
      </c>
      <c r="F64" s="41">
        <v>0.44864900000000002</v>
      </c>
      <c r="G64" s="34"/>
      <c r="H64" s="56"/>
      <c r="I64" s="67"/>
      <c r="J64" s="95"/>
      <c r="L64" s="48"/>
    </row>
    <row r="65" spans="1:12" ht="14.4">
      <c r="A65" s="289"/>
      <c r="B65" s="34" t="s">
        <v>621</v>
      </c>
      <c r="C65" s="34">
        <v>1</v>
      </c>
      <c r="D65" s="38">
        <v>3</v>
      </c>
      <c r="E65" s="34">
        <v>4</v>
      </c>
      <c r="F65" s="34">
        <v>0.38</v>
      </c>
      <c r="G65" s="34"/>
      <c r="H65" s="56"/>
      <c r="I65" s="67"/>
      <c r="J65" s="95"/>
      <c r="L65" s="48"/>
    </row>
    <row r="66" spans="1:12" ht="13.2">
      <c r="B66" s="34" t="s">
        <v>626</v>
      </c>
      <c r="C66" s="34">
        <v>1</v>
      </c>
      <c r="D66" s="38">
        <v>997</v>
      </c>
      <c r="E66" s="34">
        <v>-1</v>
      </c>
      <c r="F66" s="34">
        <v>0.52</v>
      </c>
      <c r="G66" s="34"/>
      <c r="H66" s="56"/>
      <c r="I66" s="66"/>
      <c r="J66" s="95"/>
      <c r="L66" s="48"/>
    </row>
    <row r="67" spans="1:12" ht="14.4">
      <c r="B67" s="34" t="s">
        <v>630</v>
      </c>
      <c r="C67" s="34">
        <v>1</v>
      </c>
      <c r="D67" s="38">
        <v>7</v>
      </c>
      <c r="E67" s="34">
        <v>4</v>
      </c>
      <c r="F67" s="34">
        <v>0.28999999999999998</v>
      </c>
      <c r="G67" s="34"/>
      <c r="H67" s="56"/>
      <c r="I67" s="67"/>
      <c r="J67" s="95"/>
      <c r="L67" s="48"/>
    </row>
    <row r="68" spans="1:12" ht="14.4">
      <c r="B68" s="36" t="s">
        <v>635</v>
      </c>
      <c r="C68" s="38">
        <v>4</v>
      </c>
      <c r="D68" s="38">
        <v>3</v>
      </c>
      <c r="E68" s="38">
        <v>1</v>
      </c>
      <c r="F68" s="97">
        <v>0.12</v>
      </c>
      <c r="G68" s="36"/>
      <c r="H68" s="56"/>
      <c r="I68" s="66"/>
      <c r="J68" s="95"/>
      <c r="L68" s="48"/>
    </row>
    <row r="69" spans="1:12" ht="14.4">
      <c r="B69" s="36" t="s">
        <v>643</v>
      </c>
      <c r="C69" s="38">
        <v>4</v>
      </c>
      <c r="D69" s="38">
        <v>4</v>
      </c>
      <c r="E69" s="38">
        <v>1</v>
      </c>
      <c r="F69" s="97">
        <v>0.13</v>
      </c>
      <c r="G69" s="36"/>
      <c r="H69" s="56"/>
      <c r="I69" s="66"/>
      <c r="J69" s="95"/>
      <c r="L69" s="48"/>
    </row>
    <row r="70" spans="1:12" ht="14.4">
      <c r="B70" s="36" t="s">
        <v>650</v>
      </c>
      <c r="C70" s="38">
        <v>3</v>
      </c>
      <c r="D70" s="38">
        <v>4</v>
      </c>
      <c r="E70" s="38">
        <v>1</v>
      </c>
      <c r="F70" s="97">
        <v>0.15</v>
      </c>
      <c r="G70" s="36"/>
      <c r="H70" s="56"/>
      <c r="I70" s="66"/>
      <c r="J70" s="95"/>
      <c r="L70" s="48"/>
    </row>
    <row r="71" spans="1:12" ht="14.4">
      <c r="B71" s="36" t="s">
        <v>657</v>
      </c>
      <c r="C71" s="38">
        <v>4</v>
      </c>
      <c r="D71" s="38">
        <v>3</v>
      </c>
      <c r="E71" s="38">
        <v>1</v>
      </c>
      <c r="F71" s="97">
        <v>0.12</v>
      </c>
      <c r="G71" s="38"/>
      <c r="H71" s="56"/>
      <c r="I71" s="66"/>
      <c r="J71" s="95"/>
      <c r="L71" s="48"/>
    </row>
    <row r="72" spans="1:12" ht="14.4">
      <c r="B72" s="36" t="s">
        <v>662</v>
      </c>
      <c r="C72" s="38">
        <v>4</v>
      </c>
      <c r="D72" s="38">
        <v>2</v>
      </c>
      <c r="E72" s="38">
        <v>1</v>
      </c>
      <c r="F72" s="97">
        <v>0.14000000000000001</v>
      </c>
      <c r="G72" s="36"/>
      <c r="H72" s="56"/>
      <c r="I72" s="66"/>
      <c r="J72" s="95"/>
      <c r="L72" s="48"/>
    </row>
    <row r="73" spans="1:12" ht="14.4">
      <c r="B73" s="36" t="s">
        <v>663</v>
      </c>
      <c r="C73" s="38">
        <v>6</v>
      </c>
      <c r="D73" s="38">
        <v>6</v>
      </c>
      <c r="E73" s="38">
        <v>1</v>
      </c>
      <c r="F73" s="97">
        <v>7.0000000000000007E-2</v>
      </c>
      <c r="G73" s="36"/>
      <c r="H73" s="56"/>
      <c r="I73" s="66"/>
      <c r="J73" s="95"/>
      <c r="L73" s="48"/>
    </row>
    <row r="74" spans="1:12" ht="13.2">
      <c r="B74" s="83" t="s">
        <v>669</v>
      </c>
      <c r="C74" s="34">
        <v>1</v>
      </c>
      <c r="D74" s="38">
        <v>13</v>
      </c>
      <c r="E74" s="38">
        <v>1</v>
      </c>
      <c r="F74" s="93">
        <v>0.39</v>
      </c>
      <c r="G74" s="36"/>
      <c r="H74" s="56"/>
      <c r="I74" s="66"/>
      <c r="J74" s="95"/>
      <c r="L74" s="48"/>
    </row>
    <row r="75" spans="1:12" ht="14.4">
      <c r="B75" s="83" t="s">
        <v>674</v>
      </c>
      <c r="C75" s="34">
        <v>1</v>
      </c>
      <c r="D75" s="38">
        <v>3</v>
      </c>
      <c r="E75" s="34">
        <v>1</v>
      </c>
      <c r="F75" s="97">
        <v>0.42</v>
      </c>
      <c r="G75" s="34"/>
      <c r="H75" s="56"/>
      <c r="I75" s="83"/>
      <c r="J75" s="95"/>
    </row>
    <row r="76" spans="1:12" ht="14.4">
      <c r="B76" s="34" t="s">
        <v>677</v>
      </c>
      <c r="C76" s="38">
        <v>1</v>
      </c>
      <c r="D76" s="38">
        <v>2</v>
      </c>
      <c r="E76" s="38">
        <v>1</v>
      </c>
      <c r="F76" s="97">
        <v>0.37</v>
      </c>
      <c r="G76" s="36"/>
      <c r="H76" s="56"/>
      <c r="I76" s="66"/>
      <c r="J76" s="95"/>
      <c r="L76" s="48"/>
    </row>
    <row r="77" spans="1:12" ht="14.4">
      <c r="B77" s="83" t="s">
        <v>684</v>
      </c>
      <c r="C77" s="38">
        <v>1</v>
      </c>
      <c r="D77" s="38">
        <v>13</v>
      </c>
      <c r="E77" s="38">
        <v>8</v>
      </c>
      <c r="F77" s="97">
        <v>0.45</v>
      </c>
      <c r="G77" s="36">
        <v>1</v>
      </c>
      <c r="H77" s="56"/>
      <c r="I77" s="66"/>
      <c r="J77" s="95"/>
      <c r="L77" s="48"/>
    </row>
    <row r="78" spans="1:12" ht="14.4">
      <c r="B78" s="83" t="s">
        <v>686</v>
      </c>
      <c r="C78" s="38">
        <v>2</v>
      </c>
      <c r="D78" s="38">
        <v>5</v>
      </c>
      <c r="E78" s="38">
        <v>1</v>
      </c>
      <c r="F78" s="97">
        <v>0.42</v>
      </c>
      <c r="G78" s="36"/>
      <c r="H78" s="56"/>
      <c r="I78" s="83"/>
      <c r="J78" s="95"/>
      <c r="L78" s="48"/>
    </row>
    <row r="79" spans="1:12" ht="14.4">
      <c r="B79" s="83" t="s">
        <v>688</v>
      </c>
      <c r="C79" s="34">
        <v>2</v>
      </c>
      <c r="D79" s="38">
        <v>13</v>
      </c>
      <c r="E79" s="38">
        <v>1</v>
      </c>
      <c r="F79" s="93">
        <v>0.48</v>
      </c>
      <c r="G79" s="36"/>
      <c r="H79" s="56"/>
      <c r="I79" s="32"/>
      <c r="J79" s="95"/>
      <c r="L79" s="48"/>
    </row>
    <row r="80" spans="1:12" ht="13.2">
      <c r="B80" s="83" t="s">
        <v>689</v>
      </c>
      <c r="C80" s="34">
        <v>1</v>
      </c>
      <c r="D80" s="38">
        <v>11</v>
      </c>
      <c r="E80" s="38">
        <v>5</v>
      </c>
      <c r="F80" s="93">
        <v>0.52</v>
      </c>
      <c r="G80" s="34">
        <v>1</v>
      </c>
      <c r="H80" s="56"/>
      <c r="I80" s="83"/>
      <c r="J80" s="95"/>
      <c r="L80" s="48"/>
    </row>
    <row r="81" spans="2:12" ht="13.2">
      <c r="B81" s="83" t="s">
        <v>695</v>
      </c>
      <c r="C81" s="34">
        <v>2</v>
      </c>
      <c r="D81" s="38">
        <v>3</v>
      </c>
      <c r="E81" s="38">
        <v>1</v>
      </c>
      <c r="F81" s="93">
        <v>0.48</v>
      </c>
      <c r="G81" s="34"/>
      <c r="H81" s="56"/>
      <c r="I81" s="17"/>
      <c r="J81" s="95"/>
      <c r="L81" s="48"/>
    </row>
    <row r="82" spans="2:12" ht="13.2">
      <c r="B82" s="83" t="s">
        <v>699</v>
      </c>
      <c r="C82" s="34">
        <v>2</v>
      </c>
      <c r="D82" s="38">
        <v>3</v>
      </c>
      <c r="E82" s="38">
        <v>1</v>
      </c>
      <c r="F82" s="93">
        <v>0.48</v>
      </c>
      <c r="G82" s="34"/>
      <c r="H82" s="56"/>
      <c r="I82" s="17"/>
      <c r="J82" s="95"/>
      <c r="L82" s="48"/>
    </row>
    <row r="83" spans="2:12" ht="13.2">
      <c r="B83" s="83" t="s">
        <v>701</v>
      </c>
      <c r="C83" s="34">
        <v>1</v>
      </c>
      <c r="D83" s="38">
        <v>2</v>
      </c>
      <c r="E83" s="38">
        <v>1</v>
      </c>
      <c r="F83" s="93">
        <v>0.32</v>
      </c>
      <c r="G83" s="34"/>
      <c r="H83" s="56"/>
      <c r="I83" s="17"/>
      <c r="J83" s="95"/>
      <c r="L83" s="48"/>
    </row>
    <row r="84" spans="2:12" ht="13.2">
      <c r="B84" s="83" t="s">
        <v>704</v>
      </c>
      <c r="C84" s="34">
        <v>1</v>
      </c>
      <c r="D84" s="38">
        <v>3</v>
      </c>
      <c r="E84" s="38">
        <v>1</v>
      </c>
      <c r="F84" s="93">
        <v>0.32</v>
      </c>
      <c r="G84" s="34"/>
      <c r="H84" s="56"/>
      <c r="I84" s="17"/>
      <c r="J84" s="95"/>
      <c r="L84" s="48"/>
    </row>
    <row r="85" spans="2:12" ht="13.2">
      <c r="B85" s="83" t="s">
        <v>710</v>
      </c>
      <c r="C85" s="34">
        <v>2</v>
      </c>
      <c r="D85" s="38">
        <v>3</v>
      </c>
      <c r="E85" s="38">
        <v>1</v>
      </c>
      <c r="F85" s="93">
        <v>0.46</v>
      </c>
      <c r="G85" s="34"/>
      <c r="H85" s="56"/>
      <c r="I85" s="66"/>
      <c r="J85" s="95"/>
      <c r="L85" s="48"/>
    </row>
    <row r="86" spans="2:12" ht="14.4">
      <c r="B86" s="83" t="s">
        <v>713</v>
      </c>
      <c r="C86" s="34">
        <v>1</v>
      </c>
      <c r="D86" s="38">
        <v>2</v>
      </c>
      <c r="E86" s="38">
        <v>2</v>
      </c>
      <c r="F86" s="93">
        <v>0.32</v>
      </c>
      <c r="G86" s="34"/>
      <c r="H86" s="56"/>
      <c r="I86" s="33"/>
      <c r="J86" s="95"/>
      <c r="L86" s="48"/>
    </row>
    <row r="87" spans="2:12" ht="13.2">
      <c r="B87" s="83" t="s">
        <v>720</v>
      </c>
      <c r="C87" s="34">
        <v>1</v>
      </c>
      <c r="D87" s="38">
        <v>3</v>
      </c>
      <c r="E87" s="38">
        <v>2</v>
      </c>
      <c r="F87" s="93">
        <v>0.39</v>
      </c>
      <c r="G87" s="34"/>
      <c r="H87" s="56"/>
      <c r="I87" s="66"/>
      <c r="J87" s="95"/>
      <c r="L87" s="48"/>
    </row>
    <row r="88" spans="2:12" ht="13.2">
      <c r="B88" s="83" t="s">
        <v>723</v>
      </c>
      <c r="C88" s="34">
        <v>3</v>
      </c>
      <c r="D88" s="38">
        <v>3</v>
      </c>
      <c r="E88" s="38">
        <v>1</v>
      </c>
      <c r="F88" s="93">
        <v>0.17</v>
      </c>
      <c r="G88" s="34"/>
      <c r="H88" s="56"/>
      <c r="I88" s="66"/>
      <c r="J88" s="95"/>
      <c r="L88" s="48"/>
    </row>
    <row r="89" spans="2:12" ht="13.2">
      <c r="B89" s="83" t="s">
        <v>728</v>
      </c>
      <c r="C89" s="34">
        <v>2</v>
      </c>
      <c r="D89" s="38">
        <v>4</v>
      </c>
      <c r="E89" s="38">
        <v>2</v>
      </c>
      <c r="F89" s="93">
        <v>1.02</v>
      </c>
      <c r="G89" s="34"/>
      <c r="H89" s="56"/>
      <c r="I89" s="66"/>
      <c r="J89" s="95"/>
      <c r="L89" s="48"/>
    </row>
    <row r="90" spans="2:12" ht="13.2">
      <c r="B90" s="83" t="s">
        <v>734</v>
      </c>
      <c r="C90" s="34">
        <v>1</v>
      </c>
      <c r="D90" s="38">
        <v>5</v>
      </c>
      <c r="E90" s="38">
        <v>2</v>
      </c>
      <c r="F90" s="93">
        <v>0.34</v>
      </c>
      <c r="G90" s="34"/>
      <c r="H90" s="56"/>
      <c r="I90" s="66"/>
      <c r="J90" s="95"/>
      <c r="L90" s="48"/>
    </row>
    <row r="91" spans="2:12" ht="13.2">
      <c r="B91" s="83" t="s">
        <v>739</v>
      </c>
      <c r="C91" s="34">
        <v>1</v>
      </c>
      <c r="D91" s="38">
        <v>5</v>
      </c>
      <c r="E91" s="38">
        <v>1</v>
      </c>
      <c r="F91" s="93">
        <v>0.34</v>
      </c>
      <c r="G91" s="34"/>
      <c r="H91" s="56"/>
      <c r="I91" s="66"/>
      <c r="J91" s="95"/>
      <c r="L91" s="48"/>
    </row>
    <row r="92" spans="2:12" ht="13.2">
      <c r="B92" s="83" t="s">
        <v>741</v>
      </c>
      <c r="C92" s="34">
        <v>1</v>
      </c>
      <c r="D92" s="38">
        <v>4</v>
      </c>
      <c r="E92" s="38">
        <v>3</v>
      </c>
      <c r="F92" s="93">
        <v>0.45</v>
      </c>
      <c r="G92" s="34"/>
      <c r="H92" s="56"/>
      <c r="I92" s="66"/>
      <c r="J92" s="95"/>
      <c r="L92" s="48"/>
    </row>
    <row r="93" spans="2:12" ht="13.2">
      <c r="B93" s="83" t="s">
        <v>743</v>
      </c>
      <c r="C93" s="34">
        <v>1</v>
      </c>
      <c r="D93" s="38">
        <v>3</v>
      </c>
      <c r="E93" s="38">
        <v>1</v>
      </c>
      <c r="F93" s="93">
        <v>0.38</v>
      </c>
      <c r="G93" s="34"/>
      <c r="H93" s="56"/>
      <c r="I93" s="66"/>
      <c r="J93" s="95"/>
      <c r="L93" s="48"/>
    </row>
    <row r="94" spans="2:12" ht="13.2">
      <c r="B94" s="83" t="s">
        <v>750</v>
      </c>
      <c r="C94" s="34">
        <v>1</v>
      </c>
      <c r="D94" s="38">
        <v>4</v>
      </c>
      <c r="E94" s="38">
        <v>2</v>
      </c>
      <c r="F94" s="93">
        <v>0.38</v>
      </c>
      <c r="G94" s="34"/>
      <c r="H94" s="56"/>
      <c r="I94" s="66"/>
      <c r="J94" s="95"/>
      <c r="L94" s="48"/>
    </row>
    <row r="95" spans="2:12" ht="13.2">
      <c r="B95" s="83" t="s">
        <v>752</v>
      </c>
      <c r="C95" s="34">
        <v>1</v>
      </c>
      <c r="D95" s="38">
        <v>7</v>
      </c>
      <c r="E95" s="38">
        <v>3</v>
      </c>
      <c r="F95" s="93">
        <v>0.51</v>
      </c>
      <c r="G95" s="34"/>
      <c r="H95" s="56"/>
      <c r="I95" s="66"/>
      <c r="J95" s="95"/>
      <c r="L95" s="48"/>
    </row>
    <row r="96" spans="2:12" ht="13.2">
      <c r="B96" s="83" t="s">
        <v>758</v>
      </c>
      <c r="C96" s="34">
        <v>1</v>
      </c>
      <c r="D96" s="38">
        <v>4</v>
      </c>
      <c r="E96" s="38">
        <v>1</v>
      </c>
      <c r="F96" s="93">
        <v>0.3</v>
      </c>
      <c r="G96" s="34"/>
      <c r="H96" s="56"/>
      <c r="I96" s="66"/>
      <c r="J96" s="47"/>
      <c r="L96" s="48"/>
    </row>
    <row r="97" spans="2:12" ht="13.2">
      <c r="B97" s="83" t="s">
        <v>763</v>
      </c>
      <c r="C97" s="34">
        <v>1</v>
      </c>
      <c r="D97" s="38">
        <v>4</v>
      </c>
      <c r="E97" s="38">
        <v>1</v>
      </c>
      <c r="F97" s="93">
        <v>0.37</v>
      </c>
      <c r="G97" s="34">
        <v>1</v>
      </c>
      <c r="H97" s="56"/>
      <c r="I97" s="66"/>
      <c r="J97" s="47"/>
      <c r="L97" s="48"/>
    </row>
    <row r="98" spans="2:12" ht="13.2">
      <c r="B98" s="83" t="s">
        <v>768</v>
      </c>
      <c r="C98" s="34">
        <v>1</v>
      </c>
      <c r="D98" s="38">
        <v>5</v>
      </c>
      <c r="E98" s="38">
        <v>2</v>
      </c>
      <c r="F98" s="93">
        <v>0.74</v>
      </c>
      <c r="G98" s="34"/>
      <c r="H98" s="56"/>
      <c r="I98" s="66"/>
      <c r="J98" s="47"/>
      <c r="L98" s="48"/>
    </row>
    <row r="99" spans="2:12" ht="13.2">
      <c r="B99" s="83" t="s">
        <v>769</v>
      </c>
      <c r="C99" s="34">
        <v>1</v>
      </c>
      <c r="D99" s="38">
        <v>995</v>
      </c>
      <c r="E99" s="34">
        <v>-1</v>
      </c>
      <c r="F99" s="93">
        <v>0.44</v>
      </c>
      <c r="G99" s="34"/>
      <c r="H99" s="56"/>
      <c r="I99" s="66"/>
      <c r="J99" s="47"/>
      <c r="L99" s="48"/>
    </row>
    <row r="100" spans="2:12" ht="13.2">
      <c r="B100" s="83" t="s">
        <v>771</v>
      </c>
      <c r="C100" s="34">
        <v>1</v>
      </c>
      <c r="D100" s="38">
        <v>3</v>
      </c>
      <c r="E100" s="34">
        <v>2</v>
      </c>
      <c r="F100" s="93">
        <v>0.23</v>
      </c>
      <c r="G100" s="34">
        <v>2</v>
      </c>
      <c r="H100" s="56"/>
      <c r="I100" s="66"/>
      <c r="J100" s="47"/>
      <c r="L100" s="48"/>
    </row>
    <row r="101" spans="2:12" ht="13.2">
      <c r="B101" s="83" t="s">
        <v>785</v>
      </c>
      <c r="C101" s="34">
        <v>1</v>
      </c>
      <c r="D101" s="38">
        <v>7</v>
      </c>
      <c r="E101" s="34">
        <v>4</v>
      </c>
      <c r="F101" s="93">
        <v>0.22</v>
      </c>
      <c r="G101" s="34"/>
      <c r="H101" s="56"/>
      <c r="I101" s="66"/>
      <c r="J101" s="47"/>
      <c r="L101" s="48"/>
    </row>
    <row r="102" spans="2:12" ht="13.2">
      <c r="B102" s="83" t="s">
        <v>786</v>
      </c>
      <c r="C102" s="34">
        <v>1</v>
      </c>
      <c r="D102" s="38">
        <v>3</v>
      </c>
      <c r="E102" s="34">
        <v>1</v>
      </c>
      <c r="F102" s="93">
        <v>0.41</v>
      </c>
      <c r="G102" s="34"/>
      <c r="H102" s="56"/>
      <c r="I102" s="66"/>
      <c r="J102" s="47"/>
      <c r="L102" s="48"/>
    </row>
    <row r="103" spans="2:12" ht="13.2">
      <c r="B103" s="83" t="s">
        <v>788</v>
      </c>
      <c r="C103" s="34">
        <v>2</v>
      </c>
      <c r="D103" s="38">
        <v>4</v>
      </c>
      <c r="E103" s="34">
        <v>3</v>
      </c>
      <c r="F103" s="93">
        <v>1.1299999999999999</v>
      </c>
      <c r="G103" s="34">
        <v>1</v>
      </c>
      <c r="H103" s="56"/>
      <c r="I103" s="66"/>
      <c r="J103" s="47"/>
      <c r="L103" s="48"/>
    </row>
    <row r="104" spans="2:12" ht="13.2">
      <c r="B104" s="83" t="s">
        <v>789</v>
      </c>
      <c r="C104" s="34">
        <v>2</v>
      </c>
      <c r="D104" s="38">
        <v>4</v>
      </c>
      <c r="E104" s="34">
        <v>1</v>
      </c>
      <c r="F104" s="93">
        <v>1.1299999999999999</v>
      </c>
      <c r="G104" s="34"/>
      <c r="H104" s="56"/>
      <c r="I104" s="66"/>
      <c r="J104" s="47"/>
      <c r="L104" s="48"/>
    </row>
    <row r="105" spans="2:12" ht="13.2">
      <c r="B105" s="83" t="s">
        <v>798</v>
      </c>
      <c r="C105" s="34">
        <v>1</v>
      </c>
      <c r="D105" s="38">
        <v>3</v>
      </c>
      <c r="E105" s="34">
        <v>2</v>
      </c>
      <c r="F105" s="93">
        <v>0.56000000000000005</v>
      </c>
      <c r="G105" s="34"/>
      <c r="H105" s="56"/>
      <c r="I105" s="66"/>
      <c r="J105" s="47"/>
      <c r="L105" s="48"/>
    </row>
    <row r="106" spans="2:12" ht="13.2">
      <c r="B106" s="83" t="s">
        <v>799</v>
      </c>
      <c r="C106" s="34">
        <v>1</v>
      </c>
      <c r="D106" s="38">
        <v>2</v>
      </c>
      <c r="E106" s="34">
        <v>2</v>
      </c>
      <c r="F106" s="93">
        <v>0.31</v>
      </c>
      <c r="G106" s="34"/>
      <c r="H106" s="56"/>
      <c r="I106" s="66"/>
      <c r="J106" s="47"/>
      <c r="L106" s="48"/>
    </row>
    <row r="107" spans="2:12" ht="13.2">
      <c r="B107" s="83" t="s">
        <v>801</v>
      </c>
      <c r="C107" s="34">
        <v>1</v>
      </c>
      <c r="D107" s="38">
        <v>2</v>
      </c>
      <c r="E107" s="34">
        <v>2</v>
      </c>
      <c r="F107" s="93"/>
      <c r="G107" s="34"/>
      <c r="H107" s="56"/>
      <c r="I107" s="66"/>
      <c r="J107" s="47"/>
      <c r="L107" s="48"/>
    </row>
    <row r="108" spans="2:12" ht="13.2">
      <c r="B108" s="83" t="s">
        <v>815</v>
      </c>
      <c r="C108" s="34">
        <v>1</v>
      </c>
      <c r="D108" s="38">
        <v>6</v>
      </c>
      <c r="E108" s="34">
        <v>2</v>
      </c>
      <c r="F108" s="93">
        <v>0.35</v>
      </c>
      <c r="G108" s="34"/>
      <c r="H108" s="56"/>
      <c r="I108" s="66"/>
      <c r="J108" s="47"/>
      <c r="L108" s="48"/>
    </row>
    <row r="109" spans="2:12" ht="13.2">
      <c r="B109" s="83" t="s">
        <v>816</v>
      </c>
      <c r="C109" s="34">
        <v>1</v>
      </c>
      <c r="D109" s="38">
        <v>2</v>
      </c>
      <c r="E109" s="34">
        <v>1</v>
      </c>
      <c r="F109" s="93">
        <v>0.65</v>
      </c>
      <c r="G109" s="34"/>
      <c r="H109" s="56"/>
      <c r="I109" s="66"/>
      <c r="J109" s="47"/>
      <c r="L109" s="48"/>
    </row>
    <row r="110" spans="2:12" ht="13.2">
      <c r="B110" s="83" t="s">
        <v>818</v>
      </c>
      <c r="C110" s="34">
        <v>1</v>
      </c>
      <c r="D110" s="38">
        <v>2</v>
      </c>
      <c r="E110" s="34">
        <v>1</v>
      </c>
      <c r="F110" s="93">
        <v>0.25</v>
      </c>
      <c r="G110" s="34">
        <v>1</v>
      </c>
      <c r="H110" s="56"/>
      <c r="I110" s="66"/>
      <c r="J110" s="47"/>
      <c r="L110" s="48"/>
    </row>
    <row r="111" spans="2:12" ht="13.2">
      <c r="B111" s="83" t="s">
        <v>821</v>
      </c>
      <c r="C111" s="34">
        <v>1</v>
      </c>
      <c r="D111" s="38">
        <v>2</v>
      </c>
      <c r="E111" s="34">
        <v>1</v>
      </c>
      <c r="F111" s="93"/>
      <c r="G111" s="34"/>
      <c r="H111" s="56"/>
      <c r="I111" s="66"/>
      <c r="J111" s="47"/>
      <c r="L111" s="48"/>
    </row>
    <row r="112" spans="2:12" ht="13.2">
      <c r="B112" s="83" t="s">
        <v>828</v>
      </c>
      <c r="C112" s="34">
        <v>1</v>
      </c>
      <c r="D112" s="38">
        <v>3</v>
      </c>
      <c r="E112" s="34">
        <v>1</v>
      </c>
      <c r="F112" s="93"/>
      <c r="G112" s="34"/>
      <c r="H112" s="56"/>
      <c r="I112" s="66"/>
      <c r="J112" s="47"/>
      <c r="L112" s="48"/>
    </row>
    <row r="113" spans="2:12" ht="14.4">
      <c r="B113" s="83" t="s">
        <v>831</v>
      </c>
      <c r="C113" s="34">
        <v>1</v>
      </c>
      <c r="D113" s="38">
        <v>11</v>
      </c>
      <c r="E113" s="34">
        <v>6</v>
      </c>
      <c r="F113" s="93">
        <v>0.35</v>
      </c>
      <c r="G113" s="34"/>
      <c r="H113" s="56"/>
      <c r="I113" s="33"/>
      <c r="J113" s="47"/>
      <c r="L113" s="48"/>
    </row>
    <row r="114" spans="2:12" ht="13.2">
      <c r="B114" s="83" t="s">
        <v>836</v>
      </c>
      <c r="C114" s="34">
        <v>1</v>
      </c>
      <c r="D114" s="38">
        <v>3</v>
      </c>
      <c r="E114" s="34">
        <v>3</v>
      </c>
      <c r="F114" s="93">
        <v>0.32</v>
      </c>
      <c r="G114" s="34"/>
      <c r="H114" s="56"/>
      <c r="J114" s="47"/>
      <c r="L114" s="48"/>
    </row>
    <row r="115" spans="2:12" ht="13.2">
      <c r="B115" s="83" t="s">
        <v>838</v>
      </c>
      <c r="C115" s="34">
        <v>1</v>
      </c>
      <c r="D115" s="38">
        <v>2</v>
      </c>
      <c r="E115" s="34">
        <v>1</v>
      </c>
      <c r="F115" s="93">
        <v>0.34</v>
      </c>
      <c r="G115" s="34"/>
      <c r="H115" s="56"/>
      <c r="I115" s="66"/>
      <c r="J115" s="47"/>
      <c r="L115" s="48"/>
    </row>
    <row r="116" spans="2:12" ht="13.2">
      <c r="B116" s="83" t="s">
        <v>841</v>
      </c>
      <c r="C116" s="34">
        <v>1</v>
      </c>
      <c r="D116" s="38">
        <v>4</v>
      </c>
      <c r="E116" s="34">
        <v>1</v>
      </c>
      <c r="F116" s="93">
        <v>0.34</v>
      </c>
      <c r="G116" s="34"/>
      <c r="H116" s="56"/>
      <c r="I116" s="66"/>
      <c r="J116" s="47"/>
      <c r="L116" s="48"/>
    </row>
    <row r="117" spans="2:12" ht="13.2">
      <c r="B117" s="83" t="s">
        <v>847</v>
      </c>
      <c r="C117" s="34">
        <v>1</v>
      </c>
      <c r="D117" s="38">
        <v>998</v>
      </c>
      <c r="E117" s="34">
        <v>-1</v>
      </c>
      <c r="F117" s="93">
        <v>0.36</v>
      </c>
      <c r="G117" s="34"/>
      <c r="H117" s="56"/>
      <c r="I117" s="66"/>
      <c r="J117" s="47"/>
      <c r="L117" s="48"/>
    </row>
    <row r="118" spans="2:12" ht="14.4">
      <c r="B118" s="83" t="s">
        <v>850</v>
      </c>
      <c r="C118" s="34">
        <v>1</v>
      </c>
      <c r="D118" s="38">
        <v>2</v>
      </c>
      <c r="E118" s="34">
        <v>1</v>
      </c>
      <c r="F118" s="93">
        <v>0.36</v>
      </c>
      <c r="G118" s="34"/>
      <c r="H118" s="56"/>
      <c r="I118" s="67"/>
      <c r="J118" s="47"/>
      <c r="L118" s="48"/>
    </row>
    <row r="119" spans="2:12" ht="13.2">
      <c r="B119" s="83" t="s">
        <v>856</v>
      </c>
      <c r="C119" s="34">
        <v>1</v>
      </c>
      <c r="D119" s="38">
        <v>3</v>
      </c>
      <c r="E119" s="34">
        <v>1</v>
      </c>
      <c r="F119" s="93">
        <v>0.46</v>
      </c>
      <c r="G119" s="34"/>
      <c r="H119" s="56"/>
      <c r="I119" s="66"/>
      <c r="J119" s="47"/>
      <c r="L119" s="48"/>
    </row>
    <row r="120" spans="2:12" ht="13.2">
      <c r="B120" s="83" t="s">
        <v>857</v>
      </c>
      <c r="C120" s="34">
        <v>1</v>
      </c>
      <c r="D120" s="38">
        <v>2</v>
      </c>
      <c r="E120" s="34">
        <v>1</v>
      </c>
      <c r="F120" s="93">
        <v>0.26</v>
      </c>
      <c r="G120" s="34"/>
      <c r="H120" s="56"/>
      <c r="I120" s="66"/>
      <c r="J120" s="47"/>
      <c r="L120" s="48"/>
    </row>
    <row r="121" spans="2:12" ht="13.2">
      <c r="B121" s="83" t="s">
        <v>860</v>
      </c>
      <c r="C121" s="34">
        <v>1</v>
      </c>
      <c r="D121" s="38">
        <v>2</v>
      </c>
      <c r="E121" s="34">
        <v>1</v>
      </c>
      <c r="F121" s="93">
        <v>0.3</v>
      </c>
      <c r="G121" s="34"/>
      <c r="H121" s="56"/>
      <c r="I121" s="66"/>
      <c r="J121" s="47"/>
      <c r="L121" s="48"/>
    </row>
    <row r="122" spans="2:12" ht="13.2">
      <c r="B122" s="83" t="s">
        <v>867</v>
      </c>
      <c r="C122" s="34">
        <v>1</v>
      </c>
      <c r="D122" s="38">
        <v>2</v>
      </c>
      <c r="E122" s="34">
        <v>1</v>
      </c>
      <c r="F122" s="93">
        <v>0.32</v>
      </c>
      <c r="G122" s="34"/>
      <c r="H122" s="56"/>
      <c r="I122" s="66"/>
      <c r="J122" s="47"/>
      <c r="L122" s="48"/>
    </row>
    <row r="123" spans="2:12" ht="13.2">
      <c r="B123" s="83" t="s">
        <v>870</v>
      </c>
      <c r="C123" s="34">
        <v>1</v>
      </c>
      <c r="D123" s="38">
        <v>2</v>
      </c>
      <c r="E123" s="34">
        <v>1</v>
      </c>
      <c r="F123" s="93">
        <v>0.33</v>
      </c>
      <c r="G123" s="34"/>
      <c r="H123" s="56"/>
      <c r="I123" s="66"/>
      <c r="J123" s="47"/>
      <c r="L123" s="48"/>
    </row>
    <row r="124" spans="2:12" ht="14.4">
      <c r="B124" s="83" t="s">
        <v>872</v>
      </c>
      <c r="C124" s="34">
        <v>1</v>
      </c>
      <c r="D124" s="38">
        <v>2</v>
      </c>
      <c r="E124" s="34">
        <v>2</v>
      </c>
      <c r="F124" s="93">
        <v>0.25</v>
      </c>
      <c r="G124" s="34"/>
      <c r="H124" s="56"/>
      <c r="I124" s="67"/>
      <c r="J124" s="117"/>
      <c r="L124" s="48"/>
    </row>
    <row r="125" spans="2:12" ht="14.4">
      <c r="B125" s="83" t="s">
        <v>901</v>
      </c>
      <c r="C125" s="34">
        <v>1</v>
      </c>
      <c r="D125" s="38">
        <v>2</v>
      </c>
      <c r="E125" s="34">
        <v>2</v>
      </c>
      <c r="F125" s="93">
        <v>0.18</v>
      </c>
      <c r="G125" s="34"/>
      <c r="H125" s="56"/>
      <c r="I125" s="67"/>
      <c r="J125" s="117"/>
      <c r="L125" s="48"/>
    </row>
    <row r="126" spans="2:12" ht="14.4">
      <c r="B126" s="83" t="s">
        <v>904</v>
      </c>
      <c r="C126" s="34">
        <v>1</v>
      </c>
      <c r="D126" s="38">
        <v>1000</v>
      </c>
      <c r="E126" s="34">
        <v>-1</v>
      </c>
      <c r="F126" s="93">
        <v>0.18</v>
      </c>
      <c r="G126" s="34"/>
      <c r="H126" s="56"/>
      <c r="I126" s="66"/>
      <c r="J126" s="117"/>
    </row>
    <row r="127" spans="2:12" ht="14.4">
      <c r="B127" s="83" t="s">
        <v>908</v>
      </c>
      <c r="C127" s="34">
        <v>1</v>
      </c>
      <c r="D127" s="38">
        <v>2</v>
      </c>
      <c r="E127" s="34">
        <v>1</v>
      </c>
      <c r="F127" s="93">
        <v>0.36</v>
      </c>
      <c r="G127" s="34"/>
      <c r="H127" s="56"/>
      <c r="I127" s="66"/>
      <c r="J127" s="117"/>
      <c r="L127" s="48"/>
    </row>
    <row r="128" spans="2:12" ht="13.2">
      <c r="B128" s="83" t="s">
        <v>910</v>
      </c>
      <c r="C128" s="34">
        <v>1</v>
      </c>
      <c r="D128" s="38">
        <v>2</v>
      </c>
      <c r="E128" s="34">
        <v>2</v>
      </c>
      <c r="F128" s="93">
        <v>0.2</v>
      </c>
      <c r="G128" s="34"/>
      <c r="H128" s="56"/>
      <c r="I128" s="66"/>
      <c r="J128" s="47"/>
      <c r="L128" s="48"/>
    </row>
    <row r="129" spans="2:15" ht="13.2">
      <c r="B129" s="83" t="s">
        <v>915</v>
      </c>
      <c r="C129" s="34">
        <v>1</v>
      </c>
      <c r="D129" s="38">
        <v>999</v>
      </c>
      <c r="E129" s="34">
        <v>-1</v>
      </c>
      <c r="F129" s="93">
        <v>0.48</v>
      </c>
      <c r="G129" s="34"/>
      <c r="H129" s="56"/>
      <c r="I129" s="66"/>
      <c r="J129" s="47"/>
      <c r="L129" s="48"/>
    </row>
    <row r="130" spans="2:15" ht="13.2">
      <c r="B130" s="83" t="s">
        <v>920</v>
      </c>
      <c r="C130" s="34">
        <v>1</v>
      </c>
      <c r="D130" s="38">
        <v>1000</v>
      </c>
      <c r="E130" s="34">
        <v>-1</v>
      </c>
      <c r="F130" s="93">
        <v>0.35</v>
      </c>
      <c r="G130" s="34"/>
      <c r="H130" s="56"/>
      <c r="I130" s="66"/>
      <c r="J130" s="47"/>
      <c r="L130" s="48"/>
    </row>
    <row r="131" spans="2:15" ht="13.2">
      <c r="B131" s="83" t="s">
        <v>921</v>
      </c>
      <c r="C131" s="34">
        <v>1</v>
      </c>
      <c r="D131" s="38">
        <v>978</v>
      </c>
      <c r="E131" s="34">
        <v>-1</v>
      </c>
      <c r="F131" s="93">
        <v>0.46</v>
      </c>
      <c r="G131" s="34"/>
      <c r="H131" s="56"/>
      <c r="I131" s="66"/>
      <c r="J131" s="47"/>
      <c r="L131" s="48"/>
    </row>
    <row r="132" spans="2:15" ht="13.2">
      <c r="B132" s="83" t="s">
        <v>924</v>
      </c>
      <c r="C132" s="34">
        <v>1</v>
      </c>
      <c r="D132" s="38">
        <v>3</v>
      </c>
      <c r="E132" s="34">
        <v>1</v>
      </c>
      <c r="F132" s="93">
        <v>0.46</v>
      </c>
      <c r="G132" s="34"/>
      <c r="H132" s="56"/>
      <c r="I132" s="66"/>
      <c r="J132" s="47"/>
      <c r="L132" s="48"/>
    </row>
    <row r="133" spans="2:15" ht="13.2">
      <c r="B133" s="83" t="s">
        <v>931</v>
      </c>
      <c r="C133" s="34">
        <v>1</v>
      </c>
      <c r="D133" s="38">
        <v>2</v>
      </c>
      <c r="E133" s="34">
        <v>1</v>
      </c>
      <c r="F133" s="93">
        <v>0.5</v>
      </c>
      <c r="G133" s="34"/>
      <c r="H133" s="56"/>
      <c r="I133" s="66"/>
      <c r="J133" s="47"/>
      <c r="L133" s="48"/>
    </row>
    <row r="134" spans="2:15" ht="13.2">
      <c r="B134" s="83" t="s">
        <v>933</v>
      </c>
      <c r="C134" s="34">
        <v>1</v>
      </c>
      <c r="D134" s="38">
        <v>2</v>
      </c>
      <c r="E134" s="34">
        <v>1</v>
      </c>
      <c r="F134" s="93">
        <v>0.4</v>
      </c>
      <c r="G134" s="34"/>
      <c r="H134" s="56"/>
      <c r="I134" s="66"/>
      <c r="J134" s="47"/>
      <c r="L134" s="48"/>
    </row>
    <row r="135" spans="2:15" ht="14.4">
      <c r="B135" s="83" t="s">
        <v>939</v>
      </c>
      <c r="C135" s="34">
        <v>1</v>
      </c>
      <c r="D135" s="38">
        <v>2</v>
      </c>
      <c r="E135" s="34">
        <v>2</v>
      </c>
      <c r="F135" s="93">
        <v>0.32</v>
      </c>
      <c r="G135" s="34"/>
      <c r="H135" s="56"/>
      <c r="I135" s="67"/>
      <c r="J135" s="47"/>
      <c r="L135" s="48"/>
    </row>
    <row r="136" spans="2:15" ht="13.2">
      <c r="B136" s="83" t="s">
        <v>944</v>
      </c>
      <c r="C136" s="34">
        <v>1</v>
      </c>
      <c r="D136" s="38">
        <v>996</v>
      </c>
      <c r="E136" s="34">
        <v>-1</v>
      </c>
      <c r="F136" s="93">
        <v>0.31</v>
      </c>
      <c r="G136" s="34"/>
      <c r="H136" s="56"/>
      <c r="I136" s="66"/>
      <c r="J136" s="47"/>
      <c r="L136" s="48"/>
    </row>
    <row r="137" spans="2:15" ht="13.2">
      <c r="B137" s="83" t="s">
        <v>945</v>
      </c>
      <c r="C137" s="34">
        <v>1</v>
      </c>
      <c r="D137" s="34">
        <v>3</v>
      </c>
      <c r="E137" s="34">
        <v>2</v>
      </c>
      <c r="F137" s="93">
        <v>0.35</v>
      </c>
      <c r="G137" s="34"/>
      <c r="H137" s="56"/>
      <c r="I137" s="66"/>
      <c r="J137" s="47"/>
      <c r="L137" s="48"/>
    </row>
    <row r="138" spans="2:15" ht="13.2">
      <c r="B138" s="83" t="s">
        <v>949</v>
      </c>
      <c r="C138" s="34">
        <v>1</v>
      </c>
      <c r="D138" s="38">
        <v>2</v>
      </c>
      <c r="E138" s="34">
        <v>2</v>
      </c>
      <c r="F138" s="93">
        <v>0.4</v>
      </c>
      <c r="G138" s="34"/>
      <c r="H138" s="56"/>
      <c r="I138" s="66"/>
      <c r="J138" s="47"/>
      <c r="L138" s="48"/>
    </row>
    <row r="139" spans="2:15" ht="14.4">
      <c r="B139" s="83" t="s">
        <v>956</v>
      </c>
      <c r="C139" s="34">
        <v>1</v>
      </c>
      <c r="D139" s="34">
        <v>3</v>
      </c>
      <c r="E139" s="34">
        <v>2</v>
      </c>
      <c r="F139" s="93">
        <v>0.2</v>
      </c>
      <c r="G139" s="34"/>
      <c r="H139" s="56"/>
      <c r="I139" s="66"/>
      <c r="J139" s="47"/>
      <c r="L139" s="48"/>
      <c r="N139" s="124"/>
      <c r="O139" s="17"/>
    </row>
    <row r="140" spans="2:15" ht="14.4">
      <c r="B140" s="83" t="s">
        <v>958</v>
      </c>
      <c r="C140" s="34">
        <v>1</v>
      </c>
      <c r="D140" s="38">
        <v>2</v>
      </c>
      <c r="E140" s="34">
        <v>1</v>
      </c>
      <c r="F140" s="93">
        <v>0.22</v>
      </c>
      <c r="G140" s="34"/>
      <c r="H140" s="56"/>
      <c r="I140" s="67"/>
      <c r="J140" s="47"/>
      <c r="L140" s="48"/>
      <c r="N140" s="126"/>
      <c r="O140" s="17"/>
    </row>
    <row r="141" spans="2:15" ht="14.4">
      <c r="B141" s="34"/>
      <c r="C141" s="34">
        <v>1</v>
      </c>
      <c r="D141" s="38">
        <v>1000</v>
      </c>
      <c r="E141" s="34">
        <v>-1</v>
      </c>
      <c r="F141" s="34"/>
      <c r="G141" s="34"/>
      <c r="H141" s="56"/>
      <c r="I141" s="66"/>
      <c r="J141" s="47"/>
      <c r="L141" s="48"/>
      <c r="N141" s="126"/>
      <c r="O141" s="17"/>
    </row>
    <row r="142" spans="2:15" ht="14.4">
      <c r="B142" s="83" t="s">
        <v>962</v>
      </c>
      <c r="C142" s="34">
        <v>1</v>
      </c>
      <c r="D142" s="34">
        <v>2</v>
      </c>
      <c r="E142" s="34">
        <v>1</v>
      </c>
      <c r="F142" s="93">
        <v>0.38</v>
      </c>
      <c r="G142" s="34"/>
      <c r="H142" s="56"/>
      <c r="I142" s="66"/>
      <c r="J142" s="47"/>
      <c r="L142" s="48"/>
      <c r="N142" s="126"/>
      <c r="O142" s="17"/>
    </row>
    <row r="143" spans="2:15" ht="14.4">
      <c r="B143" s="83" t="s">
        <v>968</v>
      </c>
      <c r="C143" s="34">
        <v>1</v>
      </c>
      <c r="D143" s="38">
        <v>0</v>
      </c>
      <c r="E143" s="34">
        <v>-1</v>
      </c>
      <c r="F143" s="93">
        <v>0.42</v>
      </c>
      <c r="G143" s="34"/>
      <c r="H143" s="56"/>
      <c r="I143" s="67"/>
      <c r="J143" s="47"/>
      <c r="L143" s="48"/>
      <c r="N143" s="123"/>
      <c r="O143" s="17"/>
    </row>
    <row r="144" spans="2:15" ht="13.2">
      <c r="B144" s="83" t="s">
        <v>970</v>
      </c>
      <c r="C144" s="34">
        <v>1</v>
      </c>
      <c r="D144" s="38">
        <v>3</v>
      </c>
      <c r="E144" s="34">
        <v>1</v>
      </c>
      <c r="F144" s="93">
        <v>0.28999999999999998</v>
      </c>
      <c r="G144" s="34"/>
      <c r="H144" s="56"/>
      <c r="I144" s="66"/>
      <c r="J144" s="47"/>
      <c r="L144" s="48"/>
      <c r="N144" s="123"/>
      <c r="O144" s="17"/>
    </row>
    <row r="145" spans="2:15" ht="13.2">
      <c r="B145" s="83" t="s">
        <v>973</v>
      </c>
      <c r="C145" s="34">
        <v>2</v>
      </c>
      <c r="D145" s="38">
        <v>2</v>
      </c>
      <c r="E145" s="34">
        <v>1</v>
      </c>
      <c r="F145" s="93">
        <v>0.34</v>
      </c>
      <c r="G145" s="34"/>
      <c r="H145" s="56"/>
      <c r="I145" s="66"/>
      <c r="J145" s="47"/>
      <c r="L145" s="48"/>
      <c r="N145" s="123"/>
      <c r="O145" s="17"/>
    </row>
    <row r="146" spans="2:15" ht="13.2">
      <c r="B146" s="83" t="s">
        <v>977</v>
      </c>
      <c r="C146" s="34">
        <v>1</v>
      </c>
      <c r="D146" s="38">
        <v>3</v>
      </c>
      <c r="E146" s="34">
        <v>3</v>
      </c>
      <c r="F146" s="93">
        <v>0.42</v>
      </c>
      <c r="G146" s="34"/>
      <c r="H146" s="56"/>
      <c r="I146" s="36"/>
      <c r="J146" s="47"/>
      <c r="L146" s="48"/>
      <c r="N146" s="123"/>
      <c r="O146" s="17"/>
    </row>
    <row r="147" spans="2:15" ht="13.2">
      <c r="B147" s="83" t="s">
        <v>981</v>
      </c>
      <c r="C147" s="34">
        <v>2</v>
      </c>
      <c r="D147" s="38">
        <v>8</v>
      </c>
      <c r="E147" s="34">
        <v>1</v>
      </c>
      <c r="F147" s="93">
        <v>0.6</v>
      </c>
      <c r="G147" s="34"/>
      <c r="H147" s="56"/>
      <c r="I147" s="66"/>
      <c r="J147" s="47"/>
      <c r="L147" s="48"/>
    </row>
    <row r="148" spans="2:15" ht="13.2">
      <c r="B148" s="83" t="s">
        <v>982</v>
      </c>
      <c r="C148" s="34">
        <v>1</v>
      </c>
      <c r="D148" s="38">
        <v>3</v>
      </c>
      <c r="E148" s="34">
        <v>1</v>
      </c>
      <c r="F148" s="93">
        <v>0.35</v>
      </c>
      <c r="G148" s="34"/>
      <c r="H148" s="56"/>
      <c r="I148" s="66"/>
      <c r="J148" s="47"/>
      <c r="L148" s="48"/>
    </row>
    <row r="149" spans="2:15" ht="13.2">
      <c r="B149" s="83" t="s">
        <v>984</v>
      </c>
      <c r="C149" s="34">
        <v>1</v>
      </c>
      <c r="D149" s="38">
        <v>3</v>
      </c>
      <c r="E149" s="34">
        <v>2</v>
      </c>
      <c r="F149" s="93">
        <v>0.3</v>
      </c>
      <c r="G149" s="34">
        <v>2</v>
      </c>
      <c r="H149" s="56"/>
      <c r="I149" s="66"/>
      <c r="J149" s="47"/>
      <c r="L149" s="48"/>
    </row>
    <row r="150" spans="2:15" ht="13.2">
      <c r="B150" s="83" t="s">
        <v>987</v>
      </c>
      <c r="C150" s="34">
        <v>1</v>
      </c>
      <c r="D150" s="38">
        <v>3</v>
      </c>
      <c r="E150" s="34">
        <v>2</v>
      </c>
      <c r="F150" s="93">
        <v>0.83</v>
      </c>
      <c r="G150" s="34"/>
      <c r="H150" s="56"/>
      <c r="I150" s="66"/>
      <c r="J150" s="47"/>
      <c r="L150" s="48"/>
    </row>
    <row r="151" spans="2:15" ht="13.2">
      <c r="B151" s="83" t="s">
        <v>993</v>
      </c>
      <c r="C151" s="34">
        <v>1</v>
      </c>
      <c r="D151" s="38">
        <v>2</v>
      </c>
      <c r="E151" s="34">
        <v>1</v>
      </c>
      <c r="F151" s="93">
        <v>0.3</v>
      </c>
      <c r="G151" s="34"/>
      <c r="H151" s="56"/>
      <c r="I151" s="66"/>
      <c r="J151" s="47"/>
      <c r="L151" s="48"/>
    </row>
    <row r="152" spans="2:15" ht="14.4">
      <c r="B152" s="83" t="s">
        <v>996</v>
      </c>
      <c r="C152" s="34">
        <v>1</v>
      </c>
      <c r="D152" s="38">
        <v>3</v>
      </c>
      <c r="E152" s="34">
        <v>3</v>
      </c>
      <c r="F152" s="93">
        <v>0.42</v>
      </c>
      <c r="G152" s="34"/>
      <c r="H152" s="56"/>
      <c r="I152" s="67"/>
      <c r="J152" s="47"/>
      <c r="L152" s="48"/>
    </row>
    <row r="153" spans="2:15" ht="13.2">
      <c r="B153" s="83" t="s">
        <v>1000</v>
      </c>
      <c r="C153" s="34">
        <v>1</v>
      </c>
      <c r="D153" s="38">
        <v>2</v>
      </c>
      <c r="E153" s="34">
        <v>1</v>
      </c>
      <c r="F153" s="93">
        <v>0.34</v>
      </c>
      <c r="G153" s="34"/>
      <c r="H153" s="56"/>
      <c r="I153" s="66"/>
      <c r="J153" s="47"/>
      <c r="L153" s="48"/>
    </row>
    <row r="154" spans="2:15" ht="13.2">
      <c r="B154" s="83" t="s">
        <v>1010</v>
      </c>
      <c r="C154" s="34">
        <v>1</v>
      </c>
      <c r="D154" s="38">
        <v>4</v>
      </c>
      <c r="E154" s="34">
        <v>3</v>
      </c>
      <c r="F154" s="93">
        <v>0.53</v>
      </c>
      <c r="G154" s="34">
        <v>1</v>
      </c>
      <c r="H154" s="56"/>
      <c r="I154" s="66"/>
      <c r="J154" s="47"/>
      <c r="L154" s="48"/>
    </row>
    <row r="155" spans="2:15" ht="13.2">
      <c r="B155" s="83" t="s">
        <v>1016</v>
      </c>
      <c r="C155" s="34">
        <v>2</v>
      </c>
      <c r="D155" s="38">
        <v>4</v>
      </c>
      <c r="E155" s="34">
        <v>2</v>
      </c>
      <c r="F155" s="93">
        <v>0.89</v>
      </c>
      <c r="G155" s="34"/>
      <c r="H155" s="56"/>
      <c r="I155" s="66"/>
      <c r="J155" s="47"/>
      <c r="L155" s="48"/>
    </row>
    <row r="156" spans="2:15" ht="13.2">
      <c r="B156" s="83" t="s">
        <v>1021</v>
      </c>
      <c r="C156" s="34">
        <v>1</v>
      </c>
      <c r="D156" s="38">
        <v>2</v>
      </c>
      <c r="E156" s="34">
        <v>3</v>
      </c>
      <c r="F156" s="93">
        <v>1.1000000000000001</v>
      </c>
      <c r="G156" s="34"/>
      <c r="H156" s="56"/>
      <c r="I156" s="66"/>
      <c r="J156" s="47"/>
      <c r="L156" s="48"/>
    </row>
    <row r="157" spans="2:15" ht="13.2">
      <c r="B157" s="83" t="s">
        <v>1025</v>
      </c>
      <c r="C157" s="34">
        <v>2</v>
      </c>
      <c r="D157" s="38">
        <v>2</v>
      </c>
      <c r="E157" s="34">
        <v>1</v>
      </c>
      <c r="F157" s="93">
        <v>0.4</v>
      </c>
      <c r="G157" s="34"/>
      <c r="H157" s="56"/>
      <c r="I157" s="66"/>
      <c r="J157" s="47"/>
      <c r="L157" s="48"/>
    </row>
    <row r="158" spans="2:15" ht="13.2">
      <c r="B158" s="83" t="s">
        <v>1031</v>
      </c>
      <c r="C158" s="34">
        <v>1</v>
      </c>
      <c r="D158" s="38">
        <v>2</v>
      </c>
      <c r="E158" s="34">
        <v>1</v>
      </c>
      <c r="F158" s="93">
        <v>0.32</v>
      </c>
      <c r="G158" s="34"/>
      <c r="H158" s="56"/>
      <c r="I158" s="66"/>
      <c r="J158" s="47"/>
      <c r="L158" s="48"/>
    </row>
    <row r="159" spans="2:15" ht="13.2">
      <c r="B159" s="83" t="s">
        <v>1032</v>
      </c>
      <c r="C159" s="34">
        <v>1</v>
      </c>
      <c r="D159" s="38">
        <v>2</v>
      </c>
      <c r="E159" s="34">
        <v>2</v>
      </c>
      <c r="F159" s="93">
        <v>0.45</v>
      </c>
      <c r="G159" s="34"/>
      <c r="H159" s="56"/>
      <c r="I159" s="66"/>
      <c r="J159" s="47"/>
      <c r="L159" s="48"/>
    </row>
    <row r="160" spans="2:15" ht="13.2">
      <c r="B160" s="83" t="s">
        <v>1034</v>
      </c>
      <c r="C160" s="34">
        <v>1</v>
      </c>
      <c r="D160" s="38">
        <v>2</v>
      </c>
      <c r="E160" s="34">
        <v>1</v>
      </c>
      <c r="F160" s="93">
        <v>0.38</v>
      </c>
      <c r="G160" s="34"/>
      <c r="H160" s="56"/>
      <c r="I160" s="66"/>
      <c r="J160" s="47"/>
      <c r="L160" s="48"/>
    </row>
    <row r="161" spans="2:12" ht="13.2">
      <c r="B161" s="83" t="s">
        <v>1041</v>
      </c>
      <c r="C161" s="34">
        <v>1</v>
      </c>
      <c r="D161" s="38">
        <v>2</v>
      </c>
      <c r="E161" s="34">
        <v>1</v>
      </c>
      <c r="F161" s="93">
        <v>0.38</v>
      </c>
      <c r="G161" s="34">
        <v>1</v>
      </c>
      <c r="H161" s="56"/>
      <c r="I161" s="66"/>
      <c r="J161" s="47"/>
      <c r="L161" s="48"/>
    </row>
    <row r="162" spans="2:12" ht="14.4">
      <c r="B162" s="60" t="s">
        <v>1046</v>
      </c>
      <c r="C162" s="34">
        <v>1</v>
      </c>
      <c r="D162" s="38">
        <v>0</v>
      </c>
      <c r="E162" s="34">
        <v>-1</v>
      </c>
      <c r="F162" s="93">
        <v>0.36</v>
      </c>
      <c r="G162" s="34"/>
      <c r="H162" s="46"/>
      <c r="I162" s="66"/>
      <c r="J162" s="47"/>
      <c r="L162" s="48"/>
    </row>
    <row r="163" spans="2:12" ht="14.4">
      <c r="B163" s="60" t="s">
        <v>1054</v>
      </c>
      <c r="C163" s="34">
        <v>2</v>
      </c>
      <c r="D163" s="38">
        <v>0</v>
      </c>
      <c r="E163" s="34">
        <v>-1</v>
      </c>
      <c r="F163" s="93">
        <v>0.56999999999999995</v>
      </c>
      <c r="G163" s="34"/>
      <c r="H163" s="46"/>
      <c r="I163" s="66"/>
      <c r="J163" s="47"/>
      <c r="L163" s="48"/>
    </row>
    <row r="164" spans="2:12" ht="14.4">
      <c r="B164" s="60" t="s">
        <v>1056</v>
      </c>
      <c r="C164" s="34">
        <v>1</v>
      </c>
      <c r="D164" s="38">
        <v>0</v>
      </c>
      <c r="E164" s="34">
        <v>-1</v>
      </c>
      <c r="F164" s="93">
        <v>0.31</v>
      </c>
      <c r="G164" s="34"/>
      <c r="H164" s="46"/>
      <c r="I164" s="66"/>
      <c r="J164" s="47"/>
      <c r="L164" s="48"/>
    </row>
    <row r="165" spans="2:12" ht="14.4">
      <c r="B165" s="60" t="s">
        <v>1061</v>
      </c>
      <c r="C165" s="34">
        <v>1</v>
      </c>
      <c r="D165" s="38">
        <v>0</v>
      </c>
      <c r="E165" s="34">
        <v>-1</v>
      </c>
      <c r="F165" s="93">
        <v>0.46</v>
      </c>
      <c r="G165" s="34"/>
      <c r="H165" s="46"/>
      <c r="I165" s="66"/>
      <c r="J165" s="47"/>
      <c r="L165" s="48"/>
    </row>
    <row r="166" spans="2:12" ht="14.4">
      <c r="B166" s="60" t="s">
        <v>1066</v>
      </c>
      <c r="C166" s="34">
        <v>1</v>
      </c>
      <c r="D166" s="38">
        <v>0</v>
      </c>
      <c r="E166" s="34">
        <v>-1</v>
      </c>
      <c r="F166" s="93">
        <v>0.39</v>
      </c>
      <c r="G166" s="34">
        <v>1</v>
      </c>
      <c r="H166" s="46"/>
      <c r="I166" s="66"/>
      <c r="J166" s="47"/>
      <c r="L166" s="48"/>
    </row>
    <row r="167" spans="2:12" ht="14.4">
      <c r="B167" s="60" t="s">
        <v>1067</v>
      </c>
      <c r="C167" s="34">
        <v>1</v>
      </c>
      <c r="D167" s="38">
        <v>0</v>
      </c>
      <c r="E167" s="34">
        <v>-1</v>
      </c>
      <c r="F167" s="93">
        <v>0.5</v>
      </c>
      <c r="G167" s="34"/>
      <c r="H167" s="46"/>
      <c r="I167" s="66"/>
      <c r="J167" s="47"/>
      <c r="L167" s="48"/>
    </row>
    <row r="168" spans="2:12" ht="14.4">
      <c r="B168" s="60" t="s">
        <v>1069</v>
      </c>
      <c r="C168" s="34">
        <v>1</v>
      </c>
      <c r="D168" s="38">
        <v>0</v>
      </c>
      <c r="E168" s="34">
        <v>-1</v>
      </c>
      <c r="F168" s="93">
        <v>0.39</v>
      </c>
      <c r="G168" s="34"/>
      <c r="H168" s="46"/>
      <c r="I168" s="66"/>
      <c r="J168" s="47"/>
      <c r="L168" s="48"/>
    </row>
    <row r="169" spans="2:12" ht="14.4">
      <c r="B169" s="60" t="s">
        <v>1076</v>
      </c>
      <c r="C169" s="34">
        <v>1</v>
      </c>
      <c r="D169" s="38">
        <v>0</v>
      </c>
      <c r="E169" s="34">
        <v>-1</v>
      </c>
      <c r="F169" s="93">
        <v>0.2</v>
      </c>
      <c r="G169" s="34"/>
      <c r="H169" s="46"/>
      <c r="I169" s="66"/>
      <c r="J169" s="47"/>
      <c r="L169" s="48"/>
    </row>
    <row r="170" spans="2:12" ht="14.4">
      <c r="B170" s="60" t="s">
        <v>1078</v>
      </c>
      <c r="C170" s="34">
        <v>1</v>
      </c>
      <c r="D170" s="38">
        <v>0</v>
      </c>
      <c r="E170" s="34">
        <v>-1</v>
      </c>
      <c r="F170" s="93">
        <v>0.4</v>
      </c>
      <c r="G170" s="34"/>
      <c r="H170" s="46"/>
      <c r="I170" s="66"/>
      <c r="J170" s="47"/>
      <c r="L170" s="48"/>
    </row>
    <row r="171" spans="2:12" ht="14.4">
      <c r="B171" s="60" t="s">
        <v>1080</v>
      </c>
      <c r="C171" s="34">
        <v>1</v>
      </c>
      <c r="D171" s="38">
        <v>0</v>
      </c>
      <c r="E171" s="34">
        <v>-1</v>
      </c>
      <c r="F171" s="93">
        <v>0.45</v>
      </c>
      <c r="G171" s="34"/>
      <c r="H171" s="46"/>
      <c r="I171" s="66"/>
      <c r="J171" s="47"/>
      <c r="L171" s="48"/>
    </row>
    <row r="172" spans="2:12" ht="13.2">
      <c r="B172" s="83" t="s">
        <v>1084</v>
      </c>
      <c r="C172" s="34">
        <v>2</v>
      </c>
      <c r="D172" s="38">
        <v>0</v>
      </c>
      <c r="E172" s="34">
        <v>-1</v>
      </c>
      <c r="F172" s="93">
        <v>0.34</v>
      </c>
      <c r="G172" s="34"/>
      <c r="H172" s="46"/>
      <c r="I172" s="66"/>
      <c r="J172" s="47"/>
      <c r="L172" s="48"/>
    </row>
    <row r="173" spans="2:12" ht="13.2">
      <c r="B173" s="83" t="s">
        <v>1091</v>
      </c>
      <c r="C173" s="34">
        <v>5</v>
      </c>
      <c r="D173" s="38">
        <v>0</v>
      </c>
      <c r="E173" s="34">
        <v>-1</v>
      </c>
      <c r="F173" s="93">
        <v>0.37</v>
      </c>
      <c r="G173" s="34"/>
      <c r="H173" s="46"/>
      <c r="I173" s="66"/>
      <c r="J173" s="47"/>
      <c r="L173" s="48"/>
    </row>
    <row r="174" spans="2:12" ht="13.2">
      <c r="B174" s="83" t="s">
        <v>1092</v>
      </c>
      <c r="C174" s="34">
        <v>5</v>
      </c>
      <c r="D174" s="38">
        <v>0</v>
      </c>
      <c r="E174" s="34">
        <v>-1</v>
      </c>
      <c r="F174" s="93">
        <v>0.36</v>
      </c>
      <c r="G174" s="34"/>
      <c r="H174" s="46"/>
      <c r="I174" s="66"/>
      <c r="J174" s="47"/>
      <c r="L174" s="48"/>
    </row>
    <row r="175" spans="2:12" ht="13.2">
      <c r="B175" s="83" t="s">
        <v>1097</v>
      </c>
      <c r="C175" s="34">
        <v>4</v>
      </c>
      <c r="D175" s="38">
        <v>0</v>
      </c>
      <c r="E175" s="34">
        <v>-1</v>
      </c>
      <c r="F175" s="93">
        <v>0.34</v>
      </c>
      <c r="G175" s="34"/>
      <c r="H175" s="46"/>
      <c r="I175" s="66"/>
      <c r="J175" s="47"/>
      <c r="L175" s="48"/>
    </row>
    <row r="176" spans="2:12" ht="13.2">
      <c r="B176" s="83" t="s">
        <v>1099</v>
      </c>
      <c r="C176" s="34">
        <v>1</v>
      </c>
      <c r="D176" s="38">
        <v>0</v>
      </c>
      <c r="E176" s="34">
        <v>-1</v>
      </c>
      <c r="F176" s="93">
        <v>0.31</v>
      </c>
      <c r="G176" s="34"/>
      <c r="H176" s="46"/>
      <c r="I176" s="66"/>
      <c r="J176" s="47"/>
      <c r="L176" s="48"/>
    </row>
    <row r="177" spans="2:12" ht="14.4">
      <c r="B177" s="83" t="s">
        <v>1101</v>
      </c>
      <c r="C177" s="34">
        <v>6</v>
      </c>
      <c r="D177" s="38">
        <v>0</v>
      </c>
      <c r="E177" s="34">
        <v>-1</v>
      </c>
      <c r="F177" s="93">
        <v>0.36</v>
      </c>
      <c r="G177" s="34"/>
      <c r="H177" s="46"/>
      <c r="I177" s="67"/>
      <c r="J177" s="47"/>
      <c r="L177" s="48"/>
    </row>
    <row r="178" spans="2:12" ht="13.2">
      <c r="B178" s="83" t="s">
        <v>1107</v>
      </c>
      <c r="C178" s="34">
        <v>4</v>
      </c>
      <c r="D178" s="38">
        <v>0</v>
      </c>
      <c r="E178" s="34">
        <v>-1</v>
      </c>
      <c r="F178" s="93">
        <v>0.3</v>
      </c>
      <c r="G178" s="34"/>
      <c r="H178" s="46"/>
      <c r="I178" s="66"/>
      <c r="J178" s="47"/>
      <c r="L178" s="48"/>
    </row>
    <row r="179" spans="2:12" ht="13.2">
      <c r="B179" s="83" t="s">
        <v>1111</v>
      </c>
      <c r="C179" s="34">
        <v>4</v>
      </c>
      <c r="D179" s="38">
        <v>0</v>
      </c>
      <c r="E179" s="34">
        <v>-1</v>
      </c>
      <c r="F179" s="93">
        <v>0.33</v>
      </c>
      <c r="G179" s="34"/>
      <c r="H179" s="46"/>
      <c r="I179" s="136"/>
      <c r="J179" s="47"/>
      <c r="L179" s="48"/>
    </row>
    <row r="180" spans="2:12" ht="13.2">
      <c r="B180" s="83" t="s">
        <v>1121</v>
      </c>
      <c r="C180" s="34">
        <v>4</v>
      </c>
      <c r="D180" s="38">
        <v>0</v>
      </c>
      <c r="E180" s="34">
        <v>-1</v>
      </c>
      <c r="F180" s="93">
        <v>0.33</v>
      </c>
      <c r="G180" s="34"/>
      <c r="H180" s="46"/>
      <c r="I180" s="138"/>
      <c r="J180" s="47"/>
      <c r="L180" s="48"/>
    </row>
    <row r="181" spans="2:12" ht="13.2">
      <c r="B181" s="83" t="s">
        <v>1131</v>
      </c>
      <c r="C181" s="34">
        <v>5</v>
      </c>
      <c r="D181" s="38">
        <v>0</v>
      </c>
      <c r="E181" s="34">
        <v>-1</v>
      </c>
      <c r="F181" s="93">
        <v>0.33</v>
      </c>
      <c r="G181" s="34"/>
      <c r="H181" s="46"/>
      <c r="I181" s="66"/>
      <c r="J181" s="47"/>
      <c r="L181" s="48"/>
    </row>
    <row r="182" spans="2:12" ht="13.2">
      <c r="B182" s="83" t="s">
        <v>1134</v>
      </c>
      <c r="C182" s="34">
        <v>4</v>
      </c>
      <c r="D182" s="38">
        <v>0</v>
      </c>
      <c r="E182" s="34">
        <v>-1</v>
      </c>
      <c r="F182" s="93">
        <v>0.33</v>
      </c>
      <c r="G182" s="34"/>
      <c r="H182" s="46"/>
      <c r="I182" s="136"/>
      <c r="J182" s="47"/>
      <c r="L182" s="48"/>
    </row>
    <row r="183" spans="2:12" ht="13.2">
      <c r="B183" s="83" t="s">
        <v>1142</v>
      </c>
      <c r="C183" s="34">
        <v>4</v>
      </c>
      <c r="D183" s="38">
        <v>0</v>
      </c>
      <c r="E183" s="34">
        <v>-1</v>
      </c>
      <c r="F183" s="93">
        <v>0.33</v>
      </c>
      <c r="G183" s="34"/>
      <c r="H183" s="46"/>
      <c r="I183" s="136"/>
      <c r="J183" s="47"/>
      <c r="L183" s="48"/>
    </row>
    <row r="184" spans="2:12" ht="13.2">
      <c r="B184" s="83" t="s">
        <v>1144</v>
      </c>
      <c r="C184" s="34">
        <v>4</v>
      </c>
      <c r="D184" s="38">
        <v>0</v>
      </c>
      <c r="E184" s="34">
        <v>-1</v>
      </c>
      <c r="F184" s="93">
        <v>0.33</v>
      </c>
      <c r="G184" s="34"/>
      <c r="H184" s="46"/>
      <c r="I184" s="136"/>
      <c r="J184" s="47"/>
      <c r="L184" s="48"/>
    </row>
    <row r="185" spans="2:12" ht="13.2">
      <c r="B185" s="83" t="s">
        <v>1151</v>
      </c>
      <c r="C185" s="34">
        <v>3</v>
      </c>
      <c r="D185" s="38">
        <v>0</v>
      </c>
      <c r="E185" s="34">
        <v>-1</v>
      </c>
      <c r="F185" s="93">
        <v>0.33</v>
      </c>
      <c r="G185" s="34"/>
      <c r="H185" s="46"/>
      <c r="I185" s="136"/>
      <c r="J185" s="47"/>
      <c r="L185" s="48"/>
    </row>
    <row r="186" spans="2:12" ht="13.2">
      <c r="B186" s="83" t="s">
        <v>1154</v>
      </c>
      <c r="C186" s="34">
        <v>4</v>
      </c>
      <c r="D186" s="38">
        <v>0</v>
      </c>
      <c r="E186" s="34">
        <v>-1</v>
      </c>
      <c r="F186" s="93">
        <v>0.36</v>
      </c>
      <c r="G186" s="34"/>
      <c r="H186" s="46"/>
      <c r="I186" s="136"/>
      <c r="J186" s="47"/>
      <c r="L186" s="48"/>
    </row>
    <row r="187" spans="2:12" ht="13.2">
      <c r="B187" s="83" t="s">
        <v>1156</v>
      </c>
      <c r="C187" s="34">
        <v>2</v>
      </c>
      <c r="D187" s="38">
        <v>0</v>
      </c>
      <c r="E187" s="34">
        <v>-1</v>
      </c>
      <c r="F187" s="93">
        <v>0.31</v>
      </c>
      <c r="G187" s="34"/>
      <c r="H187" s="46"/>
      <c r="I187" s="136"/>
      <c r="J187" s="47"/>
      <c r="L187" s="48"/>
    </row>
    <row r="188" spans="2:12" ht="13.2">
      <c r="B188" s="83" t="s">
        <v>1159</v>
      </c>
      <c r="C188" s="34">
        <v>2</v>
      </c>
      <c r="D188" s="38">
        <v>0</v>
      </c>
      <c r="E188" s="34">
        <v>-1</v>
      </c>
      <c r="F188" s="93">
        <v>0.32</v>
      </c>
      <c r="G188" s="34"/>
      <c r="H188" s="46"/>
      <c r="I188" s="136"/>
      <c r="J188" s="47"/>
      <c r="L188" s="48"/>
    </row>
    <row r="189" spans="2:12" ht="13.2">
      <c r="B189" s="83" t="s">
        <v>1166</v>
      </c>
      <c r="C189" s="34">
        <v>2</v>
      </c>
      <c r="D189" s="38">
        <v>0</v>
      </c>
      <c r="E189" s="34">
        <v>-1</v>
      </c>
      <c r="F189" s="93">
        <v>0.32</v>
      </c>
      <c r="G189" s="34"/>
      <c r="H189" s="46"/>
      <c r="I189" s="136"/>
      <c r="J189" s="47"/>
      <c r="L189" s="48"/>
    </row>
    <row r="190" spans="2:12" ht="13.2">
      <c r="B190" s="83" t="s">
        <v>1167</v>
      </c>
      <c r="C190" s="34">
        <v>4</v>
      </c>
      <c r="D190" s="38">
        <v>0</v>
      </c>
      <c r="E190" s="34">
        <v>-1</v>
      </c>
      <c r="F190" s="93">
        <v>0.33</v>
      </c>
      <c r="G190" s="34"/>
      <c r="H190" s="46"/>
      <c r="I190" s="136"/>
      <c r="J190" s="47"/>
      <c r="L190" s="48"/>
    </row>
    <row r="191" spans="2:12" ht="13.2">
      <c r="B191" s="83" t="s">
        <v>1169</v>
      </c>
      <c r="C191" s="34">
        <v>2</v>
      </c>
      <c r="D191" s="38">
        <v>0</v>
      </c>
      <c r="E191" s="34">
        <v>-1</v>
      </c>
      <c r="F191" s="93">
        <v>0.38</v>
      </c>
      <c r="G191" s="34"/>
      <c r="H191" s="46"/>
      <c r="I191" s="136"/>
      <c r="J191" s="47"/>
      <c r="L191" s="48"/>
    </row>
    <row r="192" spans="2:12" ht="13.2">
      <c r="B192" s="83" t="s">
        <v>1175</v>
      </c>
      <c r="C192" s="34">
        <v>2</v>
      </c>
      <c r="D192" s="38">
        <v>0</v>
      </c>
      <c r="E192" s="34">
        <v>-1</v>
      </c>
      <c r="F192" s="93">
        <v>0.32</v>
      </c>
      <c r="G192" s="34"/>
      <c r="H192" s="46"/>
      <c r="I192" s="136"/>
      <c r="J192" s="141"/>
      <c r="L192" s="48"/>
    </row>
    <row r="193" spans="2:12" ht="13.2">
      <c r="B193" s="83" t="s">
        <v>1179</v>
      </c>
      <c r="C193" s="34">
        <v>2</v>
      </c>
      <c r="D193" s="38">
        <v>0</v>
      </c>
      <c r="E193" s="34">
        <v>-1</v>
      </c>
      <c r="F193" s="93">
        <v>0.32</v>
      </c>
      <c r="G193" s="34"/>
      <c r="H193" s="46"/>
      <c r="I193" s="142"/>
      <c r="J193" s="141"/>
      <c r="L193" s="48"/>
    </row>
    <row r="194" spans="2:12" ht="13.2">
      <c r="B194" s="83" t="s">
        <v>1181</v>
      </c>
      <c r="C194" s="34">
        <v>4</v>
      </c>
      <c r="D194" s="38">
        <v>0</v>
      </c>
      <c r="E194" s="34">
        <v>-1</v>
      </c>
      <c r="F194" s="93">
        <v>0.32</v>
      </c>
      <c r="G194" s="34"/>
      <c r="H194" s="46"/>
      <c r="I194" s="142"/>
      <c r="J194" s="141"/>
      <c r="L194" s="48"/>
    </row>
    <row r="195" spans="2:12" ht="13.2">
      <c r="B195" s="83" t="s">
        <v>1185</v>
      </c>
      <c r="C195" s="34">
        <v>4</v>
      </c>
      <c r="D195" s="38">
        <v>0</v>
      </c>
      <c r="E195" s="34">
        <v>-1</v>
      </c>
      <c r="F195" s="93">
        <v>0.35</v>
      </c>
      <c r="G195" s="34"/>
      <c r="H195" s="46"/>
      <c r="I195" s="142"/>
      <c r="J195" s="141"/>
      <c r="L195" s="48"/>
    </row>
    <row r="196" spans="2:12" ht="13.2">
      <c r="B196" s="83" t="s">
        <v>1188</v>
      </c>
      <c r="C196" s="34">
        <v>5</v>
      </c>
      <c r="D196" s="38">
        <v>0</v>
      </c>
      <c r="E196" s="34">
        <v>-1</v>
      </c>
      <c r="F196" s="93">
        <v>0.33</v>
      </c>
      <c r="G196" s="34"/>
      <c r="H196" s="46"/>
      <c r="I196" s="142"/>
      <c r="J196" s="141"/>
      <c r="L196" s="48"/>
    </row>
    <row r="197" spans="2:12" ht="13.2">
      <c r="B197" s="83" t="s">
        <v>1194</v>
      </c>
      <c r="C197" s="34">
        <v>5</v>
      </c>
      <c r="D197" s="38">
        <v>4</v>
      </c>
      <c r="E197" s="34">
        <v>-1</v>
      </c>
      <c r="F197" s="93">
        <v>0.33</v>
      </c>
      <c r="G197" s="34"/>
      <c r="H197" s="46"/>
      <c r="I197" s="142"/>
      <c r="J197" s="141"/>
      <c r="L197" s="48"/>
    </row>
    <row r="198" spans="2:12" ht="13.2">
      <c r="B198" s="83" t="s">
        <v>1196</v>
      </c>
      <c r="C198" s="34">
        <v>4</v>
      </c>
      <c r="D198" s="38">
        <v>0</v>
      </c>
      <c r="E198" s="34">
        <v>-1</v>
      </c>
      <c r="F198" s="93">
        <v>0.33</v>
      </c>
      <c r="G198" s="34"/>
      <c r="H198" s="46"/>
      <c r="I198" s="142"/>
      <c r="J198" s="141"/>
      <c r="L198" s="48"/>
    </row>
    <row r="199" spans="2:12" ht="13.2">
      <c r="B199" s="83" t="s">
        <v>1197</v>
      </c>
      <c r="C199" s="34">
        <v>4</v>
      </c>
      <c r="D199" s="38">
        <v>0</v>
      </c>
      <c r="E199" s="34">
        <v>-1</v>
      </c>
      <c r="F199" s="93">
        <v>0.33</v>
      </c>
      <c r="G199" s="34"/>
      <c r="H199" s="46"/>
      <c r="I199" s="142"/>
      <c r="J199" s="141"/>
      <c r="L199" s="48"/>
    </row>
    <row r="200" spans="2:12" ht="13.2">
      <c r="B200" s="83" t="s">
        <v>1207</v>
      </c>
      <c r="C200" s="34">
        <v>6</v>
      </c>
      <c r="D200" s="38">
        <v>0</v>
      </c>
      <c r="E200" s="34">
        <v>-1</v>
      </c>
      <c r="F200" s="93">
        <v>0.22</v>
      </c>
      <c r="G200" s="34"/>
      <c r="H200" s="46"/>
      <c r="I200" s="142"/>
      <c r="J200" s="141"/>
      <c r="L200" s="48"/>
    </row>
    <row r="201" spans="2:12" ht="13.2">
      <c r="B201" s="83" t="s">
        <v>1212</v>
      </c>
      <c r="C201" s="34">
        <v>3</v>
      </c>
      <c r="D201" s="38">
        <v>0</v>
      </c>
      <c r="E201" s="34">
        <v>-1</v>
      </c>
      <c r="F201" s="93">
        <v>0.33</v>
      </c>
      <c r="G201" s="34"/>
      <c r="H201" s="46"/>
      <c r="I201" s="142"/>
      <c r="J201" s="141"/>
      <c r="L201" s="48"/>
    </row>
    <row r="202" spans="2:12" ht="13.2">
      <c r="B202" s="83" t="s">
        <v>1219</v>
      </c>
      <c r="C202" s="34">
        <v>3</v>
      </c>
      <c r="D202" s="38">
        <v>0</v>
      </c>
      <c r="E202" s="34">
        <v>-1</v>
      </c>
      <c r="F202" s="93">
        <v>0.33</v>
      </c>
      <c r="G202" s="34"/>
      <c r="H202" s="46"/>
      <c r="I202" s="142"/>
      <c r="J202" s="141"/>
      <c r="L202" s="48"/>
    </row>
    <row r="203" spans="2:12" ht="13.2">
      <c r="B203" s="83" t="s">
        <v>1221</v>
      </c>
      <c r="C203" s="34">
        <v>3</v>
      </c>
      <c r="D203" s="38">
        <v>0</v>
      </c>
      <c r="E203" s="34">
        <v>-1</v>
      </c>
      <c r="F203" s="93">
        <v>0.34</v>
      </c>
      <c r="G203" s="34"/>
      <c r="H203" s="46"/>
      <c r="I203" s="142"/>
      <c r="J203" s="141"/>
      <c r="L203" s="48"/>
    </row>
    <row r="204" spans="2:12" ht="14.4">
      <c r="B204" s="146" t="s">
        <v>1224</v>
      </c>
      <c r="C204" s="34">
        <v>1</v>
      </c>
      <c r="D204" s="38">
        <v>0</v>
      </c>
      <c r="E204" s="34">
        <v>-1</v>
      </c>
      <c r="F204" s="93">
        <v>0.34</v>
      </c>
      <c r="G204" s="34"/>
      <c r="H204" s="46"/>
      <c r="J204" s="46"/>
    </row>
    <row r="205" spans="2:12" ht="14.4">
      <c r="B205" s="146" t="s">
        <v>1233</v>
      </c>
      <c r="C205" s="34">
        <v>1</v>
      </c>
      <c r="D205" s="38">
        <v>0</v>
      </c>
      <c r="E205" s="34">
        <v>-1</v>
      </c>
      <c r="F205" s="93">
        <v>0.38</v>
      </c>
      <c r="G205" s="34"/>
      <c r="H205" s="46"/>
      <c r="I205" s="142"/>
      <c r="J205" s="141"/>
      <c r="L205" s="48"/>
    </row>
    <row r="206" spans="2:12" ht="14.4">
      <c r="B206" s="146" t="s">
        <v>1241</v>
      </c>
      <c r="C206" s="34">
        <v>1</v>
      </c>
      <c r="D206" s="38">
        <v>0</v>
      </c>
      <c r="E206" s="34">
        <v>-1</v>
      </c>
      <c r="F206" s="93">
        <v>0.32</v>
      </c>
      <c r="G206" s="34"/>
      <c r="H206" s="46"/>
      <c r="J206" s="46"/>
    </row>
    <row r="207" spans="2:12" ht="14.4">
      <c r="B207" s="146" t="s">
        <v>1244</v>
      </c>
      <c r="C207" s="34">
        <v>1</v>
      </c>
      <c r="D207" s="38">
        <v>0</v>
      </c>
      <c r="E207" s="34">
        <v>-1</v>
      </c>
      <c r="F207" s="93">
        <v>0.26</v>
      </c>
      <c r="G207" s="34"/>
      <c r="H207" s="46"/>
      <c r="I207" s="142"/>
      <c r="J207" s="141"/>
      <c r="L207" s="48"/>
    </row>
    <row r="208" spans="2:12" ht="14.4">
      <c r="B208" s="146" t="s">
        <v>1246</v>
      </c>
      <c r="C208" s="34">
        <v>4</v>
      </c>
      <c r="D208" s="38">
        <v>0</v>
      </c>
      <c r="E208" s="34">
        <v>-1</v>
      </c>
      <c r="F208" s="93">
        <v>0.32</v>
      </c>
      <c r="G208" s="34"/>
      <c r="H208" s="46"/>
      <c r="I208" s="142"/>
      <c r="J208" s="141"/>
      <c r="L208" s="48"/>
    </row>
    <row r="209" spans="2:12" ht="13.2">
      <c r="B209" s="34" t="s">
        <v>1251</v>
      </c>
      <c r="C209" s="34">
        <v>4</v>
      </c>
      <c r="D209" s="38">
        <v>0</v>
      </c>
      <c r="E209" s="34">
        <v>-1</v>
      </c>
      <c r="F209" s="34">
        <v>0.38</v>
      </c>
      <c r="G209" s="34"/>
      <c r="H209" s="46"/>
      <c r="I209" s="142"/>
      <c r="J209" s="141"/>
      <c r="L209" s="48"/>
    </row>
    <row r="210" spans="2:12" ht="13.2">
      <c r="B210" s="34" t="s">
        <v>1257</v>
      </c>
      <c r="C210" s="34">
        <v>2</v>
      </c>
      <c r="D210" s="38">
        <v>0</v>
      </c>
      <c r="E210" s="34">
        <v>-1</v>
      </c>
      <c r="F210" s="34">
        <v>0.34</v>
      </c>
      <c r="G210" s="34"/>
      <c r="H210" s="46"/>
      <c r="I210" s="142"/>
      <c r="J210" s="141"/>
      <c r="L210" s="48"/>
    </row>
    <row r="211" spans="2:12" ht="13.2">
      <c r="B211" s="34" t="s">
        <v>1259</v>
      </c>
      <c r="C211" s="34">
        <v>4</v>
      </c>
      <c r="D211" s="38">
        <v>0</v>
      </c>
      <c r="E211" s="34">
        <v>-1</v>
      </c>
      <c r="F211" s="34">
        <v>0.34</v>
      </c>
      <c r="G211" s="34"/>
      <c r="H211" s="46"/>
      <c r="I211" s="142"/>
      <c r="J211" s="141"/>
      <c r="L211" s="48"/>
    </row>
    <row r="212" spans="2:12" ht="13.2">
      <c r="B212" s="34" t="s">
        <v>1264</v>
      </c>
      <c r="C212" s="34">
        <v>2</v>
      </c>
      <c r="D212" s="38">
        <v>0</v>
      </c>
      <c r="E212" s="34">
        <v>-1</v>
      </c>
      <c r="F212" s="34">
        <v>0.09</v>
      </c>
      <c r="G212" s="34"/>
      <c r="H212" s="46"/>
      <c r="I212" s="142"/>
      <c r="J212" s="141"/>
      <c r="L212" s="48"/>
    </row>
    <row r="213" spans="2:12" ht="13.2">
      <c r="B213" s="34" t="s">
        <v>1268</v>
      </c>
      <c r="C213" s="34">
        <v>2</v>
      </c>
      <c r="D213" s="38">
        <v>0</v>
      </c>
      <c r="E213" s="34">
        <v>-1</v>
      </c>
      <c r="F213" s="34">
        <v>0.33</v>
      </c>
      <c r="G213" s="34"/>
      <c r="H213" s="46"/>
      <c r="I213" s="142"/>
      <c r="J213" s="141"/>
      <c r="L213" s="48"/>
    </row>
    <row r="214" spans="2:12" ht="13.2">
      <c r="B214" s="83" t="s">
        <v>1273</v>
      </c>
      <c r="C214" s="34">
        <v>4</v>
      </c>
      <c r="D214" s="38">
        <v>0</v>
      </c>
      <c r="E214" s="34">
        <v>-1</v>
      </c>
      <c r="F214" s="34">
        <v>0.36</v>
      </c>
      <c r="G214" s="34"/>
      <c r="H214" s="46"/>
      <c r="I214" s="142"/>
      <c r="J214" s="141"/>
      <c r="L214" s="48"/>
    </row>
    <row r="215" spans="2:12" ht="13.2">
      <c r="B215" s="83" t="s">
        <v>1280</v>
      </c>
      <c r="C215" s="34">
        <v>2</v>
      </c>
      <c r="D215" s="38">
        <v>0</v>
      </c>
      <c r="E215" s="34">
        <v>-1</v>
      </c>
      <c r="F215" s="34">
        <v>0.25</v>
      </c>
      <c r="G215" s="34"/>
      <c r="H215" s="46"/>
      <c r="I215" s="142"/>
      <c r="J215" s="141"/>
      <c r="L215" s="48"/>
    </row>
    <row r="216" spans="2:12" ht="13.2">
      <c r="B216" s="83" t="s">
        <v>1286</v>
      </c>
      <c r="C216" s="34">
        <v>2</v>
      </c>
      <c r="D216" s="38">
        <v>0</v>
      </c>
      <c r="E216" s="34">
        <v>-1</v>
      </c>
      <c r="F216" s="34">
        <v>0.15</v>
      </c>
      <c r="G216" s="34"/>
      <c r="H216" s="46"/>
      <c r="I216" s="142"/>
      <c r="J216" s="141"/>
      <c r="L216" s="48"/>
    </row>
    <row r="217" spans="2:12" ht="13.2">
      <c r="B217" s="83" t="s">
        <v>1287</v>
      </c>
      <c r="C217" s="34">
        <v>3</v>
      </c>
      <c r="D217" s="38">
        <v>0</v>
      </c>
      <c r="E217" s="34">
        <v>-1</v>
      </c>
      <c r="F217" s="34">
        <v>0.31</v>
      </c>
      <c r="G217" s="34"/>
      <c r="H217" s="46"/>
      <c r="I217" s="142"/>
      <c r="J217" s="141"/>
      <c r="L217" s="48"/>
    </row>
    <row r="218" spans="2:12" ht="13.2">
      <c r="B218" s="83" t="s">
        <v>1291</v>
      </c>
      <c r="C218" s="34">
        <v>2</v>
      </c>
      <c r="D218" s="38">
        <v>0</v>
      </c>
      <c r="E218" s="34">
        <v>-1</v>
      </c>
      <c r="F218" s="34">
        <v>0.1</v>
      </c>
      <c r="G218" s="34"/>
      <c r="H218" s="46"/>
      <c r="I218" s="142"/>
      <c r="J218" s="141"/>
      <c r="L218" s="48"/>
    </row>
    <row r="219" spans="2:12" ht="13.2">
      <c r="B219" s="83" t="s">
        <v>1295</v>
      </c>
      <c r="C219" s="34">
        <v>2</v>
      </c>
      <c r="D219" s="38">
        <v>0</v>
      </c>
      <c r="E219" s="34">
        <v>-1</v>
      </c>
      <c r="F219" s="34">
        <v>0.33</v>
      </c>
      <c r="G219" s="34"/>
      <c r="H219" s="46"/>
      <c r="I219" s="142"/>
      <c r="J219" s="141"/>
      <c r="L219" s="48"/>
    </row>
    <row r="220" spans="2:12" ht="13.2">
      <c r="B220" s="83" t="s">
        <v>1296</v>
      </c>
      <c r="C220" s="34">
        <v>2</v>
      </c>
      <c r="D220" s="38">
        <v>0</v>
      </c>
      <c r="E220" s="34">
        <v>-1</v>
      </c>
      <c r="F220" s="34">
        <v>0.08</v>
      </c>
      <c r="G220" s="34"/>
      <c r="H220" s="46"/>
      <c r="I220" s="142"/>
      <c r="J220" s="141"/>
      <c r="L220" s="48"/>
    </row>
    <row r="221" spans="2:12" ht="13.2">
      <c r="B221" s="83" t="s">
        <v>1302</v>
      </c>
      <c r="C221" s="34">
        <v>1</v>
      </c>
      <c r="D221" s="38">
        <v>3</v>
      </c>
      <c r="E221" s="34">
        <v>1</v>
      </c>
      <c r="F221" s="34">
        <v>0.3</v>
      </c>
      <c r="G221" s="34"/>
      <c r="H221" s="46"/>
      <c r="I221" s="142"/>
      <c r="J221" s="141"/>
      <c r="L221" s="48"/>
    </row>
    <row r="222" spans="2:12" ht="13.2">
      <c r="B222" s="83" t="s">
        <v>1305</v>
      </c>
      <c r="C222" s="34">
        <v>4</v>
      </c>
      <c r="D222" s="38">
        <v>0</v>
      </c>
      <c r="E222" s="34">
        <v>-1</v>
      </c>
      <c r="F222" s="34">
        <v>0.33</v>
      </c>
      <c r="G222" s="34"/>
      <c r="H222" s="46"/>
      <c r="I222" s="142"/>
      <c r="J222" s="141"/>
      <c r="L222" s="48"/>
    </row>
    <row r="223" spans="2:12" ht="13.2">
      <c r="B223" s="83" t="s">
        <v>1309</v>
      </c>
      <c r="C223" s="34">
        <v>4</v>
      </c>
      <c r="D223" s="38">
        <v>0</v>
      </c>
      <c r="E223" s="34">
        <v>-1</v>
      </c>
      <c r="F223" s="34">
        <v>0.33</v>
      </c>
      <c r="G223" s="34"/>
      <c r="H223" s="46"/>
      <c r="I223" s="142"/>
      <c r="J223" s="141"/>
      <c r="L223" s="48"/>
    </row>
    <row r="224" spans="2:12" ht="13.2">
      <c r="B224" s="83" t="s">
        <v>1315</v>
      </c>
      <c r="C224" s="34">
        <v>4</v>
      </c>
      <c r="D224" s="38">
        <v>0</v>
      </c>
      <c r="E224" s="34">
        <v>-1</v>
      </c>
      <c r="F224" s="34">
        <v>0.33</v>
      </c>
      <c r="G224" s="34"/>
      <c r="H224" s="46"/>
      <c r="I224" s="142"/>
      <c r="J224" s="141"/>
      <c r="L224" s="48"/>
    </row>
    <row r="225" spans="2:12" ht="13.2">
      <c r="B225" s="34" t="s">
        <v>1316</v>
      </c>
      <c r="C225" s="34">
        <v>3</v>
      </c>
      <c r="D225" s="38">
        <v>0</v>
      </c>
      <c r="E225" s="34">
        <v>-1</v>
      </c>
      <c r="F225" s="93">
        <v>0.27</v>
      </c>
      <c r="G225" s="34"/>
      <c r="H225" s="46"/>
      <c r="I225" s="142"/>
      <c r="J225" s="141"/>
      <c r="L225" s="48"/>
    </row>
    <row r="226" spans="2:12" ht="14.4">
      <c r="B226" s="146" t="s">
        <v>1318</v>
      </c>
      <c r="C226" s="150">
        <v>3</v>
      </c>
      <c r="D226" s="38">
        <v>0</v>
      </c>
      <c r="E226" s="34">
        <v>-1</v>
      </c>
      <c r="F226" s="41">
        <v>0.36</v>
      </c>
      <c r="G226" s="34"/>
      <c r="H226" s="46"/>
      <c r="I226" s="142"/>
      <c r="J226" s="141"/>
      <c r="L226" s="48"/>
    </row>
    <row r="227" spans="2:12" ht="14.4">
      <c r="B227" s="146" t="s">
        <v>1325</v>
      </c>
      <c r="C227" s="150">
        <v>4</v>
      </c>
      <c r="D227" s="38">
        <v>0</v>
      </c>
      <c r="E227" s="34">
        <v>-1</v>
      </c>
      <c r="F227" s="41">
        <v>0.37</v>
      </c>
      <c r="G227" s="34"/>
      <c r="H227" s="46"/>
      <c r="I227" s="142"/>
      <c r="J227" s="141"/>
      <c r="L227" s="48"/>
    </row>
    <row r="228" spans="2:12" ht="14.4">
      <c r="B228" s="146" t="s">
        <v>1327</v>
      </c>
      <c r="C228" s="150">
        <v>3</v>
      </c>
      <c r="D228" s="38">
        <v>0</v>
      </c>
      <c r="E228" s="34">
        <v>-1</v>
      </c>
      <c r="F228" s="41">
        <v>0.36</v>
      </c>
      <c r="G228" s="34"/>
      <c r="H228" s="46"/>
      <c r="I228" s="142"/>
      <c r="J228" s="141"/>
      <c r="L228" s="48"/>
    </row>
    <row r="229" spans="2:12" ht="14.4">
      <c r="B229" s="146" t="s">
        <v>1333</v>
      </c>
      <c r="C229" s="150">
        <v>3</v>
      </c>
      <c r="D229" s="38">
        <v>0</v>
      </c>
      <c r="E229" s="34">
        <v>-1</v>
      </c>
      <c r="F229" s="41">
        <v>0.37</v>
      </c>
      <c r="G229" s="34"/>
      <c r="H229" s="46"/>
      <c r="I229" s="142"/>
      <c r="J229" s="141"/>
      <c r="L229" s="48"/>
    </row>
    <row r="230" spans="2:12" ht="14.4">
      <c r="B230" s="146" t="s">
        <v>1334</v>
      </c>
      <c r="C230" s="150">
        <v>1</v>
      </c>
      <c r="D230" s="38">
        <v>0</v>
      </c>
      <c r="E230" s="34">
        <v>-1</v>
      </c>
      <c r="F230" s="41">
        <v>0.33</v>
      </c>
      <c r="G230" s="34"/>
      <c r="H230" s="46"/>
      <c r="I230" s="142"/>
      <c r="J230" s="141"/>
      <c r="L230" s="48"/>
    </row>
    <row r="231" spans="2:12" ht="14.4">
      <c r="B231" s="146" t="s">
        <v>1337</v>
      </c>
      <c r="C231" s="150">
        <v>1</v>
      </c>
      <c r="D231" s="38">
        <v>0</v>
      </c>
      <c r="E231" s="34">
        <v>-1</v>
      </c>
      <c r="F231" s="41">
        <v>0.33</v>
      </c>
      <c r="G231" s="34"/>
      <c r="H231" s="46"/>
      <c r="I231" s="142"/>
      <c r="J231" s="141"/>
      <c r="L231" s="48"/>
    </row>
    <row r="232" spans="2:12" ht="14.4">
      <c r="B232" s="146" t="s">
        <v>1339</v>
      </c>
      <c r="C232" s="150">
        <v>1</v>
      </c>
      <c r="D232" s="38">
        <v>0</v>
      </c>
      <c r="E232" s="34">
        <v>-1</v>
      </c>
      <c r="F232" s="41">
        <v>0.33</v>
      </c>
      <c r="G232" s="34"/>
      <c r="H232" s="46"/>
      <c r="I232" s="142"/>
      <c r="J232" s="141"/>
      <c r="L232" s="48"/>
    </row>
    <row r="233" spans="2:12" ht="14.4">
      <c r="B233" s="146" t="s">
        <v>1343</v>
      </c>
      <c r="C233" s="150">
        <v>2</v>
      </c>
      <c r="D233" s="38">
        <v>0</v>
      </c>
      <c r="E233" s="34">
        <v>-1</v>
      </c>
      <c r="F233" s="41">
        <v>0.32</v>
      </c>
      <c r="G233" s="34"/>
      <c r="H233" s="46"/>
      <c r="I233" s="142"/>
      <c r="J233" s="141"/>
      <c r="L233" s="48"/>
    </row>
    <row r="234" spans="2:12" ht="14.4">
      <c r="B234" s="146" t="s">
        <v>1349</v>
      </c>
      <c r="C234" s="150">
        <v>2</v>
      </c>
      <c r="D234" s="38">
        <v>0</v>
      </c>
      <c r="E234" s="34">
        <v>-1</v>
      </c>
      <c r="F234" s="41">
        <v>0.33</v>
      </c>
      <c r="G234" s="34"/>
      <c r="H234" s="46"/>
      <c r="I234" s="142"/>
      <c r="J234" s="141"/>
      <c r="L234" s="48"/>
    </row>
    <row r="235" spans="2:12" ht="14.4">
      <c r="B235" s="146" t="s">
        <v>1354</v>
      </c>
      <c r="C235" s="150">
        <v>2</v>
      </c>
      <c r="D235" s="38">
        <v>0</v>
      </c>
      <c r="E235" s="34">
        <v>-1</v>
      </c>
      <c r="F235" s="41">
        <v>0.33</v>
      </c>
      <c r="G235" s="34"/>
      <c r="H235" s="46"/>
      <c r="I235" s="142"/>
      <c r="J235" s="141"/>
      <c r="L235" s="48"/>
    </row>
    <row r="236" spans="2:12" ht="14.4">
      <c r="B236" s="146" t="s">
        <v>1357</v>
      </c>
      <c r="C236" s="150">
        <v>1</v>
      </c>
      <c r="D236" s="38">
        <v>0</v>
      </c>
      <c r="E236" s="34">
        <v>-1</v>
      </c>
      <c r="F236" s="41">
        <v>0.31</v>
      </c>
      <c r="G236" s="34"/>
      <c r="H236" s="46"/>
      <c r="I236" s="142"/>
      <c r="J236" s="141"/>
      <c r="L236" s="48"/>
    </row>
    <row r="237" spans="2:12" ht="14.4">
      <c r="B237" s="146" t="s">
        <v>1362</v>
      </c>
      <c r="C237" s="150">
        <v>4</v>
      </c>
      <c r="D237" s="38">
        <v>0</v>
      </c>
      <c r="E237" s="34">
        <v>-1</v>
      </c>
      <c r="F237" s="41">
        <v>0.39</v>
      </c>
      <c r="G237" s="34"/>
      <c r="H237" s="46"/>
      <c r="I237" s="142"/>
      <c r="J237" s="141"/>
      <c r="L237" s="48"/>
    </row>
    <row r="238" spans="2:12" ht="14.4">
      <c r="B238" s="146" t="s">
        <v>1364</v>
      </c>
      <c r="C238" s="150">
        <v>3</v>
      </c>
      <c r="D238" s="38">
        <v>0</v>
      </c>
      <c r="E238" s="34">
        <v>-1</v>
      </c>
      <c r="F238" s="41">
        <v>0.38</v>
      </c>
      <c r="G238" s="34"/>
      <c r="H238" s="46"/>
      <c r="I238" s="142"/>
      <c r="J238" s="141"/>
      <c r="L238" s="48"/>
    </row>
    <row r="239" spans="2:12" ht="14.4">
      <c r="B239" s="146" t="s">
        <v>1366</v>
      </c>
      <c r="C239" s="150">
        <v>2</v>
      </c>
      <c r="D239" s="38">
        <v>0</v>
      </c>
      <c r="E239" s="34">
        <v>-1</v>
      </c>
      <c r="F239" s="41">
        <v>0.34</v>
      </c>
      <c r="G239" s="34"/>
      <c r="H239" s="46"/>
      <c r="I239" s="142"/>
      <c r="J239" s="141"/>
      <c r="L239" s="48"/>
    </row>
    <row r="240" spans="2:12" ht="14.4">
      <c r="B240" s="146" t="s">
        <v>1372</v>
      </c>
      <c r="C240" s="150">
        <v>2</v>
      </c>
      <c r="D240" s="38">
        <v>0</v>
      </c>
      <c r="E240" s="34">
        <v>-1</v>
      </c>
      <c r="F240" s="41">
        <v>0.34</v>
      </c>
      <c r="G240" s="34"/>
      <c r="H240" s="46"/>
      <c r="I240" s="142"/>
      <c r="J240" s="141"/>
      <c r="L240" s="48"/>
    </row>
    <row r="241" spans="2:12" ht="14.4">
      <c r="B241" s="146" t="s">
        <v>1376</v>
      </c>
      <c r="C241" s="150">
        <v>2</v>
      </c>
      <c r="D241" s="38">
        <v>0</v>
      </c>
      <c r="E241" s="34">
        <v>-1</v>
      </c>
      <c r="F241" s="41">
        <v>0.34</v>
      </c>
      <c r="G241" s="34"/>
      <c r="H241" s="46"/>
      <c r="I241" s="142"/>
      <c r="J241" s="141"/>
      <c r="L241" s="48"/>
    </row>
    <row r="242" spans="2:12" ht="14.4">
      <c r="B242" s="146" t="s">
        <v>1384</v>
      </c>
      <c r="C242" s="150">
        <v>5</v>
      </c>
      <c r="D242" s="38">
        <v>0</v>
      </c>
      <c r="E242" s="34">
        <v>-1</v>
      </c>
      <c r="F242" s="41">
        <v>0.39</v>
      </c>
      <c r="G242" s="34"/>
      <c r="H242" s="46"/>
      <c r="I242" s="142"/>
      <c r="J242" s="141"/>
      <c r="L242" s="48"/>
    </row>
    <row r="243" spans="2:12" ht="14.4">
      <c r="B243" s="146" t="s">
        <v>1386</v>
      </c>
      <c r="C243" s="150">
        <v>4</v>
      </c>
      <c r="D243" s="38">
        <v>0</v>
      </c>
      <c r="E243" s="34">
        <v>-1</v>
      </c>
      <c r="F243" s="41">
        <v>0.39</v>
      </c>
      <c r="G243" s="34"/>
      <c r="H243" s="46"/>
      <c r="I243" s="142"/>
      <c r="J243" s="141"/>
      <c r="L243" s="48"/>
    </row>
    <row r="244" spans="2:12" ht="14.4">
      <c r="B244" s="146" t="s">
        <v>1388</v>
      </c>
      <c r="C244" s="150">
        <v>2</v>
      </c>
      <c r="D244" s="38">
        <v>0</v>
      </c>
      <c r="E244" s="34">
        <v>-1</v>
      </c>
      <c r="F244" s="41">
        <v>0.33</v>
      </c>
      <c r="G244" s="34"/>
      <c r="H244" s="46"/>
      <c r="I244" s="142"/>
      <c r="J244" s="141"/>
      <c r="L244" s="48"/>
    </row>
    <row r="245" spans="2:12" ht="14.4">
      <c r="B245" s="146" t="s">
        <v>1396</v>
      </c>
      <c r="C245" s="150">
        <v>2</v>
      </c>
      <c r="D245" s="38">
        <v>0</v>
      </c>
      <c r="E245" s="34">
        <v>-1</v>
      </c>
      <c r="F245" s="41">
        <v>0.32</v>
      </c>
      <c r="G245" s="34"/>
      <c r="H245" s="46"/>
      <c r="I245" s="142"/>
      <c r="J245" s="146"/>
      <c r="L245" s="48"/>
    </row>
    <row r="246" spans="2:12" ht="14.4">
      <c r="B246" s="146" t="s">
        <v>1398</v>
      </c>
      <c r="C246" s="150">
        <v>2</v>
      </c>
      <c r="D246" s="38">
        <v>0</v>
      </c>
      <c r="E246" s="34">
        <v>-1</v>
      </c>
      <c r="F246" s="41">
        <v>0.33</v>
      </c>
      <c r="G246" s="34"/>
      <c r="H246" s="46"/>
      <c r="I246" s="142"/>
      <c r="J246" s="141"/>
      <c r="L246" s="48"/>
    </row>
    <row r="247" spans="2:12" ht="14.4">
      <c r="B247" s="146" t="s">
        <v>1401</v>
      </c>
      <c r="C247" s="150">
        <v>2</v>
      </c>
      <c r="D247" s="38">
        <v>0</v>
      </c>
      <c r="E247" s="34">
        <v>-1</v>
      </c>
      <c r="F247" s="41">
        <v>0.33</v>
      </c>
      <c r="G247" s="34"/>
      <c r="H247" s="46"/>
      <c r="I247" s="142"/>
      <c r="J247" s="141"/>
      <c r="L247" s="48"/>
    </row>
    <row r="248" spans="2:12" ht="14.4">
      <c r="B248" s="146" t="s">
        <v>1409</v>
      </c>
      <c r="C248" s="150">
        <v>4</v>
      </c>
      <c r="D248" s="38">
        <v>3</v>
      </c>
      <c r="E248" s="34">
        <v>-1</v>
      </c>
      <c r="F248" s="41">
        <v>0.38</v>
      </c>
      <c r="G248" s="34"/>
      <c r="H248" s="46"/>
      <c r="I248" s="142"/>
      <c r="J248" s="141"/>
      <c r="L248" s="48"/>
    </row>
    <row r="249" spans="2:12" ht="13.2">
      <c r="B249" s="123"/>
      <c r="F249" s="156"/>
      <c r="I249" s="142"/>
      <c r="J249" s="157"/>
      <c r="L249" s="48"/>
    </row>
    <row r="250" spans="2:12" ht="13.2">
      <c r="B250" s="123"/>
      <c r="F250" s="156"/>
      <c r="I250" s="142"/>
      <c r="J250" s="157"/>
      <c r="L250" s="48"/>
    </row>
    <row r="251" spans="2:12" ht="13.2">
      <c r="B251" s="123"/>
      <c r="F251" s="156"/>
      <c r="I251" s="142"/>
      <c r="J251" s="157"/>
      <c r="L251" s="48"/>
    </row>
    <row r="252" spans="2:12" ht="13.2">
      <c r="B252" s="123"/>
      <c r="F252" s="156"/>
      <c r="I252" s="142"/>
      <c r="J252" s="157"/>
      <c r="L252" s="48"/>
    </row>
    <row r="253" spans="2:12" ht="13.2">
      <c r="B253" s="123"/>
      <c r="F253" s="156"/>
      <c r="I253" s="142"/>
      <c r="J253" s="157"/>
      <c r="L253" s="48"/>
    </row>
    <row r="254" spans="2:12" ht="13.2">
      <c r="B254" s="123"/>
      <c r="F254" s="156"/>
      <c r="I254" s="142"/>
      <c r="J254" s="157"/>
      <c r="L254" s="48"/>
    </row>
    <row r="255" spans="2:12" ht="13.2">
      <c r="B255" s="123"/>
      <c r="F255" s="156"/>
      <c r="I255" s="142"/>
      <c r="J255" s="157"/>
      <c r="L255" s="48"/>
    </row>
    <row r="256" spans="2:12" ht="13.2">
      <c r="B256" s="123"/>
      <c r="F256" s="156"/>
      <c r="I256" s="142"/>
      <c r="J256" s="157"/>
      <c r="L256" s="48"/>
    </row>
    <row r="257" spans="2:12" ht="13.2">
      <c r="B257" s="123"/>
      <c r="F257" s="156"/>
      <c r="I257" s="142"/>
      <c r="J257" s="157"/>
      <c r="L257" s="48"/>
    </row>
    <row r="258" spans="2:12" ht="13.2">
      <c r="B258" s="123"/>
      <c r="F258" s="156"/>
      <c r="I258" s="142"/>
      <c r="J258" s="157"/>
      <c r="L258" s="48"/>
    </row>
    <row r="259" spans="2:12" ht="13.2">
      <c r="B259" s="123"/>
      <c r="F259" s="156"/>
      <c r="I259" s="142"/>
      <c r="J259" s="157"/>
      <c r="L259" s="48"/>
    </row>
    <row r="260" spans="2:12" ht="13.2">
      <c r="B260" s="123"/>
      <c r="F260" s="156"/>
      <c r="I260" s="142"/>
      <c r="J260" s="157"/>
      <c r="L260" s="48"/>
    </row>
    <row r="261" spans="2:12" ht="13.2">
      <c r="B261" s="123"/>
      <c r="F261" s="156"/>
      <c r="I261" s="142"/>
      <c r="J261" s="157"/>
      <c r="L261" s="48"/>
    </row>
    <row r="262" spans="2:12" ht="13.2">
      <c r="B262" s="123"/>
      <c r="F262" s="156"/>
      <c r="I262" s="142"/>
      <c r="J262" s="157"/>
      <c r="L262" s="48"/>
    </row>
    <row r="263" spans="2:12" ht="13.2">
      <c r="B263" s="123"/>
      <c r="F263" s="156"/>
      <c r="I263" s="142"/>
      <c r="J263" s="157"/>
      <c r="L263" s="48"/>
    </row>
    <row r="264" spans="2:12" ht="13.2">
      <c r="B264" s="123"/>
      <c r="F264" s="156"/>
      <c r="I264" s="142"/>
      <c r="J264" s="157"/>
      <c r="L264" s="48"/>
    </row>
    <row r="265" spans="2:12" ht="13.2">
      <c r="B265" s="123"/>
      <c r="F265" s="156"/>
      <c r="I265" s="142"/>
      <c r="J265" s="157"/>
      <c r="L265" s="48"/>
    </row>
    <row r="266" spans="2:12" ht="13.2">
      <c r="B266" s="123"/>
      <c r="F266" s="156"/>
      <c r="I266" s="142"/>
      <c r="J266" s="157"/>
      <c r="L266" s="48"/>
    </row>
    <row r="267" spans="2:12" ht="13.2">
      <c r="B267" s="123"/>
      <c r="F267" s="156"/>
      <c r="I267" s="142"/>
      <c r="J267" s="157"/>
      <c r="L267" s="48"/>
    </row>
    <row r="268" spans="2:12" ht="13.2">
      <c r="B268" s="123"/>
      <c r="F268" s="156"/>
      <c r="I268" s="142"/>
      <c r="J268" s="157"/>
      <c r="L268" s="48"/>
    </row>
    <row r="269" spans="2:12" ht="13.2">
      <c r="B269" s="123"/>
      <c r="F269" s="156"/>
      <c r="I269" s="142"/>
      <c r="J269" s="157"/>
      <c r="L269" s="48"/>
    </row>
    <row r="270" spans="2:12" ht="13.2">
      <c r="B270" s="123"/>
      <c r="F270" s="156"/>
      <c r="I270" s="142"/>
      <c r="J270" s="157"/>
      <c r="L270" s="48"/>
    </row>
    <row r="271" spans="2:12" ht="13.2">
      <c r="B271" s="123"/>
      <c r="F271" s="156"/>
      <c r="I271" s="142"/>
      <c r="J271" s="157"/>
      <c r="L271" s="48"/>
    </row>
    <row r="272" spans="2:12" ht="13.2">
      <c r="B272" s="123"/>
      <c r="F272" s="156"/>
      <c r="I272" s="142"/>
      <c r="J272" s="157"/>
      <c r="L272" s="48"/>
    </row>
    <row r="273" spans="2:12" ht="13.2">
      <c r="B273" s="123"/>
      <c r="F273" s="156"/>
      <c r="I273" s="142"/>
      <c r="J273" s="157"/>
      <c r="L273" s="48"/>
    </row>
    <row r="274" spans="2:12" ht="13.2">
      <c r="B274" s="123"/>
      <c r="F274" s="156"/>
      <c r="I274" s="142"/>
      <c r="J274" s="157"/>
      <c r="L274" s="48"/>
    </row>
    <row r="275" spans="2:12" ht="13.2">
      <c r="B275" s="123"/>
      <c r="F275" s="156"/>
      <c r="I275" s="142"/>
      <c r="J275" s="157"/>
      <c r="L275" s="48"/>
    </row>
    <row r="276" spans="2:12" ht="13.2">
      <c r="B276" s="123"/>
      <c r="F276" s="156"/>
      <c r="I276" s="142"/>
      <c r="J276" s="157"/>
      <c r="L276" s="48"/>
    </row>
    <row r="277" spans="2:12" ht="13.2">
      <c r="B277" s="123"/>
      <c r="F277" s="156"/>
      <c r="I277" s="142"/>
      <c r="J277" s="157"/>
      <c r="L277" s="48"/>
    </row>
    <row r="278" spans="2:12" ht="13.2">
      <c r="B278" s="123"/>
      <c r="F278" s="156"/>
      <c r="I278" s="142"/>
      <c r="J278" s="157"/>
      <c r="L278" s="48"/>
    </row>
    <row r="279" spans="2:12" ht="13.2">
      <c r="B279" s="123"/>
      <c r="F279" s="156"/>
      <c r="I279" s="142"/>
      <c r="J279" s="157"/>
      <c r="L279" s="48"/>
    </row>
    <row r="280" spans="2:12" ht="13.2">
      <c r="B280" s="123"/>
      <c r="F280" s="156"/>
      <c r="I280" s="142"/>
      <c r="J280" s="157"/>
      <c r="L280" s="48"/>
    </row>
    <row r="281" spans="2:12" ht="13.2">
      <c r="B281" s="123"/>
      <c r="F281" s="156"/>
      <c r="I281" s="142"/>
      <c r="J281" s="157"/>
      <c r="L281" s="48"/>
    </row>
    <row r="282" spans="2:12" ht="13.2">
      <c r="B282" s="123"/>
      <c r="F282" s="156"/>
      <c r="I282" s="142"/>
      <c r="J282" s="157"/>
      <c r="L282" s="48"/>
    </row>
    <row r="283" spans="2:12" ht="13.2">
      <c r="B283" s="123"/>
      <c r="F283" s="156"/>
      <c r="I283" s="142"/>
      <c r="J283" s="157"/>
      <c r="L283" s="48"/>
    </row>
    <row r="284" spans="2:12" ht="13.2">
      <c r="B284" s="123"/>
      <c r="F284" s="156"/>
      <c r="I284" s="142"/>
      <c r="J284" s="157"/>
      <c r="L284" s="48"/>
    </row>
    <row r="285" spans="2:12" ht="13.2">
      <c r="B285" s="123"/>
      <c r="F285" s="156"/>
      <c r="I285" s="142"/>
      <c r="J285" s="157"/>
      <c r="L285" s="48"/>
    </row>
    <row r="286" spans="2:12" ht="13.2">
      <c r="B286" s="123"/>
      <c r="F286" s="156"/>
      <c r="I286" s="142"/>
      <c r="J286" s="157"/>
      <c r="L286" s="48"/>
    </row>
    <row r="287" spans="2:12" ht="13.2">
      <c r="B287" s="123"/>
      <c r="F287" s="156"/>
      <c r="I287" s="142"/>
      <c r="J287" s="157"/>
      <c r="L287" s="48"/>
    </row>
    <row r="288" spans="2:12" ht="13.2">
      <c r="B288" s="123"/>
      <c r="F288" s="156"/>
      <c r="I288" s="142"/>
      <c r="J288" s="157"/>
      <c r="L288" s="48"/>
    </row>
    <row r="289" spans="2:12" ht="13.2">
      <c r="B289" s="123"/>
      <c r="F289" s="156"/>
      <c r="I289" s="142"/>
      <c r="J289" s="157"/>
      <c r="L289" s="48"/>
    </row>
    <row r="290" spans="2:12" ht="13.2">
      <c r="B290" s="123"/>
      <c r="F290" s="156"/>
      <c r="I290" s="142"/>
      <c r="J290" s="157"/>
      <c r="L290" s="48"/>
    </row>
    <row r="291" spans="2:12" ht="13.2">
      <c r="B291" s="123"/>
      <c r="F291" s="156"/>
      <c r="I291" s="142"/>
      <c r="J291" s="157"/>
      <c r="L291" s="48"/>
    </row>
    <row r="292" spans="2:12" ht="13.2">
      <c r="B292" s="123"/>
      <c r="F292" s="156"/>
      <c r="I292" s="142"/>
      <c r="J292" s="157"/>
      <c r="L292" s="48"/>
    </row>
    <row r="293" spans="2:12" ht="13.2">
      <c r="B293" s="123"/>
      <c r="F293" s="156"/>
      <c r="I293" s="142"/>
      <c r="J293" s="157"/>
      <c r="L293" s="48"/>
    </row>
    <row r="294" spans="2:12" ht="13.2">
      <c r="B294" s="123"/>
      <c r="F294" s="156"/>
      <c r="I294" s="142"/>
      <c r="J294" s="157"/>
      <c r="L294" s="48"/>
    </row>
    <row r="295" spans="2:12" ht="13.2">
      <c r="B295" s="123"/>
      <c r="F295" s="156"/>
      <c r="I295" s="142"/>
      <c r="J295" s="157"/>
      <c r="L295" s="48"/>
    </row>
    <row r="296" spans="2:12" ht="13.2">
      <c r="B296" s="123"/>
      <c r="F296" s="156"/>
      <c r="I296" s="142"/>
      <c r="J296" s="157"/>
      <c r="L296" s="48"/>
    </row>
    <row r="297" spans="2:12" ht="13.2">
      <c r="B297" s="123"/>
      <c r="F297" s="156"/>
      <c r="I297" s="142"/>
      <c r="J297" s="157"/>
      <c r="L297" s="48"/>
    </row>
    <row r="298" spans="2:12" ht="13.2">
      <c r="B298" s="123"/>
      <c r="F298" s="156"/>
      <c r="I298" s="142"/>
      <c r="J298" s="157"/>
      <c r="L298" s="48"/>
    </row>
    <row r="299" spans="2:12" ht="13.2">
      <c r="B299" s="123"/>
      <c r="F299" s="156"/>
      <c r="I299" s="142"/>
      <c r="J299" s="157"/>
      <c r="L299" s="48"/>
    </row>
    <row r="300" spans="2:12" ht="13.2">
      <c r="B300" s="123"/>
      <c r="F300" s="156"/>
      <c r="I300" s="142"/>
      <c r="J300" s="157"/>
      <c r="L300" s="48"/>
    </row>
    <row r="301" spans="2:12" ht="13.2">
      <c r="B301" s="123"/>
      <c r="F301" s="156"/>
      <c r="I301" s="142"/>
      <c r="J301" s="157"/>
      <c r="L301" s="48"/>
    </row>
    <row r="302" spans="2:12" ht="13.2">
      <c r="B302" s="123"/>
      <c r="F302" s="156"/>
      <c r="I302" s="142"/>
      <c r="J302" s="157"/>
      <c r="L302" s="48"/>
    </row>
    <row r="303" spans="2:12" ht="13.2">
      <c r="B303" s="123"/>
      <c r="F303" s="156"/>
      <c r="I303" s="142"/>
      <c r="J303" s="157"/>
      <c r="L303" s="48"/>
    </row>
    <row r="304" spans="2:12" ht="13.2">
      <c r="B304" s="123"/>
      <c r="F304" s="156"/>
      <c r="I304" s="142"/>
      <c r="J304" s="157"/>
      <c r="L304" s="48"/>
    </row>
    <row r="305" spans="2:12" ht="13.2">
      <c r="B305" s="123"/>
      <c r="F305" s="156"/>
      <c r="I305" s="142"/>
      <c r="J305" s="157"/>
      <c r="L305" s="48"/>
    </row>
    <row r="306" spans="2:12" ht="13.2">
      <c r="B306" s="123"/>
      <c r="F306" s="156"/>
      <c r="I306" s="142"/>
      <c r="J306" s="157"/>
      <c r="L306" s="48"/>
    </row>
    <row r="307" spans="2:12" ht="13.2">
      <c r="B307" s="123"/>
      <c r="F307" s="156"/>
      <c r="I307" s="142"/>
      <c r="J307" s="157"/>
      <c r="L307" s="48"/>
    </row>
    <row r="308" spans="2:12" ht="13.2">
      <c r="B308" s="123"/>
      <c r="F308" s="156"/>
      <c r="I308" s="142"/>
      <c r="J308" s="157"/>
      <c r="L308" s="48"/>
    </row>
    <row r="309" spans="2:12" ht="13.2">
      <c r="B309" s="123"/>
      <c r="F309" s="156"/>
      <c r="I309" s="142"/>
      <c r="J309" s="157"/>
      <c r="L309" s="48"/>
    </row>
    <row r="310" spans="2:12" ht="13.2">
      <c r="B310" s="123"/>
      <c r="F310" s="156"/>
      <c r="I310" s="142"/>
      <c r="J310" s="157"/>
      <c r="L310" s="48"/>
    </row>
    <row r="311" spans="2:12" ht="13.2">
      <c r="B311" s="123"/>
      <c r="F311" s="156"/>
      <c r="I311" s="142"/>
      <c r="J311" s="157"/>
      <c r="L311" s="48"/>
    </row>
    <row r="312" spans="2:12" ht="13.2">
      <c r="B312" s="123"/>
      <c r="F312" s="156"/>
      <c r="I312" s="142"/>
      <c r="J312" s="157"/>
      <c r="L312" s="48"/>
    </row>
    <row r="313" spans="2:12" ht="13.2">
      <c r="B313" s="123"/>
      <c r="F313" s="156"/>
      <c r="I313" s="142"/>
      <c r="J313" s="157"/>
      <c r="L313" s="48"/>
    </row>
    <row r="314" spans="2:12" ht="13.2">
      <c r="B314" s="123"/>
      <c r="F314" s="156"/>
      <c r="I314" s="142"/>
      <c r="J314" s="157"/>
      <c r="L314" s="48"/>
    </row>
    <row r="315" spans="2:12" ht="13.2">
      <c r="B315" s="123"/>
      <c r="F315" s="156"/>
      <c r="I315" s="142"/>
      <c r="J315" s="157"/>
      <c r="L315" s="48"/>
    </row>
    <row r="316" spans="2:12" ht="13.2">
      <c r="B316" s="123"/>
      <c r="F316" s="156"/>
      <c r="I316" s="142"/>
      <c r="J316" s="157"/>
      <c r="L316" s="48"/>
    </row>
    <row r="317" spans="2:12" ht="13.2">
      <c r="B317" s="123"/>
      <c r="F317" s="156"/>
      <c r="I317" s="142"/>
      <c r="J317" s="157"/>
      <c r="L317" s="48"/>
    </row>
    <row r="318" spans="2:12" ht="13.2">
      <c r="B318" s="123"/>
      <c r="F318" s="156"/>
      <c r="I318" s="142"/>
      <c r="J318" s="157"/>
      <c r="L318" s="48"/>
    </row>
    <row r="319" spans="2:12" ht="13.2">
      <c r="B319" s="123"/>
      <c r="F319" s="156"/>
      <c r="I319" s="142"/>
      <c r="J319" s="157"/>
      <c r="L319" s="48"/>
    </row>
    <row r="320" spans="2:12" ht="13.2">
      <c r="B320" s="123"/>
      <c r="F320" s="156"/>
      <c r="I320" s="142"/>
      <c r="J320" s="157"/>
      <c r="L320" s="48"/>
    </row>
    <row r="321" spans="2:12" ht="13.2">
      <c r="B321" s="123"/>
      <c r="F321" s="156"/>
      <c r="I321" s="142"/>
      <c r="J321" s="157"/>
      <c r="L321" s="48"/>
    </row>
    <row r="322" spans="2:12" ht="13.2">
      <c r="B322" s="123"/>
      <c r="F322" s="156"/>
      <c r="I322" s="142"/>
      <c r="J322" s="157"/>
      <c r="L322" s="48"/>
    </row>
    <row r="323" spans="2:12" ht="13.2">
      <c r="B323" s="123"/>
      <c r="F323" s="156"/>
      <c r="I323" s="142"/>
      <c r="J323" s="157"/>
      <c r="L323" s="48"/>
    </row>
    <row r="324" spans="2:12" ht="13.2">
      <c r="B324" s="123"/>
      <c r="F324" s="156"/>
      <c r="I324" s="142"/>
      <c r="J324" s="157"/>
      <c r="L324" s="48"/>
    </row>
    <row r="325" spans="2:12" ht="13.2">
      <c r="B325" s="123"/>
      <c r="F325" s="156"/>
      <c r="I325" s="142"/>
      <c r="J325" s="157"/>
      <c r="L325" s="48"/>
    </row>
    <row r="326" spans="2:12" ht="13.2">
      <c r="B326" s="123"/>
      <c r="F326" s="156"/>
      <c r="I326" s="142"/>
      <c r="J326" s="157"/>
      <c r="L326" s="48"/>
    </row>
    <row r="327" spans="2:12" ht="13.2">
      <c r="B327" s="123"/>
      <c r="F327" s="156"/>
      <c r="I327" s="142"/>
      <c r="J327" s="157"/>
      <c r="L327" s="48"/>
    </row>
    <row r="328" spans="2:12" ht="13.2">
      <c r="B328" s="123"/>
      <c r="F328" s="156"/>
      <c r="I328" s="142"/>
      <c r="J328" s="157"/>
      <c r="L328" s="48"/>
    </row>
    <row r="329" spans="2:12" ht="13.2">
      <c r="B329" s="123"/>
      <c r="F329" s="156"/>
      <c r="I329" s="142"/>
      <c r="J329" s="157"/>
      <c r="L329" s="48"/>
    </row>
    <row r="330" spans="2:12" ht="13.2">
      <c r="B330" s="123"/>
      <c r="F330" s="156"/>
      <c r="I330" s="142"/>
      <c r="J330" s="157"/>
      <c r="L330" s="48"/>
    </row>
    <row r="331" spans="2:12" ht="13.2">
      <c r="B331" s="123"/>
      <c r="F331" s="156"/>
      <c r="I331" s="142"/>
      <c r="J331" s="157"/>
      <c r="L331" s="48"/>
    </row>
    <row r="332" spans="2:12" ht="13.2">
      <c r="B332" s="123"/>
      <c r="F332" s="156"/>
      <c r="I332" s="142"/>
      <c r="J332" s="157"/>
      <c r="L332" s="48"/>
    </row>
    <row r="333" spans="2:12" ht="13.2">
      <c r="B333" s="123"/>
      <c r="F333" s="156"/>
      <c r="I333" s="142"/>
      <c r="J333" s="157"/>
      <c r="L333" s="48"/>
    </row>
    <row r="334" spans="2:12" ht="13.2">
      <c r="B334" s="123"/>
      <c r="F334" s="156"/>
      <c r="I334" s="142"/>
      <c r="J334" s="157"/>
      <c r="L334" s="48"/>
    </row>
    <row r="335" spans="2:12" ht="13.2">
      <c r="B335" s="123"/>
      <c r="F335" s="156"/>
      <c r="I335" s="142"/>
      <c r="J335" s="157"/>
      <c r="L335" s="48"/>
    </row>
    <row r="336" spans="2:12" ht="13.2">
      <c r="B336" s="123"/>
      <c r="F336" s="156"/>
      <c r="I336" s="142"/>
      <c r="J336" s="157"/>
      <c r="L336" s="48"/>
    </row>
    <row r="337" spans="2:12" ht="13.2">
      <c r="B337" s="123"/>
      <c r="F337" s="156"/>
      <c r="I337" s="142"/>
      <c r="J337" s="157"/>
      <c r="L337" s="48"/>
    </row>
    <row r="338" spans="2:12" ht="13.2">
      <c r="B338" s="123"/>
      <c r="F338" s="156"/>
      <c r="I338" s="142"/>
      <c r="J338" s="157"/>
      <c r="L338" s="48"/>
    </row>
    <row r="339" spans="2:12" ht="13.2">
      <c r="B339" s="123"/>
      <c r="F339" s="156"/>
      <c r="I339" s="142"/>
      <c r="J339" s="157"/>
      <c r="L339" s="48"/>
    </row>
    <row r="340" spans="2:12" ht="13.2">
      <c r="B340" s="123"/>
      <c r="F340" s="156"/>
      <c r="I340" s="142"/>
      <c r="J340" s="157"/>
      <c r="L340" s="48"/>
    </row>
    <row r="341" spans="2:12" ht="13.2">
      <c r="B341" s="123"/>
      <c r="F341" s="156"/>
      <c r="I341" s="142"/>
      <c r="J341" s="157"/>
      <c r="L341" s="48"/>
    </row>
    <row r="342" spans="2:12" ht="13.2">
      <c r="B342" s="123"/>
      <c r="F342" s="156"/>
      <c r="I342" s="142"/>
      <c r="J342" s="157"/>
      <c r="L342" s="48"/>
    </row>
    <row r="343" spans="2:12" ht="13.2">
      <c r="B343" s="123"/>
      <c r="F343" s="156"/>
      <c r="I343" s="142"/>
      <c r="J343" s="157"/>
      <c r="L343" s="48"/>
    </row>
    <row r="344" spans="2:12" ht="13.2">
      <c r="B344" s="123"/>
      <c r="F344" s="156"/>
      <c r="I344" s="142"/>
      <c r="J344" s="157"/>
      <c r="L344" s="48"/>
    </row>
    <row r="345" spans="2:12" ht="13.2">
      <c r="B345" s="123"/>
      <c r="F345" s="156"/>
      <c r="I345" s="142"/>
      <c r="J345" s="157"/>
      <c r="L345" s="48"/>
    </row>
    <row r="346" spans="2:12" ht="13.2">
      <c r="B346" s="123"/>
      <c r="F346" s="156"/>
      <c r="I346" s="142"/>
      <c r="J346" s="157"/>
      <c r="L346" s="48"/>
    </row>
    <row r="347" spans="2:12" ht="13.2">
      <c r="B347" s="123"/>
      <c r="F347" s="156"/>
      <c r="I347" s="142"/>
      <c r="J347" s="157"/>
      <c r="L347" s="48"/>
    </row>
    <row r="348" spans="2:12" ht="13.2">
      <c r="B348" s="123"/>
      <c r="F348" s="156"/>
      <c r="I348" s="142"/>
      <c r="J348" s="157"/>
      <c r="L348" s="48"/>
    </row>
    <row r="349" spans="2:12" ht="13.2">
      <c r="B349" s="123"/>
      <c r="F349" s="156"/>
      <c r="I349" s="142"/>
      <c r="J349" s="157"/>
      <c r="L349" s="48"/>
    </row>
    <row r="350" spans="2:12" ht="13.2">
      <c r="B350" s="123"/>
      <c r="F350" s="156"/>
      <c r="I350" s="142"/>
      <c r="J350" s="157"/>
      <c r="L350" s="48"/>
    </row>
    <row r="351" spans="2:12" ht="13.2">
      <c r="B351" s="123"/>
      <c r="F351" s="156"/>
      <c r="I351" s="142"/>
      <c r="J351" s="157"/>
      <c r="L351" s="48"/>
    </row>
    <row r="352" spans="2:12" ht="13.2">
      <c r="B352" s="123"/>
      <c r="F352" s="156"/>
      <c r="I352" s="142"/>
      <c r="J352" s="157"/>
      <c r="L352" s="48"/>
    </row>
    <row r="353" spans="2:12" ht="13.2">
      <c r="B353" s="123"/>
      <c r="F353" s="156"/>
      <c r="I353" s="142"/>
      <c r="J353" s="157"/>
      <c r="L353" s="48"/>
    </row>
    <row r="354" spans="2:12" ht="13.2">
      <c r="B354" s="123"/>
      <c r="F354" s="156"/>
      <c r="I354" s="142"/>
      <c r="J354" s="157"/>
      <c r="L354" s="48"/>
    </row>
    <row r="355" spans="2:12" ht="13.2">
      <c r="B355" s="123"/>
      <c r="F355" s="156"/>
      <c r="I355" s="142"/>
      <c r="J355" s="157"/>
      <c r="L355" s="48"/>
    </row>
    <row r="356" spans="2:12" ht="13.2">
      <c r="B356" s="123"/>
      <c r="F356" s="156"/>
      <c r="I356" s="142"/>
      <c r="J356" s="157"/>
      <c r="L356" s="48"/>
    </row>
    <row r="357" spans="2:12" ht="13.2">
      <c r="B357" s="123"/>
      <c r="F357" s="156"/>
      <c r="I357" s="142"/>
      <c r="J357" s="157"/>
      <c r="L357" s="48"/>
    </row>
    <row r="358" spans="2:12" ht="13.2">
      <c r="B358" s="123"/>
      <c r="F358" s="156"/>
      <c r="I358" s="142"/>
      <c r="J358" s="157"/>
      <c r="L358" s="48"/>
    </row>
    <row r="359" spans="2:12" ht="13.2">
      <c r="B359" s="123"/>
      <c r="F359" s="156"/>
      <c r="I359" s="142"/>
      <c r="J359" s="157"/>
      <c r="L359" s="48"/>
    </row>
    <row r="360" spans="2:12" ht="13.2">
      <c r="B360" s="123"/>
      <c r="F360" s="156"/>
      <c r="I360" s="142"/>
      <c r="J360" s="157"/>
      <c r="L360" s="48"/>
    </row>
    <row r="361" spans="2:12" ht="13.2">
      <c r="B361" s="123"/>
      <c r="F361" s="156"/>
      <c r="I361" s="142"/>
      <c r="J361" s="157"/>
      <c r="L361" s="48"/>
    </row>
    <row r="362" spans="2:12" ht="13.2">
      <c r="B362" s="123"/>
      <c r="F362" s="156"/>
      <c r="I362" s="142"/>
      <c r="J362" s="157"/>
      <c r="L362" s="48"/>
    </row>
    <row r="363" spans="2:12" ht="13.2">
      <c r="B363" s="123"/>
      <c r="F363" s="156"/>
      <c r="I363" s="142"/>
      <c r="J363" s="157"/>
      <c r="L363" s="48"/>
    </row>
    <row r="364" spans="2:12" ht="13.2">
      <c r="B364" s="123"/>
      <c r="F364" s="156"/>
      <c r="I364" s="142"/>
      <c r="J364" s="157"/>
      <c r="L364" s="48"/>
    </row>
    <row r="365" spans="2:12" ht="13.2">
      <c r="B365" s="123"/>
      <c r="F365" s="156"/>
      <c r="I365" s="142"/>
      <c r="J365" s="157"/>
      <c r="L365" s="48"/>
    </row>
    <row r="366" spans="2:12" ht="13.2">
      <c r="B366" s="123"/>
      <c r="F366" s="156"/>
      <c r="I366" s="142"/>
      <c r="J366" s="157"/>
      <c r="L366" s="48"/>
    </row>
    <row r="367" spans="2:12" ht="13.2">
      <c r="B367" s="123"/>
      <c r="F367" s="156"/>
      <c r="I367" s="142"/>
      <c r="J367" s="157"/>
      <c r="L367" s="48"/>
    </row>
    <row r="368" spans="2:12" ht="13.2">
      <c r="B368" s="123"/>
      <c r="F368" s="156"/>
      <c r="I368" s="142"/>
      <c r="J368" s="157"/>
      <c r="L368" s="48"/>
    </row>
    <row r="369" spans="2:12" ht="13.2">
      <c r="B369" s="123"/>
      <c r="F369" s="156"/>
      <c r="I369" s="142"/>
      <c r="J369" s="157"/>
      <c r="L369" s="48"/>
    </row>
    <row r="370" spans="2:12" ht="13.2">
      <c r="B370" s="123"/>
      <c r="F370" s="156"/>
      <c r="I370" s="142"/>
      <c r="J370" s="157"/>
      <c r="L370" s="48"/>
    </row>
    <row r="371" spans="2:12" ht="13.2">
      <c r="B371" s="123"/>
      <c r="F371" s="156"/>
      <c r="I371" s="142"/>
      <c r="J371" s="157"/>
      <c r="L371" s="48"/>
    </row>
    <row r="372" spans="2:12" ht="13.2">
      <c r="B372" s="123"/>
      <c r="F372" s="156"/>
      <c r="I372" s="142"/>
      <c r="J372" s="157"/>
      <c r="L372" s="48"/>
    </row>
    <row r="373" spans="2:12" ht="13.2">
      <c r="B373" s="123"/>
      <c r="F373" s="156"/>
      <c r="I373" s="142"/>
      <c r="J373" s="157"/>
      <c r="L373" s="48"/>
    </row>
    <row r="374" spans="2:12" ht="13.2">
      <c r="B374" s="123"/>
      <c r="F374" s="156"/>
      <c r="I374" s="142"/>
      <c r="J374" s="157"/>
      <c r="L374" s="48"/>
    </row>
    <row r="375" spans="2:12" ht="13.2">
      <c r="B375" s="123"/>
      <c r="F375" s="156"/>
      <c r="I375" s="142"/>
      <c r="J375" s="157"/>
      <c r="L375" s="48"/>
    </row>
    <row r="376" spans="2:12" ht="13.2">
      <c r="B376" s="123"/>
      <c r="F376" s="156"/>
      <c r="I376" s="142"/>
      <c r="J376" s="157"/>
      <c r="L376" s="48"/>
    </row>
    <row r="377" spans="2:12" ht="13.2">
      <c r="B377" s="123"/>
      <c r="F377" s="156"/>
      <c r="I377" s="142"/>
      <c r="J377" s="157"/>
      <c r="L377" s="48"/>
    </row>
    <row r="378" spans="2:12" ht="13.2">
      <c r="B378" s="123"/>
      <c r="F378" s="156"/>
      <c r="I378" s="142"/>
      <c r="J378" s="157"/>
      <c r="L378" s="48"/>
    </row>
    <row r="379" spans="2:12" ht="13.2">
      <c r="B379" s="123"/>
      <c r="F379" s="156"/>
      <c r="I379" s="142"/>
      <c r="J379" s="157"/>
      <c r="L379" s="48"/>
    </row>
    <row r="380" spans="2:12" ht="13.2">
      <c r="B380" s="123"/>
      <c r="F380" s="156"/>
      <c r="I380" s="142"/>
      <c r="J380" s="157"/>
      <c r="L380" s="48"/>
    </row>
    <row r="381" spans="2:12" ht="13.2">
      <c r="B381" s="123"/>
      <c r="F381" s="156"/>
      <c r="I381" s="142"/>
      <c r="J381" s="157"/>
      <c r="L381" s="48"/>
    </row>
    <row r="382" spans="2:12" ht="13.2">
      <c r="B382" s="123"/>
      <c r="F382" s="156"/>
      <c r="I382" s="142"/>
      <c r="J382" s="157"/>
      <c r="L382" s="48"/>
    </row>
    <row r="383" spans="2:12" ht="13.2">
      <c r="B383" s="123"/>
      <c r="F383" s="156"/>
      <c r="I383" s="142"/>
      <c r="J383" s="157"/>
      <c r="L383" s="48"/>
    </row>
    <row r="384" spans="2:12" ht="13.2">
      <c r="B384" s="123"/>
      <c r="F384" s="156"/>
      <c r="I384" s="142"/>
      <c r="J384" s="157"/>
      <c r="L384" s="48"/>
    </row>
    <row r="385" spans="2:12" ht="13.2">
      <c r="B385" s="123"/>
      <c r="F385" s="156"/>
      <c r="I385" s="142"/>
      <c r="J385" s="157"/>
      <c r="L385" s="48"/>
    </row>
    <row r="386" spans="2:12" ht="13.2">
      <c r="B386" s="123"/>
      <c r="F386" s="156"/>
      <c r="I386" s="142"/>
      <c r="J386" s="157"/>
      <c r="L386" s="48"/>
    </row>
    <row r="387" spans="2:12" ht="13.2">
      <c r="B387" s="123"/>
      <c r="F387" s="156"/>
      <c r="I387" s="142"/>
      <c r="J387" s="157"/>
      <c r="L387" s="48"/>
    </row>
    <row r="388" spans="2:12" ht="13.2">
      <c r="B388" s="123"/>
      <c r="F388" s="156"/>
      <c r="I388" s="142"/>
      <c r="J388" s="157"/>
      <c r="L388" s="48"/>
    </row>
    <row r="389" spans="2:12" ht="13.2">
      <c r="B389" s="123"/>
      <c r="F389" s="156"/>
      <c r="I389" s="142"/>
      <c r="J389" s="157"/>
      <c r="L389" s="48"/>
    </row>
    <row r="390" spans="2:12" ht="13.2">
      <c r="B390" s="123"/>
      <c r="F390" s="156"/>
      <c r="I390" s="142"/>
      <c r="J390" s="157"/>
      <c r="L390" s="48"/>
    </row>
    <row r="391" spans="2:12" ht="13.2">
      <c r="B391" s="123"/>
      <c r="F391" s="156"/>
      <c r="I391" s="142"/>
      <c r="J391" s="157"/>
      <c r="L391" s="48"/>
    </row>
    <row r="392" spans="2:12" ht="13.2">
      <c r="B392" s="123"/>
      <c r="F392" s="156"/>
      <c r="I392" s="142"/>
      <c r="J392" s="157"/>
      <c r="L392" s="48"/>
    </row>
    <row r="393" spans="2:12" ht="13.2">
      <c r="B393" s="123"/>
      <c r="F393" s="156"/>
      <c r="I393" s="142"/>
      <c r="J393" s="157"/>
      <c r="L393" s="48"/>
    </row>
    <row r="394" spans="2:12" ht="13.2">
      <c r="B394" s="123"/>
      <c r="F394" s="156"/>
      <c r="I394" s="142"/>
      <c r="J394" s="157"/>
      <c r="L394" s="48"/>
    </row>
    <row r="395" spans="2:12" ht="13.2">
      <c r="B395" s="123"/>
      <c r="F395" s="156"/>
      <c r="I395" s="142"/>
      <c r="J395" s="157"/>
      <c r="L395" s="48"/>
    </row>
    <row r="396" spans="2:12" ht="13.2">
      <c r="B396" s="123"/>
      <c r="F396" s="156"/>
      <c r="I396" s="142"/>
      <c r="J396" s="157"/>
      <c r="L396" s="48"/>
    </row>
    <row r="397" spans="2:12" ht="13.2">
      <c r="B397" s="123"/>
      <c r="F397" s="156"/>
      <c r="I397" s="142"/>
      <c r="J397" s="157"/>
      <c r="L397" s="48"/>
    </row>
    <row r="398" spans="2:12" ht="13.2">
      <c r="B398" s="123"/>
      <c r="F398" s="156"/>
      <c r="I398" s="142"/>
      <c r="J398" s="157"/>
      <c r="L398" s="48"/>
    </row>
    <row r="399" spans="2:12" ht="13.2">
      <c r="B399" s="123"/>
      <c r="F399" s="156"/>
      <c r="I399" s="142"/>
      <c r="J399" s="157"/>
      <c r="L399" s="48"/>
    </row>
    <row r="400" spans="2:12" ht="13.2">
      <c r="B400" s="123"/>
      <c r="F400" s="156"/>
      <c r="I400" s="142"/>
      <c r="J400" s="157"/>
      <c r="L400" s="48"/>
    </row>
    <row r="401" spans="2:12" ht="13.2">
      <c r="B401" s="123"/>
      <c r="F401" s="156"/>
      <c r="I401" s="142"/>
      <c r="J401" s="157"/>
      <c r="L401" s="48"/>
    </row>
    <row r="402" spans="2:12" ht="13.2">
      <c r="B402" s="123"/>
      <c r="F402" s="156"/>
      <c r="I402" s="142"/>
      <c r="J402" s="157"/>
      <c r="L402" s="48"/>
    </row>
    <row r="403" spans="2:12" ht="13.2">
      <c r="B403" s="123"/>
      <c r="F403" s="156"/>
      <c r="I403" s="142"/>
      <c r="J403" s="157"/>
      <c r="L403" s="48"/>
    </row>
    <row r="404" spans="2:12" ht="13.2">
      <c r="B404" s="123"/>
      <c r="F404" s="156"/>
      <c r="I404" s="142"/>
      <c r="J404" s="157"/>
      <c r="L404" s="48"/>
    </row>
    <row r="405" spans="2:12" ht="13.2">
      <c r="B405" s="123"/>
      <c r="F405" s="156"/>
      <c r="I405" s="142"/>
      <c r="J405" s="157"/>
      <c r="L405" s="48"/>
    </row>
    <row r="406" spans="2:12" ht="13.2">
      <c r="B406" s="123"/>
      <c r="F406" s="156"/>
      <c r="I406" s="142"/>
      <c r="J406" s="157"/>
      <c r="L406" s="48"/>
    </row>
    <row r="407" spans="2:12" ht="13.2">
      <c r="B407" s="123"/>
      <c r="F407" s="156"/>
      <c r="I407" s="142"/>
      <c r="J407" s="157"/>
      <c r="L407" s="48"/>
    </row>
    <row r="408" spans="2:12" ht="13.2">
      <c r="B408" s="123"/>
      <c r="F408" s="156"/>
      <c r="I408" s="142"/>
      <c r="J408" s="157"/>
      <c r="L408" s="48"/>
    </row>
    <row r="409" spans="2:12" ht="13.2">
      <c r="B409" s="123"/>
      <c r="F409" s="156"/>
      <c r="I409" s="142"/>
      <c r="J409" s="157"/>
      <c r="L409" s="48"/>
    </row>
    <row r="410" spans="2:12" ht="13.2">
      <c r="B410" s="123"/>
      <c r="F410" s="156"/>
      <c r="I410" s="142"/>
      <c r="J410" s="157"/>
      <c r="L410" s="48"/>
    </row>
    <row r="411" spans="2:12" ht="13.2">
      <c r="B411" s="123"/>
      <c r="F411" s="156"/>
      <c r="I411" s="142"/>
      <c r="J411" s="157"/>
      <c r="L411" s="48"/>
    </row>
    <row r="412" spans="2:12" ht="13.2">
      <c r="B412" s="123"/>
      <c r="F412" s="156"/>
      <c r="I412" s="142"/>
      <c r="J412" s="157"/>
      <c r="L412" s="48"/>
    </row>
    <row r="413" spans="2:12" ht="13.2">
      <c r="B413" s="123"/>
      <c r="F413" s="156"/>
      <c r="I413" s="142"/>
      <c r="J413" s="157"/>
      <c r="L413" s="48"/>
    </row>
    <row r="414" spans="2:12" ht="13.2">
      <c r="B414" s="123"/>
      <c r="F414" s="156"/>
      <c r="I414" s="142"/>
      <c r="J414" s="157"/>
      <c r="L414" s="48"/>
    </row>
    <row r="415" spans="2:12" ht="13.2">
      <c r="B415" s="123"/>
      <c r="F415" s="156"/>
      <c r="I415" s="142"/>
      <c r="J415" s="157"/>
      <c r="L415" s="48"/>
    </row>
    <row r="416" spans="2:12" ht="13.2">
      <c r="B416" s="123"/>
      <c r="F416" s="156"/>
      <c r="I416" s="142"/>
      <c r="J416" s="157"/>
      <c r="L416" s="48"/>
    </row>
    <row r="417" spans="2:12" ht="13.2">
      <c r="B417" s="123"/>
      <c r="F417" s="156"/>
      <c r="I417" s="142"/>
      <c r="J417" s="157"/>
      <c r="L417" s="48"/>
    </row>
    <row r="418" spans="2:12" ht="13.2">
      <c r="B418" s="123"/>
      <c r="F418" s="156"/>
      <c r="I418" s="142"/>
      <c r="J418" s="157"/>
      <c r="L418" s="48"/>
    </row>
    <row r="419" spans="2:12" ht="13.2">
      <c r="B419" s="123"/>
      <c r="F419" s="156"/>
      <c r="I419" s="142"/>
      <c r="J419" s="157"/>
      <c r="L419" s="48"/>
    </row>
    <row r="420" spans="2:12" ht="13.2">
      <c r="B420" s="123"/>
      <c r="F420" s="156"/>
      <c r="I420" s="142"/>
      <c r="J420" s="157"/>
      <c r="L420" s="48"/>
    </row>
    <row r="421" spans="2:12" ht="13.2">
      <c r="B421" s="123"/>
      <c r="F421" s="156"/>
      <c r="I421" s="142"/>
      <c r="J421" s="157"/>
      <c r="L421" s="48"/>
    </row>
    <row r="422" spans="2:12" ht="13.2">
      <c r="B422" s="123"/>
      <c r="F422" s="156"/>
      <c r="I422" s="142"/>
      <c r="J422" s="157"/>
      <c r="L422" s="48"/>
    </row>
    <row r="423" spans="2:12" ht="13.2">
      <c r="B423" s="123"/>
      <c r="F423" s="156"/>
      <c r="I423" s="142"/>
      <c r="J423" s="157"/>
      <c r="L423" s="48"/>
    </row>
    <row r="424" spans="2:12" ht="13.2">
      <c r="B424" s="123"/>
      <c r="F424" s="156"/>
      <c r="I424" s="142"/>
      <c r="J424" s="157"/>
      <c r="L424" s="48"/>
    </row>
    <row r="425" spans="2:12" ht="13.2">
      <c r="B425" s="123"/>
      <c r="F425" s="156"/>
      <c r="I425" s="142"/>
      <c r="J425" s="157"/>
      <c r="L425" s="48"/>
    </row>
    <row r="426" spans="2:12" ht="13.2">
      <c r="B426" s="123"/>
      <c r="F426" s="156"/>
      <c r="I426" s="142"/>
      <c r="J426" s="157"/>
      <c r="L426" s="48"/>
    </row>
    <row r="427" spans="2:12" ht="13.2">
      <c r="B427" s="123"/>
      <c r="F427" s="156"/>
      <c r="I427" s="142"/>
      <c r="J427" s="157"/>
      <c r="L427" s="48"/>
    </row>
    <row r="428" spans="2:12" ht="13.2">
      <c r="B428" s="123"/>
      <c r="F428" s="156"/>
      <c r="I428" s="142"/>
      <c r="J428" s="157"/>
      <c r="L428" s="48"/>
    </row>
    <row r="429" spans="2:12" ht="13.2">
      <c r="B429" s="123"/>
      <c r="F429" s="156"/>
      <c r="I429" s="142"/>
      <c r="J429" s="157"/>
      <c r="L429" s="48"/>
    </row>
    <row r="430" spans="2:12" ht="13.2">
      <c r="B430" s="123"/>
      <c r="F430" s="156"/>
      <c r="I430" s="142"/>
      <c r="J430" s="157"/>
      <c r="L430" s="48"/>
    </row>
    <row r="431" spans="2:12" ht="13.2">
      <c r="B431" s="123"/>
      <c r="F431" s="156"/>
      <c r="I431" s="142"/>
      <c r="J431" s="157"/>
      <c r="L431" s="48"/>
    </row>
    <row r="432" spans="2:12" ht="13.2">
      <c r="B432" s="123"/>
      <c r="F432" s="156"/>
      <c r="I432" s="142"/>
      <c r="J432" s="157"/>
      <c r="L432" s="48"/>
    </row>
    <row r="433" spans="2:12" ht="13.2">
      <c r="B433" s="123"/>
      <c r="F433" s="156"/>
      <c r="I433" s="142"/>
      <c r="J433" s="157"/>
      <c r="L433" s="48"/>
    </row>
    <row r="434" spans="2:12" ht="13.2">
      <c r="B434" s="123"/>
      <c r="F434" s="156"/>
      <c r="I434" s="142"/>
      <c r="J434" s="157"/>
      <c r="L434" s="48"/>
    </row>
    <row r="435" spans="2:12" ht="13.2">
      <c r="B435" s="123"/>
      <c r="F435" s="156"/>
      <c r="I435" s="142"/>
      <c r="J435" s="157"/>
      <c r="L435" s="48"/>
    </row>
    <row r="436" spans="2:12" ht="13.2">
      <c r="B436" s="123"/>
      <c r="F436" s="156"/>
      <c r="I436" s="142"/>
      <c r="J436" s="157"/>
      <c r="L436" s="48"/>
    </row>
    <row r="437" spans="2:12" ht="13.2">
      <c r="B437" s="123"/>
      <c r="F437" s="156"/>
      <c r="I437" s="142"/>
      <c r="J437" s="157"/>
      <c r="L437" s="48"/>
    </row>
    <row r="438" spans="2:12" ht="13.2">
      <c r="B438" s="123"/>
      <c r="F438" s="156"/>
      <c r="I438" s="142"/>
      <c r="J438" s="157"/>
      <c r="L438" s="48"/>
    </row>
    <row r="439" spans="2:12" ht="13.2">
      <c r="B439" s="123"/>
      <c r="F439" s="156"/>
      <c r="I439" s="142"/>
      <c r="J439" s="157"/>
      <c r="L439" s="48"/>
    </row>
    <row r="440" spans="2:12" ht="13.2">
      <c r="B440" s="123"/>
      <c r="F440" s="156"/>
      <c r="I440" s="142"/>
      <c r="J440" s="157"/>
      <c r="L440" s="48"/>
    </row>
    <row r="441" spans="2:12" ht="13.2">
      <c r="B441" s="123"/>
      <c r="F441" s="156"/>
      <c r="I441" s="142"/>
      <c r="J441" s="157"/>
      <c r="L441" s="48"/>
    </row>
    <row r="442" spans="2:12" ht="13.2">
      <c r="B442" s="123"/>
      <c r="F442" s="156"/>
      <c r="I442" s="142"/>
      <c r="J442" s="157"/>
      <c r="L442" s="48"/>
    </row>
    <row r="443" spans="2:12" ht="13.2">
      <c r="B443" s="123"/>
      <c r="F443" s="156"/>
      <c r="I443" s="142"/>
      <c r="J443" s="157"/>
      <c r="L443" s="48"/>
    </row>
    <row r="444" spans="2:12" ht="13.2">
      <c r="B444" s="123"/>
      <c r="F444" s="156"/>
      <c r="I444" s="142"/>
      <c r="J444" s="157"/>
      <c r="L444" s="48"/>
    </row>
    <row r="445" spans="2:12" ht="13.2">
      <c r="B445" s="123"/>
      <c r="F445" s="156"/>
      <c r="I445" s="142"/>
      <c r="J445" s="157"/>
      <c r="L445" s="48"/>
    </row>
    <row r="446" spans="2:12" ht="13.2">
      <c r="B446" s="123"/>
      <c r="F446" s="156"/>
      <c r="I446" s="142"/>
      <c r="J446" s="157"/>
      <c r="L446" s="48"/>
    </row>
    <row r="447" spans="2:12" ht="13.2">
      <c r="B447" s="123"/>
      <c r="F447" s="156"/>
      <c r="I447" s="142"/>
      <c r="J447" s="157"/>
      <c r="L447" s="48"/>
    </row>
    <row r="448" spans="2:12" ht="13.2">
      <c r="B448" s="123"/>
      <c r="F448" s="156"/>
      <c r="I448" s="142"/>
      <c r="J448" s="157"/>
      <c r="L448" s="48"/>
    </row>
    <row r="449" spans="2:12" ht="13.2">
      <c r="B449" s="123"/>
      <c r="F449" s="156"/>
      <c r="I449" s="142"/>
      <c r="J449" s="157"/>
      <c r="L449" s="48"/>
    </row>
    <row r="450" spans="2:12" ht="13.2">
      <c r="B450" s="123"/>
      <c r="F450" s="156"/>
      <c r="I450" s="142"/>
      <c r="J450" s="157"/>
      <c r="L450" s="48"/>
    </row>
    <row r="451" spans="2:12" ht="13.2">
      <c r="B451" s="123"/>
      <c r="F451" s="156"/>
      <c r="I451" s="142"/>
      <c r="J451" s="157"/>
      <c r="L451" s="48"/>
    </row>
    <row r="452" spans="2:12" ht="13.2">
      <c r="B452" s="123"/>
      <c r="F452" s="156"/>
      <c r="I452" s="142"/>
      <c r="J452" s="157"/>
      <c r="L452" s="48"/>
    </row>
    <row r="453" spans="2:12" ht="13.2">
      <c r="B453" s="123"/>
      <c r="F453" s="156"/>
      <c r="I453" s="142"/>
      <c r="J453" s="157"/>
      <c r="L453" s="48"/>
    </row>
    <row r="454" spans="2:12" ht="13.2">
      <c r="B454" s="123"/>
      <c r="F454" s="156"/>
      <c r="I454" s="142"/>
      <c r="J454" s="157"/>
      <c r="L454" s="48"/>
    </row>
    <row r="455" spans="2:12" ht="13.2">
      <c r="B455" s="123"/>
      <c r="F455" s="156"/>
      <c r="I455" s="142"/>
      <c r="J455" s="157"/>
      <c r="L455" s="48"/>
    </row>
    <row r="456" spans="2:12" ht="13.2">
      <c r="B456" s="123"/>
      <c r="F456" s="156"/>
      <c r="I456" s="142"/>
      <c r="J456" s="157"/>
      <c r="L456" s="48"/>
    </row>
    <row r="457" spans="2:12" ht="13.2">
      <c r="B457" s="123"/>
      <c r="F457" s="156"/>
      <c r="I457" s="142"/>
      <c r="J457" s="157"/>
      <c r="L457" s="48"/>
    </row>
    <row r="458" spans="2:12" ht="13.2">
      <c r="B458" s="123"/>
      <c r="F458" s="156"/>
      <c r="I458" s="142"/>
      <c r="J458" s="157"/>
      <c r="L458" s="48"/>
    </row>
    <row r="459" spans="2:12" ht="13.2">
      <c r="B459" s="123"/>
      <c r="F459" s="156"/>
      <c r="I459" s="142"/>
      <c r="J459" s="157"/>
      <c r="L459" s="48"/>
    </row>
    <row r="460" spans="2:12" ht="13.2">
      <c r="B460" s="123"/>
      <c r="F460" s="156"/>
      <c r="I460" s="142"/>
      <c r="J460" s="157"/>
      <c r="L460" s="48"/>
    </row>
    <row r="461" spans="2:12" ht="13.2">
      <c r="B461" s="123"/>
      <c r="F461" s="156"/>
      <c r="I461" s="142"/>
      <c r="J461" s="157"/>
      <c r="L461" s="48"/>
    </row>
    <row r="462" spans="2:12" ht="13.2">
      <c r="B462" s="123"/>
      <c r="F462" s="156"/>
      <c r="I462" s="142"/>
      <c r="J462" s="157"/>
      <c r="L462" s="48"/>
    </row>
    <row r="463" spans="2:12" ht="13.2">
      <c r="B463" s="123"/>
      <c r="F463" s="156"/>
      <c r="I463" s="142"/>
      <c r="J463" s="157"/>
      <c r="L463" s="48"/>
    </row>
    <row r="464" spans="2:12" ht="13.2">
      <c r="B464" s="123"/>
      <c r="F464" s="156"/>
      <c r="I464" s="142"/>
      <c r="J464" s="157"/>
      <c r="L464" s="48"/>
    </row>
    <row r="465" spans="2:12" ht="13.2">
      <c r="B465" s="123"/>
      <c r="F465" s="156"/>
      <c r="I465" s="142"/>
      <c r="J465" s="157"/>
      <c r="L465" s="48"/>
    </row>
    <row r="466" spans="2:12" ht="13.2">
      <c r="B466" s="123"/>
      <c r="F466" s="156"/>
      <c r="I466" s="142"/>
      <c r="J466" s="157"/>
      <c r="L466" s="48"/>
    </row>
    <row r="467" spans="2:12" ht="13.2">
      <c r="B467" s="123"/>
      <c r="F467" s="156"/>
      <c r="I467" s="142"/>
      <c r="J467" s="157"/>
      <c r="L467" s="48"/>
    </row>
    <row r="468" spans="2:12" ht="13.2">
      <c r="B468" s="123"/>
      <c r="F468" s="156"/>
      <c r="I468" s="142"/>
      <c r="J468" s="157"/>
      <c r="L468" s="48"/>
    </row>
    <row r="469" spans="2:12" ht="13.2">
      <c r="B469" s="123"/>
      <c r="F469" s="156"/>
      <c r="I469" s="142"/>
      <c r="J469" s="157"/>
      <c r="L469" s="48"/>
    </row>
    <row r="470" spans="2:12" ht="13.2">
      <c r="B470" s="123"/>
      <c r="F470" s="156"/>
      <c r="I470" s="142"/>
      <c r="J470" s="157"/>
      <c r="L470" s="48"/>
    </row>
    <row r="471" spans="2:12" ht="13.2">
      <c r="B471" s="123"/>
      <c r="F471" s="156"/>
      <c r="I471" s="142"/>
      <c r="J471" s="157"/>
      <c r="L471" s="48"/>
    </row>
    <row r="472" spans="2:12" ht="13.2">
      <c r="B472" s="123"/>
      <c r="F472" s="156"/>
      <c r="I472" s="142"/>
      <c r="J472" s="157"/>
      <c r="L472" s="48"/>
    </row>
    <row r="473" spans="2:12" ht="13.2">
      <c r="B473" s="123"/>
      <c r="F473" s="156"/>
      <c r="I473" s="142"/>
      <c r="J473" s="157"/>
      <c r="L473" s="48"/>
    </row>
    <row r="474" spans="2:12" ht="13.2">
      <c r="B474" s="123"/>
      <c r="F474" s="156"/>
      <c r="I474" s="142"/>
      <c r="J474" s="157"/>
      <c r="L474" s="48"/>
    </row>
    <row r="475" spans="2:12" ht="13.2">
      <c r="B475" s="123"/>
      <c r="F475" s="156"/>
      <c r="I475" s="142"/>
      <c r="J475" s="157"/>
      <c r="L475" s="48"/>
    </row>
    <row r="476" spans="2:12" ht="13.2">
      <c r="B476" s="123"/>
      <c r="F476" s="156"/>
      <c r="I476" s="142"/>
      <c r="J476" s="157"/>
      <c r="L476" s="48"/>
    </row>
    <row r="477" spans="2:12" ht="13.2">
      <c r="B477" s="123"/>
      <c r="F477" s="156"/>
      <c r="I477" s="142"/>
      <c r="J477" s="157"/>
      <c r="L477" s="48"/>
    </row>
    <row r="478" spans="2:12" ht="13.2">
      <c r="B478" s="123"/>
      <c r="F478" s="156"/>
      <c r="I478" s="142"/>
      <c r="J478" s="157"/>
      <c r="L478" s="48"/>
    </row>
    <row r="479" spans="2:12" ht="13.2">
      <c r="B479" s="123"/>
      <c r="F479" s="156"/>
      <c r="I479" s="142"/>
      <c r="J479" s="157"/>
      <c r="L479" s="48"/>
    </row>
    <row r="480" spans="2:12" ht="13.2">
      <c r="B480" s="123"/>
      <c r="F480" s="156"/>
      <c r="I480" s="142"/>
      <c r="J480" s="157"/>
      <c r="L480" s="48"/>
    </row>
    <row r="481" spans="2:12" ht="13.2">
      <c r="B481" s="123"/>
      <c r="F481" s="156"/>
      <c r="I481" s="142"/>
      <c r="J481" s="157"/>
      <c r="L481" s="48"/>
    </row>
    <row r="482" spans="2:12" ht="13.2">
      <c r="B482" s="123"/>
      <c r="F482" s="156"/>
      <c r="I482" s="142"/>
      <c r="J482" s="157"/>
      <c r="L482" s="48"/>
    </row>
    <row r="483" spans="2:12" ht="13.2">
      <c r="B483" s="123"/>
      <c r="F483" s="156"/>
      <c r="I483" s="142"/>
      <c r="J483" s="157"/>
      <c r="L483" s="48"/>
    </row>
    <row r="484" spans="2:12" ht="13.2">
      <c r="B484" s="123"/>
      <c r="F484" s="156"/>
      <c r="I484" s="142"/>
      <c r="J484" s="157"/>
      <c r="L484" s="48"/>
    </row>
    <row r="485" spans="2:12" ht="13.2">
      <c r="B485" s="123"/>
      <c r="F485" s="156"/>
      <c r="I485" s="142"/>
      <c r="J485" s="157"/>
      <c r="L485" s="48"/>
    </row>
    <row r="486" spans="2:12" ht="13.2">
      <c r="B486" s="123"/>
      <c r="F486" s="156"/>
      <c r="I486" s="142"/>
      <c r="J486" s="157"/>
      <c r="L486" s="48"/>
    </row>
    <row r="487" spans="2:12" ht="13.2">
      <c r="B487" s="123"/>
      <c r="F487" s="156"/>
      <c r="I487" s="142"/>
      <c r="J487" s="157"/>
      <c r="L487" s="48"/>
    </row>
    <row r="488" spans="2:12" ht="13.2">
      <c r="B488" s="123"/>
      <c r="F488" s="156"/>
      <c r="I488" s="142"/>
      <c r="J488" s="157"/>
      <c r="L488" s="48"/>
    </row>
    <row r="489" spans="2:12" ht="13.2">
      <c r="B489" s="123"/>
      <c r="F489" s="156"/>
      <c r="I489" s="142"/>
      <c r="J489" s="157"/>
      <c r="L489" s="48"/>
    </row>
    <row r="490" spans="2:12" ht="13.2">
      <c r="B490" s="123"/>
      <c r="F490" s="156"/>
      <c r="I490" s="142"/>
      <c r="J490" s="157"/>
      <c r="L490" s="48"/>
    </row>
    <row r="491" spans="2:12" ht="13.2">
      <c r="B491" s="123"/>
      <c r="F491" s="156"/>
      <c r="I491" s="142"/>
      <c r="J491" s="157"/>
      <c r="L491" s="48"/>
    </row>
    <row r="492" spans="2:12" ht="13.2">
      <c r="B492" s="123"/>
      <c r="F492" s="156"/>
      <c r="I492" s="142"/>
      <c r="J492" s="157"/>
      <c r="L492" s="48"/>
    </row>
    <row r="493" spans="2:12" ht="13.2">
      <c r="B493" s="123"/>
      <c r="F493" s="156"/>
      <c r="I493" s="142"/>
      <c r="J493" s="157"/>
      <c r="L493" s="48"/>
    </row>
    <row r="494" spans="2:12" ht="13.2">
      <c r="B494" s="123"/>
      <c r="F494" s="156"/>
      <c r="I494" s="142"/>
      <c r="J494" s="157"/>
      <c r="L494" s="48"/>
    </row>
    <row r="495" spans="2:12" ht="13.2">
      <c r="B495" s="123"/>
      <c r="F495" s="156"/>
      <c r="I495" s="142"/>
      <c r="J495" s="157"/>
      <c r="L495" s="48"/>
    </row>
    <row r="496" spans="2:12" ht="13.2">
      <c r="B496" s="123"/>
      <c r="F496" s="156"/>
      <c r="I496" s="142"/>
      <c r="J496" s="157"/>
      <c r="L496" s="48"/>
    </row>
    <row r="497" spans="2:12" ht="13.2">
      <c r="B497" s="123"/>
      <c r="F497" s="156"/>
      <c r="I497" s="142"/>
      <c r="J497" s="157"/>
      <c r="L497" s="48"/>
    </row>
    <row r="498" spans="2:12" ht="13.2">
      <c r="B498" s="123"/>
      <c r="F498" s="156"/>
      <c r="I498" s="142"/>
      <c r="J498" s="157"/>
      <c r="L498" s="48"/>
    </row>
    <row r="499" spans="2:12" ht="13.2">
      <c r="B499" s="123"/>
      <c r="F499" s="156"/>
      <c r="I499" s="142"/>
      <c r="J499" s="157"/>
      <c r="L499" s="48"/>
    </row>
    <row r="500" spans="2:12" ht="13.2">
      <c r="B500" s="123"/>
      <c r="F500" s="156"/>
      <c r="I500" s="142"/>
      <c r="J500" s="157"/>
      <c r="L500" s="48"/>
    </row>
    <row r="501" spans="2:12" ht="13.2">
      <c r="B501" s="123"/>
      <c r="F501" s="156"/>
      <c r="I501" s="142"/>
      <c r="J501" s="157"/>
      <c r="L501" s="48"/>
    </row>
    <row r="502" spans="2:12" ht="13.2">
      <c r="B502" s="123"/>
      <c r="F502" s="156"/>
      <c r="I502" s="142"/>
      <c r="J502" s="157"/>
      <c r="L502" s="48"/>
    </row>
    <row r="503" spans="2:12" ht="13.2">
      <c r="B503" s="123"/>
      <c r="F503" s="156"/>
      <c r="I503" s="142"/>
      <c r="J503" s="157"/>
      <c r="L503" s="48"/>
    </row>
    <row r="504" spans="2:12" ht="13.2">
      <c r="B504" s="123"/>
      <c r="F504" s="156"/>
      <c r="I504" s="142"/>
      <c r="J504" s="157"/>
      <c r="L504" s="48"/>
    </row>
    <row r="505" spans="2:12" ht="13.2">
      <c r="B505" s="123"/>
      <c r="F505" s="156"/>
      <c r="I505" s="142"/>
      <c r="J505" s="157"/>
      <c r="L505" s="48"/>
    </row>
    <row r="506" spans="2:12" ht="13.2">
      <c r="B506" s="123"/>
      <c r="F506" s="156"/>
      <c r="I506" s="142"/>
      <c r="J506" s="157"/>
      <c r="L506" s="48"/>
    </row>
    <row r="507" spans="2:12" ht="13.2">
      <c r="B507" s="123"/>
      <c r="F507" s="156"/>
      <c r="I507" s="142"/>
      <c r="J507" s="157"/>
      <c r="L507" s="48"/>
    </row>
    <row r="508" spans="2:12" ht="13.2">
      <c r="B508" s="123"/>
      <c r="F508" s="156"/>
      <c r="I508" s="142"/>
      <c r="J508" s="157"/>
      <c r="L508" s="48"/>
    </row>
    <row r="509" spans="2:12" ht="13.2">
      <c r="B509" s="123"/>
      <c r="F509" s="156"/>
      <c r="I509" s="142"/>
      <c r="J509" s="157"/>
      <c r="L509" s="48"/>
    </row>
    <row r="510" spans="2:12" ht="13.2">
      <c r="B510" s="123"/>
      <c r="F510" s="156"/>
      <c r="I510" s="142"/>
      <c r="J510" s="157"/>
      <c r="L510" s="48"/>
    </row>
    <row r="511" spans="2:12" ht="13.2">
      <c r="B511" s="123"/>
      <c r="F511" s="156"/>
      <c r="I511" s="142"/>
      <c r="J511" s="157"/>
      <c r="L511" s="48"/>
    </row>
    <row r="512" spans="2:12" ht="13.2">
      <c r="B512" s="123"/>
      <c r="F512" s="156"/>
      <c r="I512" s="142"/>
      <c r="J512" s="157"/>
      <c r="L512" s="48"/>
    </row>
    <row r="513" spans="2:12" ht="13.2">
      <c r="B513" s="123"/>
      <c r="F513" s="156"/>
      <c r="I513" s="142"/>
      <c r="J513" s="157"/>
      <c r="L513" s="48"/>
    </row>
    <row r="514" spans="2:12" ht="13.2">
      <c r="B514" s="123"/>
      <c r="F514" s="156"/>
      <c r="I514" s="142"/>
      <c r="J514" s="157"/>
      <c r="L514" s="48"/>
    </row>
    <row r="515" spans="2:12" ht="13.2">
      <c r="B515" s="123"/>
      <c r="F515" s="156"/>
      <c r="I515" s="142"/>
      <c r="J515" s="157"/>
      <c r="L515" s="48"/>
    </row>
    <row r="516" spans="2:12" ht="13.2">
      <c r="B516" s="123"/>
      <c r="F516" s="156"/>
      <c r="I516" s="142"/>
      <c r="J516" s="157"/>
      <c r="L516" s="48"/>
    </row>
    <row r="517" spans="2:12" ht="13.2">
      <c r="B517" s="123"/>
      <c r="F517" s="156"/>
      <c r="I517" s="142"/>
      <c r="J517" s="157"/>
      <c r="L517" s="48"/>
    </row>
    <row r="518" spans="2:12" ht="13.2">
      <c r="B518" s="123"/>
      <c r="F518" s="156"/>
      <c r="I518" s="142"/>
      <c r="J518" s="157"/>
      <c r="L518" s="48"/>
    </row>
    <row r="519" spans="2:12" ht="13.2">
      <c r="B519" s="123"/>
      <c r="F519" s="156"/>
      <c r="I519" s="142"/>
      <c r="J519" s="157"/>
      <c r="L519" s="48"/>
    </row>
    <row r="520" spans="2:12" ht="13.2">
      <c r="B520" s="123"/>
      <c r="F520" s="156"/>
      <c r="I520" s="142"/>
      <c r="J520" s="157"/>
      <c r="L520" s="48"/>
    </row>
    <row r="521" spans="2:12" ht="13.2">
      <c r="B521" s="123"/>
      <c r="F521" s="156"/>
      <c r="I521" s="142"/>
      <c r="J521" s="157"/>
      <c r="L521" s="48"/>
    </row>
    <row r="522" spans="2:12" ht="13.2">
      <c r="B522" s="123"/>
      <c r="F522" s="156"/>
      <c r="I522" s="142"/>
      <c r="J522" s="157"/>
      <c r="L522" s="48"/>
    </row>
    <row r="523" spans="2:12" ht="13.2">
      <c r="B523" s="123"/>
      <c r="F523" s="156"/>
      <c r="I523" s="142"/>
      <c r="J523" s="157"/>
      <c r="L523" s="48"/>
    </row>
    <row r="524" spans="2:12" ht="13.2">
      <c r="B524" s="123"/>
      <c r="F524" s="156"/>
      <c r="I524" s="142"/>
      <c r="J524" s="157"/>
      <c r="L524" s="48"/>
    </row>
    <row r="525" spans="2:12" ht="13.2">
      <c r="B525" s="123"/>
      <c r="F525" s="156"/>
      <c r="I525" s="142"/>
      <c r="J525" s="157"/>
      <c r="L525" s="48"/>
    </row>
    <row r="526" spans="2:12" ht="13.2">
      <c r="B526" s="123"/>
      <c r="F526" s="156"/>
      <c r="I526" s="142"/>
      <c r="J526" s="157"/>
      <c r="L526" s="48"/>
    </row>
    <row r="527" spans="2:12" ht="13.2">
      <c r="B527" s="123"/>
      <c r="F527" s="156"/>
      <c r="I527" s="142"/>
      <c r="J527" s="157"/>
      <c r="L527" s="48"/>
    </row>
    <row r="528" spans="2:12" ht="13.2">
      <c r="B528" s="123"/>
      <c r="F528" s="156"/>
      <c r="I528" s="142"/>
      <c r="J528" s="157"/>
      <c r="L528" s="48"/>
    </row>
    <row r="529" spans="2:12" ht="13.2">
      <c r="B529" s="123"/>
      <c r="F529" s="156"/>
      <c r="I529" s="142"/>
      <c r="J529" s="157"/>
      <c r="L529" s="48"/>
    </row>
    <row r="530" spans="2:12" ht="13.2">
      <c r="B530" s="123"/>
      <c r="F530" s="156"/>
      <c r="I530" s="142"/>
      <c r="J530" s="157"/>
      <c r="L530" s="48"/>
    </row>
    <row r="531" spans="2:12" ht="13.2">
      <c r="B531" s="123"/>
      <c r="F531" s="156"/>
      <c r="I531" s="142"/>
      <c r="J531" s="157"/>
      <c r="L531" s="48"/>
    </row>
    <row r="532" spans="2:12" ht="13.2">
      <c r="B532" s="123"/>
      <c r="F532" s="156"/>
      <c r="I532" s="142"/>
      <c r="J532" s="157"/>
      <c r="L532" s="48"/>
    </row>
    <row r="533" spans="2:12" ht="13.2">
      <c r="B533" s="123"/>
      <c r="F533" s="156"/>
      <c r="I533" s="142"/>
      <c r="J533" s="157"/>
      <c r="L533" s="48"/>
    </row>
    <row r="534" spans="2:12" ht="13.2">
      <c r="B534" s="123"/>
      <c r="F534" s="156"/>
      <c r="I534" s="142"/>
      <c r="J534" s="157"/>
      <c r="L534" s="48"/>
    </row>
    <row r="535" spans="2:12" ht="13.2">
      <c r="B535" s="123"/>
      <c r="F535" s="156"/>
      <c r="I535" s="142"/>
      <c r="J535" s="157"/>
      <c r="L535" s="48"/>
    </row>
    <row r="536" spans="2:12" ht="13.2">
      <c r="B536" s="123"/>
      <c r="F536" s="156"/>
      <c r="I536" s="142"/>
      <c r="J536" s="157"/>
      <c r="L536" s="48"/>
    </row>
    <row r="537" spans="2:12" ht="13.2">
      <c r="B537" s="123"/>
      <c r="F537" s="156"/>
      <c r="I537" s="142"/>
      <c r="J537" s="157"/>
      <c r="L537" s="48"/>
    </row>
    <row r="538" spans="2:12" ht="13.2">
      <c r="B538" s="123"/>
      <c r="F538" s="156"/>
      <c r="I538" s="142"/>
      <c r="J538" s="157"/>
      <c r="L538" s="48"/>
    </row>
    <row r="539" spans="2:12" ht="13.2">
      <c r="B539" s="123"/>
      <c r="F539" s="156"/>
      <c r="I539" s="142"/>
      <c r="J539" s="157"/>
      <c r="L539" s="48"/>
    </row>
    <row r="540" spans="2:12" ht="13.2">
      <c r="B540" s="123"/>
      <c r="F540" s="156"/>
      <c r="I540" s="142"/>
      <c r="J540" s="157"/>
      <c r="L540" s="48"/>
    </row>
    <row r="541" spans="2:12" ht="13.2">
      <c r="B541" s="123"/>
      <c r="F541" s="156"/>
      <c r="I541" s="142"/>
      <c r="J541" s="157"/>
      <c r="L541" s="48"/>
    </row>
    <row r="542" spans="2:12" ht="13.2">
      <c r="B542" s="123"/>
      <c r="F542" s="156"/>
      <c r="I542" s="142"/>
      <c r="J542" s="157"/>
      <c r="L542" s="48"/>
    </row>
    <row r="543" spans="2:12" ht="13.2">
      <c r="B543" s="123"/>
      <c r="F543" s="156"/>
      <c r="I543" s="142"/>
      <c r="J543" s="157"/>
      <c r="L543" s="48"/>
    </row>
    <row r="544" spans="2:12" ht="13.2">
      <c r="B544" s="123"/>
      <c r="F544" s="156"/>
      <c r="I544" s="142"/>
      <c r="J544" s="157"/>
      <c r="L544" s="48"/>
    </row>
    <row r="545" spans="2:12" ht="13.2">
      <c r="B545" s="123"/>
      <c r="F545" s="156"/>
      <c r="I545" s="142"/>
      <c r="J545" s="157"/>
      <c r="L545" s="48"/>
    </row>
    <row r="546" spans="2:12" ht="13.2">
      <c r="B546" s="123"/>
      <c r="F546" s="156"/>
      <c r="I546" s="142"/>
      <c r="J546" s="157"/>
      <c r="L546" s="48"/>
    </row>
    <row r="547" spans="2:12" ht="13.2">
      <c r="B547" s="123"/>
      <c r="F547" s="156"/>
      <c r="I547" s="142"/>
      <c r="J547" s="157"/>
      <c r="L547" s="48"/>
    </row>
    <row r="548" spans="2:12" ht="13.2">
      <c r="B548" s="123"/>
      <c r="F548" s="156"/>
      <c r="I548" s="142"/>
      <c r="J548" s="157"/>
      <c r="L548" s="48"/>
    </row>
    <row r="549" spans="2:12" ht="13.2">
      <c r="B549" s="123"/>
      <c r="F549" s="156"/>
      <c r="I549" s="142"/>
      <c r="J549" s="157"/>
      <c r="L549" s="48"/>
    </row>
    <row r="550" spans="2:12" ht="13.2">
      <c r="B550" s="123"/>
      <c r="F550" s="156"/>
      <c r="I550" s="142"/>
      <c r="J550" s="157"/>
      <c r="L550" s="48"/>
    </row>
    <row r="551" spans="2:12" ht="13.2">
      <c r="B551" s="123"/>
      <c r="F551" s="156"/>
      <c r="I551" s="142"/>
      <c r="J551" s="157"/>
      <c r="L551" s="48"/>
    </row>
    <row r="552" spans="2:12" ht="13.2">
      <c r="B552" s="123"/>
      <c r="F552" s="156"/>
      <c r="I552" s="142"/>
      <c r="J552" s="157"/>
      <c r="L552" s="48"/>
    </row>
    <row r="553" spans="2:12" ht="13.2">
      <c r="B553" s="123"/>
      <c r="F553" s="156"/>
      <c r="I553" s="142"/>
      <c r="J553" s="157"/>
      <c r="L553" s="48"/>
    </row>
    <row r="554" spans="2:12" ht="13.2">
      <c r="B554" s="123"/>
      <c r="F554" s="156"/>
      <c r="I554" s="142"/>
      <c r="J554" s="157"/>
      <c r="L554" s="48"/>
    </row>
    <row r="555" spans="2:12" ht="13.2">
      <c r="B555" s="123"/>
      <c r="F555" s="156"/>
      <c r="I555" s="142"/>
      <c r="J555" s="157"/>
      <c r="L555" s="48"/>
    </row>
    <row r="556" spans="2:12" ht="13.2">
      <c r="B556" s="123"/>
      <c r="F556" s="156"/>
      <c r="I556" s="142"/>
      <c r="J556" s="157"/>
      <c r="L556" s="48"/>
    </row>
    <row r="557" spans="2:12" ht="13.2">
      <c r="B557" s="123"/>
      <c r="F557" s="156"/>
      <c r="I557" s="142"/>
      <c r="J557" s="157"/>
      <c r="L557" s="48"/>
    </row>
    <row r="558" spans="2:12" ht="13.2">
      <c r="B558" s="123"/>
      <c r="F558" s="156"/>
      <c r="I558" s="142"/>
      <c r="J558" s="157"/>
      <c r="L558" s="48"/>
    </row>
    <row r="559" spans="2:12" ht="13.2">
      <c r="B559" s="123"/>
      <c r="F559" s="156"/>
      <c r="I559" s="142"/>
      <c r="J559" s="157"/>
      <c r="L559" s="48"/>
    </row>
    <row r="560" spans="2:12" ht="13.2">
      <c r="B560" s="123"/>
      <c r="F560" s="156"/>
      <c r="I560" s="142"/>
      <c r="J560" s="157"/>
      <c r="L560" s="48"/>
    </row>
    <row r="561" spans="2:12" ht="13.2">
      <c r="B561" s="123"/>
      <c r="F561" s="156"/>
      <c r="I561" s="142"/>
      <c r="J561" s="157"/>
      <c r="L561" s="48"/>
    </row>
    <row r="562" spans="2:12" ht="13.2">
      <c r="B562" s="123"/>
      <c r="F562" s="156"/>
      <c r="I562" s="142"/>
      <c r="J562" s="157"/>
      <c r="L562" s="48"/>
    </row>
    <row r="563" spans="2:12" ht="13.2">
      <c r="B563" s="123"/>
      <c r="F563" s="156"/>
      <c r="I563" s="142"/>
      <c r="J563" s="157"/>
      <c r="L563" s="48"/>
    </row>
    <row r="564" spans="2:12" ht="13.2">
      <c r="B564" s="123"/>
      <c r="F564" s="156"/>
      <c r="I564" s="142"/>
      <c r="J564" s="157"/>
      <c r="L564" s="48"/>
    </row>
    <row r="565" spans="2:12" ht="13.2">
      <c r="B565" s="123"/>
      <c r="F565" s="156"/>
      <c r="I565" s="142"/>
      <c r="J565" s="157"/>
      <c r="L565" s="48"/>
    </row>
    <row r="566" spans="2:12" ht="13.2">
      <c r="B566" s="123"/>
      <c r="F566" s="156"/>
      <c r="I566" s="142"/>
      <c r="J566" s="157"/>
      <c r="L566" s="48"/>
    </row>
    <row r="567" spans="2:12" ht="13.2">
      <c r="B567" s="123"/>
      <c r="F567" s="156"/>
      <c r="I567" s="142"/>
      <c r="J567" s="157"/>
      <c r="L567" s="48"/>
    </row>
    <row r="568" spans="2:12" ht="13.2">
      <c r="B568" s="123"/>
      <c r="F568" s="156"/>
      <c r="I568" s="142"/>
      <c r="J568" s="157"/>
      <c r="L568" s="48"/>
    </row>
    <row r="569" spans="2:12" ht="13.2">
      <c r="B569" s="123"/>
      <c r="F569" s="156"/>
      <c r="I569" s="142"/>
      <c r="J569" s="157"/>
      <c r="L569" s="48"/>
    </row>
    <row r="570" spans="2:12" ht="13.2">
      <c r="B570" s="123"/>
      <c r="F570" s="156"/>
      <c r="I570" s="142"/>
      <c r="J570" s="157"/>
      <c r="L570" s="48"/>
    </row>
    <row r="571" spans="2:12" ht="13.2">
      <c r="B571" s="123"/>
      <c r="F571" s="156"/>
      <c r="I571" s="142"/>
      <c r="J571" s="157"/>
      <c r="L571" s="48"/>
    </row>
    <row r="572" spans="2:12" ht="13.2">
      <c r="B572" s="123"/>
      <c r="F572" s="156"/>
      <c r="I572" s="142"/>
      <c r="J572" s="157"/>
      <c r="L572" s="48"/>
    </row>
    <row r="573" spans="2:12" ht="13.2">
      <c r="B573" s="123"/>
      <c r="F573" s="156"/>
      <c r="I573" s="142"/>
      <c r="J573" s="157"/>
      <c r="L573" s="48"/>
    </row>
    <row r="574" spans="2:12" ht="13.2">
      <c r="B574" s="123"/>
      <c r="F574" s="156"/>
      <c r="I574" s="142"/>
      <c r="J574" s="157"/>
      <c r="L574" s="48"/>
    </row>
    <row r="575" spans="2:12" ht="13.2">
      <c r="B575" s="123"/>
      <c r="F575" s="156"/>
      <c r="I575" s="142"/>
      <c r="J575" s="157"/>
      <c r="L575" s="48"/>
    </row>
    <row r="576" spans="2:12" ht="13.2">
      <c r="B576" s="123"/>
      <c r="F576" s="156"/>
      <c r="I576" s="142"/>
      <c r="J576" s="157"/>
      <c r="L576" s="48"/>
    </row>
    <row r="577" spans="2:12" ht="13.2">
      <c r="B577" s="123"/>
      <c r="F577" s="156"/>
      <c r="I577" s="142"/>
      <c r="J577" s="157"/>
      <c r="L577" s="48"/>
    </row>
    <row r="578" spans="2:12" ht="13.2">
      <c r="B578" s="123"/>
      <c r="F578" s="156"/>
      <c r="I578" s="142"/>
      <c r="J578" s="157"/>
      <c r="L578" s="48"/>
    </row>
    <row r="579" spans="2:12" ht="13.2">
      <c r="B579" s="123"/>
      <c r="F579" s="156"/>
      <c r="I579" s="142"/>
      <c r="J579" s="157"/>
      <c r="L579" s="48"/>
    </row>
    <row r="580" spans="2:12" ht="13.2">
      <c r="B580" s="123"/>
      <c r="F580" s="156"/>
      <c r="I580" s="142"/>
      <c r="J580" s="157"/>
      <c r="L580" s="48"/>
    </row>
    <row r="581" spans="2:12" ht="13.2">
      <c r="B581" s="123"/>
      <c r="F581" s="156"/>
      <c r="I581" s="142"/>
      <c r="J581" s="157"/>
      <c r="L581" s="48"/>
    </row>
    <row r="582" spans="2:12" ht="13.2">
      <c r="B582" s="123"/>
      <c r="F582" s="156"/>
      <c r="I582" s="142"/>
      <c r="J582" s="157"/>
      <c r="L582" s="48"/>
    </row>
    <row r="583" spans="2:12" ht="13.2">
      <c r="B583" s="123"/>
      <c r="F583" s="156"/>
      <c r="I583" s="142"/>
      <c r="J583" s="157"/>
      <c r="L583" s="48"/>
    </row>
    <row r="584" spans="2:12" ht="13.2">
      <c r="B584" s="123"/>
      <c r="F584" s="156"/>
      <c r="I584" s="142"/>
      <c r="J584" s="157"/>
      <c r="L584" s="48"/>
    </row>
    <row r="585" spans="2:12" ht="13.2">
      <c r="B585" s="123"/>
      <c r="F585" s="156"/>
      <c r="I585" s="142"/>
      <c r="J585" s="157"/>
      <c r="L585" s="48"/>
    </row>
    <row r="586" spans="2:12" ht="13.2">
      <c r="B586" s="123"/>
      <c r="F586" s="156"/>
      <c r="I586" s="142"/>
      <c r="J586" s="157"/>
      <c r="L586" s="48"/>
    </row>
    <row r="587" spans="2:12" ht="13.2">
      <c r="B587" s="123"/>
      <c r="F587" s="156"/>
      <c r="I587" s="142"/>
      <c r="J587" s="157"/>
      <c r="L587" s="48"/>
    </row>
    <row r="588" spans="2:12" ht="13.2">
      <c r="B588" s="123"/>
      <c r="F588" s="156"/>
      <c r="I588" s="142"/>
      <c r="J588" s="157"/>
      <c r="L588" s="48"/>
    </row>
    <row r="589" spans="2:12" ht="13.2">
      <c r="B589" s="123"/>
      <c r="F589" s="156"/>
      <c r="I589" s="142"/>
      <c r="J589" s="157"/>
      <c r="L589" s="48"/>
    </row>
    <row r="590" spans="2:12" ht="13.2">
      <c r="B590" s="123"/>
      <c r="F590" s="156"/>
      <c r="I590" s="142"/>
      <c r="J590" s="157"/>
      <c r="L590" s="48"/>
    </row>
    <row r="591" spans="2:12" ht="13.2">
      <c r="B591" s="123"/>
      <c r="F591" s="156"/>
      <c r="I591" s="142"/>
      <c r="J591" s="157"/>
      <c r="L591" s="48"/>
    </row>
    <row r="592" spans="2:12" ht="13.2">
      <c r="B592" s="123"/>
      <c r="F592" s="156"/>
      <c r="I592" s="142"/>
      <c r="J592" s="157"/>
      <c r="L592" s="48"/>
    </row>
    <row r="593" spans="2:12" ht="13.2">
      <c r="B593" s="123"/>
      <c r="F593" s="156"/>
      <c r="I593" s="142"/>
      <c r="J593" s="157"/>
      <c r="L593" s="48"/>
    </row>
    <row r="594" spans="2:12" ht="13.2">
      <c r="B594" s="123"/>
      <c r="F594" s="156"/>
      <c r="I594" s="142"/>
      <c r="J594" s="157"/>
      <c r="L594" s="48"/>
    </row>
    <row r="595" spans="2:12" ht="13.2">
      <c r="B595" s="123"/>
      <c r="F595" s="156"/>
      <c r="I595" s="142"/>
      <c r="J595" s="157"/>
      <c r="L595" s="48"/>
    </row>
    <row r="596" spans="2:12" ht="13.2">
      <c r="B596" s="123"/>
      <c r="F596" s="156"/>
      <c r="I596" s="142"/>
      <c r="J596" s="157"/>
      <c r="L596" s="48"/>
    </row>
    <row r="597" spans="2:12" ht="13.2">
      <c r="B597" s="123"/>
      <c r="F597" s="156"/>
      <c r="I597" s="142"/>
      <c r="J597" s="157"/>
      <c r="L597" s="48"/>
    </row>
    <row r="598" spans="2:12" ht="13.2">
      <c r="B598" s="123"/>
      <c r="F598" s="156"/>
      <c r="I598" s="142"/>
      <c r="J598" s="157"/>
      <c r="L598" s="48"/>
    </row>
    <row r="599" spans="2:12" ht="13.2">
      <c r="B599" s="123"/>
      <c r="F599" s="156"/>
      <c r="I599" s="142"/>
      <c r="J599" s="157"/>
      <c r="L599" s="48"/>
    </row>
    <row r="600" spans="2:12" ht="13.2">
      <c r="B600" s="123"/>
      <c r="F600" s="156"/>
      <c r="I600" s="142"/>
      <c r="J600" s="157"/>
      <c r="L600" s="48"/>
    </row>
    <row r="601" spans="2:12" ht="13.2">
      <c r="B601" s="123"/>
      <c r="F601" s="156"/>
      <c r="I601" s="142"/>
      <c r="J601" s="157"/>
      <c r="L601" s="48"/>
    </row>
    <row r="602" spans="2:12" ht="13.2">
      <c r="B602" s="123"/>
      <c r="F602" s="156"/>
      <c r="I602" s="142"/>
      <c r="J602" s="157"/>
      <c r="L602" s="48"/>
    </row>
    <row r="603" spans="2:12" ht="13.2">
      <c r="B603" s="123"/>
      <c r="F603" s="156"/>
      <c r="I603" s="142"/>
      <c r="J603" s="157"/>
      <c r="L603" s="48"/>
    </row>
    <row r="604" spans="2:12" ht="13.2">
      <c r="B604" s="123"/>
      <c r="F604" s="156"/>
      <c r="I604" s="142"/>
      <c r="J604" s="157"/>
      <c r="L604" s="48"/>
    </row>
    <row r="605" spans="2:12" ht="13.2">
      <c r="B605" s="123"/>
      <c r="F605" s="156"/>
      <c r="I605" s="142"/>
      <c r="J605" s="157"/>
      <c r="L605" s="48"/>
    </row>
    <row r="606" spans="2:12" ht="13.2">
      <c r="B606" s="123"/>
      <c r="F606" s="156"/>
      <c r="I606" s="142"/>
      <c r="J606" s="157"/>
      <c r="L606" s="48"/>
    </row>
    <row r="607" spans="2:12" ht="13.2">
      <c r="B607" s="123"/>
      <c r="F607" s="156"/>
      <c r="I607" s="142"/>
      <c r="J607" s="157"/>
      <c r="L607" s="48"/>
    </row>
    <row r="608" spans="2:12" ht="13.2">
      <c r="B608" s="123"/>
      <c r="F608" s="156"/>
      <c r="I608" s="142"/>
      <c r="J608" s="157"/>
      <c r="L608" s="48"/>
    </row>
    <row r="609" spans="2:12" ht="13.2">
      <c r="B609" s="123"/>
      <c r="F609" s="156"/>
      <c r="I609" s="142"/>
      <c r="J609" s="157"/>
      <c r="L609" s="48"/>
    </row>
    <row r="610" spans="2:12" ht="13.2">
      <c r="B610" s="123"/>
      <c r="F610" s="156"/>
      <c r="I610" s="142"/>
      <c r="J610" s="157"/>
      <c r="L610" s="48"/>
    </row>
    <row r="611" spans="2:12" ht="13.2">
      <c r="B611" s="123"/>
      <c r="F611" s="156"/>
      <c r="I611" s="142"/>
      <c r="J611" s="157"/>
      <c r="L611" s="48"/>
    </row>
    <row r="612" spans="2:12" ht="13.2">
      <c r="B612" s="123"/>
      <c r="F612" s="156"/>
      <c r="I612" s="142"/>
      <c r="J612" s="157"/>
      <c r="L612" s="48"/>
    </row>
    <row r="613" spans="2:12" ht="13.2">
      <c r="B613" s="123"/>
      <c r="F613" s="156"/>
      <c r="I613" s="142"/>
      <c r="J613" s="157"/>
      <c r="L613" s="48"/>
    </row>
    <row r="614" spans="2:12" ht="13.2">
      <c r="B614" s="123"/>
      <c r="F614" s="156"/>
      <c r="I614" s="142"/>
      <c r="J614" s="157"/>
      <c r="L614" s="48"/>
    </row>
    <row r="615" spans="2:12" ht="13.2">
      <c r="B615" s="123"/>
      <c r="F615" s="156"/>
      <c r="I615" s="142"/>
      <c r="J615" s="157"/>
      <c r="L615" s="48"/>
    </row>
    <row r="616" spans="2:12" ht="13.2">
      <c r="B616" s="123"/>
      <c r="F616" s="156"/>
      <c r="I616" s="142"/>
      <c r="J616" s="157"/>
      <c r="L616" s="48"/>
    </row>
    <row r="617" spans="2:12" ht="13.2">
      <c r="B617" s="123"/>
      <c r="F617" s="156"/>
      <c r="I617" s="142"/>
      <c r="J617" s="157"/>
      <c r="L617" s="48"/>
    </row>
    <row r="618" spans="2:12" ht="13.2">
      <c r="B618" s="123"/>
      <c r="F618" s="156"/>
      <c r="I618" s="142"/>
      <c r="J618" s="157"/>
      <c r="L618" s="48"/>
    </row>
    <row r="619" spans="2:12" ht="13.2">
      <c r="B619" s="123"/>
      <c r="F619" s="156"/>
      <c r="I619" s="142"/>
      <c r="J619" s="157"/>
      <c r="L619" s="48"/>
    </row>
    <row r="620" spans="2:12" ht="13.2">
      <c r="B620" s="123"/>
      <c r="F620" s="156"/>
      <c r="I620" s="142"/>
      <c r="J620" s="157"/>
      <c r="L620" s="48"/>
    </row>
    <row r="621" spans="2:12" ht="13.2">
      <c r="B621" s="123"/>
      <c r="F621" s="156"/>
      <c r="I621" s="142"/>
      <c r="J621" s="157"/>
      <c r="L621" s="48"/>
    </row>
    <row r="622" spans="2:12" ht="13.2">
      <c r="B622" s="123"/>
      <c r="F622" s="156"/>
      <c r="I622" s="142"/>
      <c r="J622" s="157"/>
      <c r="L622" s="48"/>
    </row>
    <row r="623" spans="2:12" ht="13.2">
      <c r="B623" s="123"/>
      <c r="F623" s="156"/>
      <c r="I623" s="142"/>
      <c r="J623" s="157"/>
      <c r="L623" s="48"/>
    </row>
    <row r="624" spans="2:12" ht="13.2">
      <c r="B624" s="123"/>
      <c r="F624" s="156"/>
      <c r="I624" s="142"/>
      <c r="J624" s="157"/>
      <c r="L624" s="48"/>
    </row>
    <row r="625" spans="2:12" ht="13.2">
      <c r="B625" s="123"/>
      <c r="F625" s="156"/>
      <c r="I625" s="142"/>
      <c r="J625" s="157"/>
      <c r="L625" s="48"/>
    </row>
    <row r="626" spans="2:12" ht="13.2">
      <c r="B626" s="123"/>
      <c r="F626" s="156"/>
      <c r="I626" s="142"/>
      <c r="J626" s="157"/>
      <c r="L626" s="48"/>
    </row>
    <row r="627" spans="2:12" ht="13.2">
      <c r="B627" s="123"/>
      <c r="F627" s="156"/>
      <c r="I627" s="142"/>
      <c r="J627" s="157"/>
      <c r="L627" s="48"/>
    </row>
    <row r="628" spans="2:12" ht="13.2">
      <c r="B628" s="123"/>
      <c r="F628" s="156"/>
      <c r="I628" s="142"/>
      <c r="J628" s="157"/>
      <c r="L628" s="48"/>
    </row>
    <row r="629" spans="2:12" ht="13.2">
      <c r="B629" s="123"/>
      <c r="F629" s="156"/>
      <c r="I629" s="142"/>
      <c r="J629" s="157"/>
      <c r="L629" s="48"/>
    </row>
    <row r="630" spans="2:12" ht="13.2">
      <c r="B630" s="123"/>
      <c r="F630" s="156"/>
      <c r="I630" s="142"/>
      <c r="J630" s="157"/>
      <c r="L630" s="48"/>
    </row>
    <row r="631" spans="2:12" ht="13.2">
      <c r="B631" s="123"/>
      <c r="F631" s="156"/>
      <c r="I631" s="142"/>
      <c r="J631" s="157"/>
      <c r="L631" s="48"/>
    </row>
    <row r="632" spans="2:12" ht="13.2">
      <c r="B632" s="123"/>
      <c r="F632" s="156"/>
      <c r="I632" s="142"/>
      <c r="J632" s="157"/>
      <c r="L632" s="48"/>
    </row>
    <row r="633" spans="2:12" ht="13.2">
      <c r="B633" s="123"/>
      <c r="F633" s="156"/>
      <c r="I633" s="142"/>
      <c r="J633" s="157"/>
      <c r="L633" s="48"/>
    </row>
    <row r="634" spans="2:12" ht="13.2">
      <c r="B634" s="123"/>
      <c r="F634" s="156"/>
      <c r="I634" s="142"/>
      <c r="J634" s="157"/>
      <c r="L634" s="48"/>
    </row>
    <row r="635" spans="2:12" ht="13.2">
      <c r="B635" s="123"/>
      <c r="F635" s="156"/>
      <c r="I635" s="142"/>
      <c r="J635" s="157"/>
      <c r="L635" s="48"/>
    </row>
    <row r="636" spans="2:12" ht="13.2">
      <c r="B636" s="123"/>
      <c r="F636" s="156"/>
      <c r="I636" s="142"/>
      <c r="J636" s="157"/>
      <c r="L636" s="48"/>
    </row>
    <row r="637" spans="2:12" ht="13.2">
      <c r="B637" s="123"/>
      <c r="F637" s="156"/>
      <c r="I637" s="142"/>
      <c r="J637" s="157"/>
      <c r="L637" s="48"/>
    </row>
    <row r="638" spans="2:12" ht="13.2">
      <c r="B638" s="123"/>
      <c r="F638" s="156"/>
      <c r="I638" s="142"/>
      <c r="J638" s="157"/>
      <c r="L638" s="48"/>
    </row>
    <row r="639" spans="2:12" ht="13.2">
      <c r="B639" s="123"/>
      <c r="F639" s="156"/>
      <c r="I639" s="142"/>
      <c r="J639" s="157"/>
      <c r="L639" s="48"/>
    </row>
    <row r="640" spans="2:12" ht="13.2">
      <c r="B640" s="123"/>
      <c r="F640" s="156"/>
      <c r="I640" s="142"/>
      <c r="J640" s="157"/>
      <c r="L640" s="48"/>
    </row>
    <row r="641" spans="2:12" ht="13.2">
      <c r="B641" s="123"/>
      <c r="F641" s="156"/>
      <c r="I641" s="142"/>
      <c r="J641" s="157"/>
      <c r="L641" s="48"/>
    </row>
    <row r="642" spans="2:12" ht="13.2">
      <c r="B642" s="123"/>
      <c r="F642" s="156"/>
      <c r="I642" s="142"/>
      <c r="J642" s="157"/>
      <c r="L642" s="48"/>
    </row>
    <row r="643" spans="2:12" ht="13.2">
      <c r="B643" s="123"/>
      <c r="F643" s="156"/>
      <c r="I643" s="142"/>
      <c r="J643" s="157"/>
      <c r="L643" s="48"/>
    </row>
    <row r="644" spans="2:12" ht="13.2">
      <c r="B644" s="123"/>
      <c r="F644" s="156"/>
      <c r="I644" s="142"/>
      <c r="J644" s="157"/>
      <c r="L644" s="48"/>
    </row>
    <row r="645" spans="2:12" ht="13.2">
      <c r="B645" s="123"/>
      <c r="F645" s="156"/>
      <c r="I645" s="142"/>
      <c r="J645" s="157"/>
      <c r="L645" s="48"/>
    </row>
    <row r="646" spans="2:12" ht="13.2">
      <c r="B646" s="123"/>
      <c r="F646" s="156"/>
      <c r="I646" s="142"/>
      <c r="J646" s="157"/>
      <c r="L646" s="48"/>
    </row>
    <row r="647" spans="2:12" ht="13.2">
      <c r="B647" s="123"/>
      <c r="F647" s="156"/>
      <c r="I647" s="142"/>
      <c r="J647" s="157"/>
      <c r="L647" s="48"/>
    </row>
    <row r="648" spans="2:12" ht="13.2">
      <c r="B648" s="123"/>
      <c r="F648" s="156"/>
      <c r="I648" s="142"/>
      <c r="J648" s="157"/>
      <c r="L648" s="48"/>
    </row>
    <row r="649" spans="2:12" ht="13.2">
      <c r="B649" s="123"/>
      <c r="F649" s="156"/>
      <c r="I649" s="142"/>
      <c r="J649" s="157"/>
      <c r="L649" s="48"/>
    </row>
    <row r="650" spans="2:12" ht="13.2">
      <c r="B650" s="123"/>
      <c r="F650" s="156"/>
      <c r="I650" s="142"/>
      <c r="J650" s="157"/>
      <c r="L650" s="48"/>
    </row>
    <row r="651" spans="2:12" ht="13.2">
      <c r="B651" s="123"/>
      <c r="F651" s="156"/>
      <c r="I651" s="142"/>
      <c r="J651" s="157"/>
      <c r="L651" s="48"/>
    </row>
    <row r="652" spans="2:12" ht="13.2">
      <c r="B652" s="123"/>
      <c r="F652" s="156"/>
      <c r="I652" s="142"/>
      <c r="J652" s="157"/>
      <c r="L652" s="48"/>
    </row>
    <row r="653" spans="2:12" ht="13.2">
      <c r="B653" s="123"/>
      <c r="F653" s="156"/>
      <c r="I653" s="142"/>
      <c r="J653" s="157"/>
      <c r="L653" s="48"/>
    </row>
    <row r="654" spans="2:12" ht="13.2">
      <c r="B654" s="123"/>
      <c r="F654" s="156"/>
      <c r="I654" s="142"/>
      <c r="J654" s="157"/>
      <c r="L654" s="48"/>
    </row>
    <row r="655" spans="2:12" ht="13.2">
      <c r="B655" s="123"/>
      <c r="F655" s="156"/>
      <c r="I655" s="142"/>
      <c r="J655" s="157"/>
      <c r="L655" s="48"/>
    </row>
    <row r="656" spans="2:12" ht="13.2">
      <c r="B656" s="123"/>
      <c r="F656" s="156"/>
      <c r="I656" s="142"/>
      <c r="J656" s="157"/>
      <c r="L656" s="48"/>
    </row>
    <row r="657" spans="2:12" ht="13.2">
      <c r="B657" s="123"/>
      <c r="F657" s="156"/>
      <c r="I657" s="142"/>
      <c r="J657" s="157"/>
      <c r="L657" s="48"/>
    </row>
    <row r="658" spans="2:12" ht="13.2">
      <c r="B658" s="123"/>
      <c r="F658" s="156"/>
      <c r="I658" s="142"/>
      <c r="J658" s="157"/>
      <c r="L658" s="48"/>
    </row>
    <row r="659" spans="2:12" ht="13.2">
      <c r="B659" s="123"/>
      <c r="F659" s="156"/>
      <c r="I659" s="142"/>
      <c r="J659" s="157"/>
      <c r="L659" s="48"/>
    </row>
    <row r="660" spans="2:12" ht="13.2">
      <c r="B660" s="123"/>
      <c r="F660" s="156"/>
      <c r="I660" s="142"/>
      <c r="J660" s="157"/>
      <c r="L660" s="48"/>
    </row>
    <row r="661" spans="2:12" ht="13.2">
      <c r="B661" s="123"/>
      <c r="F661" s="156"/>
      <c r="I661" s="142"/>
      <c r="J661" s="157"/>
      <c r="L661" s="48"/>
    </row>
    <row r="662" spans="2:12" ht="13.2">
      <c r="B662" s="123"/>
      <c r="F662" s="156"/>
      <c r="I662" s="142"/>
      <c r="J662" s="157"/>
      <c r="L662" s="48"/>
    </row>
    <row r="663" spans="2:12" ht="13.2">
      <c r="B663" s="123"/>
      <c r="F663" s="156"/>
      <c r="I663" s="142"/>
      <c r="J663" s="157"/>
      <c r="L663" s="48"/>
    </row>
    <row r="664" spans="2:12" ht="13.2">
      <c r="B664" s="123"/>
      <c r="F664" s="156"/>
      <c r="I664" s="142"/>
      <c r="J664" s="157"/>
      <c r="L664" s="48"/>
    </row>
    <row r="665" spans="2:12" ht="13.2">
      <c r="B665" s="123"/>
      <c r="F665" s="156"/>
      <c r="I665" s="142"/>
      <c r="J665" s="157"/>
      <c r="L665" s="48"/>
    </row>
    <row r="666" spans="2:12" ht="13.2">
      <c r="B666" s="123"/>
      <c r="F666" s="156"/>
      <c r="I666" s="142"/>
      <c r="J666" s="157"/>
      <c r="L666" s="48"/>
    </row>
    <row r="667" spans="2:12" ht="13.2">
      <c r="B667" s="123"/>
      <c r="F667" s="156"/>
      <c r="I667" s="142"/>
      <c r="J667" s="157"/>
      <c r="L667" s="48"/>
    </row>
    <row r="668" spans="2:12" ht="13.2">
      <c r="B668" s="123"/>
      <c r="F668" s="156"/>
      <c r="I668" s="142"/>
      <c r="J668" s="157"/>
      <c r="L668" s="48"/>
    </row>
    <row r="669" spans="2:12" ht="13.2">
      <c r="B669" s="123"/>
      <c r="F669" s="156"/>
      <c r="I669" s="142"/>
      <c r="J669" s="157"/>
      <c r="L669" s="48"/>
    </row>
    <row r="670" spans="2:12" ht="13.2">
      <c r="B670" s="123"/>
      <c r="F670" s="156"/>
      <c r="I670" s="142"/>
      <c r="J670" s="157"/>
      <c r="L670" s="48"/>
    </row>
    <row r="671" spans="2:12" ht="13.2">
      <c r="B671" s="123"/>
      <c r="F671" s="156"/>
      <c r="I671" s="142"/>
      <c r="J671" s="157"/>
      <c r="L671" s="48"/>
    </row>
    <row r="672" spans="2:12" ht="13.2">
      <c r="B672" s="123"/>
      <c r="F672" s="156"/>
      <c r="I672" s="142"/>
      <c r="J672" s="157"/>
      <c r="L672" s="48"/>
    </row>
    <row r="673" spans="2:12" ht="13.2">
      <c r="B673" s="123"/>
      <c r="F673" s="156"/>
      <c r="I673" s="142"/>
      <c r="J673" s="157"/>
      <c r="L673" s="48"/>
    </row>
    <row r="674" spans="2:12" ht="13.2">
      <c r="B674" s="123"/>
      <c r="F674" s="156"/>
      <c r="I674" s="142"/>
      <c r="J674" s="157"/>
      <c r="L674" s="48"/>
    </row>
    <row r="675" spans="2:12" ht="13.2">
      <c r="B675" s="123"/>
      <c r="F675" s="156"/>
      <c r="I675" s="142"/>
      <c r="J675" s="157"/>
      <c r="L675" s="48"/>
    </row>
    <row r="676" spans="2:12" ht="13.2">
      <c r="B676" s="123"/>
      <c r="F676" s="156"/>
      <c r="I676" s="142"/>
      <c r="J676" s="157"/>
      <c r="L676" s="48"/>
    </row>
    <row r="677" spans="2:12" ht="13.2">
      <c r="B677" s="123"/>
      <c r="F677" s="156"/>
      <c r="I677" s="142"/>
      <c r="J677" s="157"/>
      <c r="L677" s="48"/>
    </row>
    <row r="678" spans="2:12" ht="13.2">
      <c r="B678" s="123"/>
      <c r="F678" s="156"/>
      <c r="I678" s="142"/>
      <c r="J678" s="157"/>
      <c r="L678" s="48"/>
    </row>
    <row r="679" spans="2:12" ht="13.2">
      <c r="B679" s="123"/>
      <c r="F679" s="156"/>
      <c r="I679" s="142"/>
      <c r="J679" s="157"/>
      <c r="L679" s="48"/>
    </row>
    <row r="680" spans="2:12" ht="13.2">
      <c r="B680" s="123"/>
      <c r="F680" s="156"/>
      <c r="I680" s="142"/>
      <c r="J680" s="157"/>
      <c r="L680" s="48"/>
    </row>
    <row r="681" spans="2:12" ht="13.2">
      <c r="B681" s="123"/>
      <c r="F681" s="156"/>
      <c r="I681" s="142"/>
      <c r="J681" s="157"/>
      <c r="L681" s="48"/>
    </row>
    <row r="682" spans="2:12" ht="13.2">
      <c r="B682" s="123"/>
      <c r="F682" s="156"/>
      <c r="I682" s="142"/>
      <c r="J682" s="157"/>
      <c r="L682" s="48"/>
    </row>
    <row r="683" spans="2:12" ht="13.2">
      <c r="B683" s="123"/>
      <c r="F683" s="156"/>
      <c r="I683" s="142"/>
      <c r="J683" s="157"/>
      <c r="L683" s="48"/>
    </row>
    <row r="684" spans="2:12" ht="13.2">
      <c r="B684" s="123"/>
      <c r="F684" s="156"/>
      <c r="I684" s="142"/>
      <c r="J684" s="157"/>
      <c r="L684" s="48"/>
    </row>
    <row r="685" spans="2:12" ht="13.2">
      <c r="B685" s="123"/>
      <c r="F685" s="156"/>
      <c r="I685" s="142"/>
      <c r="J685" s="157"/>
      <c r="L685" s="48"/>
    </row>
    <row r="686" spans="2:12" ht="13.2">
      <c r="B686" s="123"/>
      <c r="F686" s="156"/>
      <c r="I686" s="142"/>
      <c r="J686" s="157"/>
      <c r="L686" s="48"/>
    </row>
    <row r="687" spans="2:12" ht="13.2">
      <c r="B687" s="123"/>
      <c r="F687" s="156"/>
      <c r="I687" s="142"/>
      <c r="J687" s="157"/>
      <c r="L687" s="48"/>
    </row>
    <row r="688" spans="2:12" ht="13.2">
      <c r="B688" s="123"/>
      <c r="F688" s="156"/>
      <c r="I688" s="142"/>
      <c r="J688" s="157"/>
      <c r="L688" s="48"/>
    </row>
    <row r="689" spans="2:12" ht="13.2">
      <c r="B689" s="123"/>
      <c r="F689" s="156"/>
      <c r="I689" s="142"/>
      <c r="J689" s="157"/>
      <c r="L689" s="48"/>
    </row>
    <row r="690" spans="2:12" ht="13.2">
      <c r="B690" s="123"/>
      <c r="F690" s="156"/>
      <c r="I690" s="142"/>
      <c r="J690" s="157"/>
      <c r="L690" s="48"/>
    </row>
    <row r="691" spans="2:12" ht="13.2">
      <c r="B691" s="123"/>
      <c r="F691" s="156"/>
      <c r="I691" s="142"/>
      <c r="J691" s="157"/>
      <c r="L691" s="48"/>
    </row>
    <row r="692" spans="2:12" ht="13.2">
      <c r="B692" s="123"/>
      <c r="F692" s="156"/>
      <c r="I692" s="142"/>
      <c r="J692" s="157"/>
      <c r="L692" s="48"/>
    </row>
    <row r="693" spans="2:12" ht="13.2">
      <c r="B693" s="123"/>
      <c r="F693" s="156"/>
      <c r="I693" s="142"/>
      <c r="J693" s="157"/>
      <c r="L693" s="48"/>
    </row>
    <row r="694" spans="2:12" ht="13.2">
      <c r="B694" s="123"/>
      <c r="F694" s="156"/>
      <c r="I694" s="142"/>
      <c r="J694" s="157"/>
      <c r="L694" s="48"/>
    </row>
    <row r="695" spans="2:12" ht="13.2">
      <c r="B695" s="123"/>
      <c r="F695" s="156"/>
      <c r="I695" s="142"/>
      <c r="J695" s="157"/>
      <c r="L695" s="48"/>
    </row>
    <row r="696" spans="2:12" ht="13.2">
      <c r="B696" s="123"/>
      <c r="F696" s="156"/>
      <c r="I696" s="142"/>
      <c r="J696" s="157"/>
      <c r="L696" s="48"/>
    </row>
    <row r="697" spans="2:12" ht="13.2">
      <c r="B697" s="123"/>
      <c r="F697" s="156"/>
      <c r="I697" s="142"/>
      <c r="J697" s="157"/>
      <c r="L697" s="48"/>
    </row>
    <row r="698" spans="2:12" ht="13.2">
      <c r="B698" s="123"/>
      <c r="F698" s="156"/>
      <c r="I698" s="142"/>
      <c r="J698" s="157"/>
      <c r="L698" s="48"/>
    </row>
    <row r="699" spans="2:12" ht="13.2">
      <c r="B699" s="123"/>
      <c r="F699" s="156"/>
      <c r="I699" s="142"/>
      <c r="J699" s="157"/>
      <c r="L699" s="48"/>
    </row>
    <row r="700" spans="2:12" ht="13.2">
      <c r="B700" s="123"/>
      <c r="F700" s="156"/>
      <c r="I700" s="142"/>
      <c r="J700" s="157"/>
      <c r="L700" s="48"/>
    </row>
    <row r="701" spans="2:12" ht="13.2">
      <c r="B701" s="123"/>
      <c r="F701" s="156"/>
      <c r="I701" s="142"/>
      <c r="J701" s="157"/>
      <c r="L701" s="48"/>
    </row>
    <row r="702" spans="2:12" ht="13.2">
      <c r="B702" s="123"/>
      <c r="F702" s="156"/>
      <c r="I702" s="142"/>
      <c r="J702" s="157"/>
      <c r="L702" s="48"/>
    </row>
    <row r="703" spans="2:12" ht="13.2">
      <c r="B703" s="123"/>
      <c r="F703" s="156"/>
      <c r="I703" s="142"/>
      <c r="J703" s="157"/>
      <c r="L703" s="48"/>
    </row>
    <row r="704" spans="2:12" ht="13.2">
      <c r="B704" s="123"/>
      <c r="F704" s="156"/>
      <c r="I704" s="142"/>
      <c r="J704" s="157"/>
      <c r="L704" s="48"/>
    </row>
    <row r="705" spans="2:12" ht="13.2">
      <c r="B705" s="123"/>
      <c r="F705" s="156"/>
      <c r="I705" s="142"/>
      <c r="J705" s="157"/>
      <c r="L705" s="48"/>
    </row>
    <row r="706" spans="2:12" ht="13.2">
      <c r="B706" s="123"/>
      <c r="F706" s="156"/>
      <c r="I706" s="142"/>
      <c r="J706" s="157"/>
      <c r="L706" s="48"/>
    </row>
    <row r="707" spans="2:12" ht="13.2">
      <c r="B707" s="123"/>
      <c r="F707" s="156"/>
      <c r="I707" s="142"/>
      <c r="J707" s="157"/>
      <c r="L707" s="48"/>
    </row>
    <row r="708" spans="2:12" ht="13.2">
      <c r="B708" s="123"/>
      <c r="F708" s="156"/>
      <c r="I708" s="142"/>
      <c r="J708" s="157"/>
      <c r="L708" s="48"/>
    </row>
    <row r="709" spans="2:12" ht="13.2">
      <c r="B709" s="123"/>
      <c r="F709" s="156"/>
      <c r="I709" s="142"/>
      <c r="J709" s="157"/>
      <c r="L709" s="48"/>
    </row>
    <row r="710" spans="2:12" ht="13.2">
      <c r="B710" s="123"/>
      <c r="F710" s="156"/>
      <c r="I710" s="142"/>
      <c r="J710" s="157"/>
      <c r="L710" s="48"/>
    </row>
    <row r="711" spans="2:12" ht="13.2">
      <c r="B711" s="123"/>
      <c r="F711" s="156"/>
      <c r="I711" s="142"/>
      <c r="J711" s="157"/>
      <c r="L711" s="48"/>
    </row>
    <row r="712" spans="2:12" ht="13.2">
      <c r="B712" s="123"/>
      <c r="F712" s="156"/>
      <c r="I712" s="142"/>
      <c r="J712" s="157"/>
      <c r="L712" s="48"/>
    </row>
    <row r="713" spans="2:12" ht="13.2">
      <c r="B713" s="123"/>
      <c r="F713" s="156"/>
      <c r="I713" s="142"/>
      <c r="J713" s="157"/>
      <c r="L713" s="48"/>
    </row>
    <row r="714" spans="2:12" ht="13.2">
      <c r="B714" s="123"/>
      <c r="F714" s="156"/>
      <c r="I714" s="142"/>
      <c r="J714" s="157"/>
      <c r="L714" s="48"/>
    </row>
    <row r="715" spans="2:12" ht="13.2">
      <c r="B715" s="123"/>
      <c r="F715" s="156"/>
      <c r="I715" s="142"/>
      <c r="J715" s="157"/>
      <c r="L715" s="48"/>
    </row>
    <row r="716" spans="2:12" ht="13.2">
      <c r="B716" s="123"/>
      <c r="F716" s="156"/>
      <c r="I716" s="142"/>
      <c r="J716" s="157"/>
      <c r="L716" s="48"/>
    </row>
    <row r="717" spans="2:12" ht="13.2">
      <c r="B717" s="123"/>
      <c r="F717" s="156"/>
      <c r="I717" s="142"/>
      <c r="J717" s="157"/>
      <c r="L717" s="48"/>
    </row>
    <row r="718" spans="2:12" ht="13.2">
      <c r="B718" s="123"/>
      <c r="F718" s="156"/>
      <c r="I718" s="142"/>
      <c r="J718" s="157"/>
      <c r="L718" s="48"/>
    </row>
    <row r="719" spans="2:12" ht="13.2">
      <c r="B719" s="123"/>
      <c r="F719" s="156"/>
      <c r="I719" s="142"/>
      <c r="J719" s="157"/>
      <c r="L719" s="48"/>
    </row>
    <row r="720" spans="2:12" ht="13.2">
      <c r="B720" s="123"/>
      <c r="F720" s="156"/>
      <c r="I720" s="142"/>
      <c r="J720" s="157"/>
      <c r="L720" s="48"/>
    </row>
    <row r="721" spans="2:12" ht="13.2">
      <c r="B721" s="123"/>
      <c r="F721" s="156"/>
      <c r="I721" s="142"/>
      <c r="J721" s="157"/>
      <c r="L721" s="48"/>
    </row>
    <row r="722" spans="2:12" ht="13.2">
      <c r="B722" s="123"/>
      <c r="F722" s="156"/>
      <c r="I722" s="142"/>
      <c r="J722" s="157"/>
      <c r="L722" s="48"/>
    </row>
    <row r="723" spans="2:12" ht="13.2">
      <c r="B723" s="123"/>
      <c r="F723" s="156"/>
      <c r="I723" s="142"/>
      <c r="J723" s="157"/>
      <c r="L723" s="48"/>
    </row>
    <row r="724" spans="2:12" ht="13.2">
      <c r="B724" s="123"/>
      <c r="F724" s="156"/>
      <c r="I724" s="142"/>
      <c r="J724" s="157"/>
      <c r="L724" s="48"/>
    </row>
    <row r="725" spans="2:12" ht="13.2">
      <c r="B725" s="123"/>
      <c r="F725" s="156"/>
      <c r="I725" s="142"/>
      <c r="J725" s="157"/>
      <c r="L725" s="48"/>
    </row>
    <row r="726" spans="2:12" ht="13.2">
      <c r="B726" s="123"/>
      <c r="F726" s="156"/>
      <c r="I726" s="142"/>
      <c r="J726" s="157"/>
      <c r="L726" s="48"/>
    </row>
    <row r="727" spans="2:12" ht="13.2">
      <c r="B727" s="123"/>
      <c r="F727" s="156"/>
      <c r="I727" s="142"/>
      <c r="J727" s="157"/>
      <c r="L727" s="48"/>
    </row>
    <row r="728" spans="2:12" ht="13.2">
      <c r="B728" s="123"/>
      <c r="F728" s="156"/>
      <c r="I728" s="142"/>
      <c r="J728" s="157"/>
      <c r="L728" s="48"/>
    </row>
    <row r="729" spans="2:12" ht="13.2">
      <c r="B729" s="123"/>
      <c r="F729" s="156"/>
      <c r="I729" s="142"/>
      <c r="J729" s="157"/>
      <c r="L729" s="48"/>
    </row>
    <row r="730" spans="2:12" ht="13.2">
      <c r="B730" s="123"/>
      <c r="F730" s="156"/>
      <c r="I730" s="142"/>
      <c r="J730" s="157"/>
      <c r="L730" s="48"/>
    </row>
    <row r="731" spans="2:12" ht="13.2">
      <c r="B731" s="123"/>
      <c r="F731" s="156"/>
      <c r="I731" s="142"/>
      <c r="J731" s="157"/>
      <c r="L731" s="48"/>
    </row>
    <row r="732" spans="2:12" ht="13.2">
      <c r="B732" s="123"/>
      <c r="F732" s="156"/>
      <c r="I732" s="142"/>
      <c r="J732" s="157"/>
      <c r="L732" s="48"/>
    </row>
    <row r="733" spans="2:12" ht="13.2">
      <c r="B733" s="123"/>
      <c r="F733" s="156"/>
      <c r="I733" s="142"/>
      <c r="J733" s="157"/>
      <c r="L733" s="48"/>
    </row>
    <row r="734" spans="2:12" ht="13.2">
      <c r="B734" s="123"/>
      <c r="F734" s="156"/>
      <c r="I734" s="142"/>
      <c r="J734" s="157"/>
      <c r="L734" s="48"/>
    </row>
    <row r="735" spans="2:12" ht="13.2">
      <c r="B735" s="123"/>
      <c r="F735" s="156"/>
      <c r="I735" s="142"/>
      <c r="J735" s="157"/>
      <c r="L735" s="48"/>
    </row>
    <row r="736" spans="2:12" ht="13.2">
      <c r="B736" s="123"/>
      <c r="F736" s="156"/>
      <c r="I736" s="142"/>
      <c r="J736" s="157"/>
      <c r="L736" s="48"/>
    </row>
    <row r="737" spans="2:12" ht="13.2">
      <c r="B737" s="123"/>
      <c r="F737" s="156"/>
      <c r="I737" s="142"/>
      <c r="J737" s="157"/>
      <c r="L737" s="48"/>
    </row>
    <row r="738" spans="2:12" ht="13.2">
      <c r="B738" s="123"/>
      <c r="F738" s="156"/>
      <c r="I738" s="142"/>
      <c r="J738" s="157"/>
      <c r="L738" s="48"/>
    </row>
    <row r="739" spans="2:12" ht="13.2">
      <c r="B739" s="123"/>
      <c r="F739" s="156"/>
      <c r="I739" s="142"/>
      <c r="J739" s="157"/>
      <c r="L739" s="48"/>
    </row>
    <row r="740" spans="2:12" ht="13.2">
      <c r="B740" s="123"/>
      <c r="F740" s="156"/>
      <c r="I740" s="142"/>
      <c r="J740" s="157"/>
      <c r="L740" s="48"/>
    </row>
    <row r="741" spans="2:12" ht="13.2">
      <c r="B741" s="123"/>
      <c r="F741" s="156"/>
      <c r="I741" s="142"/>
      <c r="J741" s="157"/>
      <c r="L741" s="48"/>
    </row>
    <row r="742" spans="2:12" ht="13.2">
      <c r="B742" s="123"/>
      <c r="F742" s="156"/>
      <c r="I742" s="142"/>
      <c r="J742" s="157"/>
      <c r="L742" s="48"/>
    </row>
    <row r="743" spans="2:12" ht="13.2">
      <c r="B743" s="123"/>
      <c r="F743" s="156"/>
      <c r="I743" s="142"/>
      <c r="J743" s="157"/>
      <c r="L743" s="48"/>
    </row>
    <row r="744" spans="2:12" ht="13.2">
      <c r="B744" s="123"/>
      <c r="F744" s="156"/>
      <c r="I744" s="142"/>
      <c r="J744" s="157"/>
      <c r="L744" s="48"/>
    </row>
    <row r="745" spans="2:12" ht="13.2">
      <c r="B745" s="123"/>
      <c r="F745" s="156"/>
      <c r="I745" s="142"/>
      <c r="J745" s="157"/>
      <c r="L745" s="48"/>
    </row>
    <row r="746" spans="2:12" ht="13.2">
      <c r="B746" s="123"/>
      <c r="F746" s="156"/>
      <c r="I746" s="142"/>
      <c r="J746" s="157"/>
      <c r="L746" s="48"/>
    </row>
    <row r="747" spans="2:12" ht="13.2">
      <c r="B747" s="123"/>
      <c r="F747" s="156"/>
      <c r="I747" s="142"/>
      <c r="J747" s="157"/>
      <c r="L747" s="48"/>
    </row>
    <row r="748" spans="2:12" ht="13.2">
      <c r="B748" s="123"/>
      <c r="F748" s="156"/>
      <c r="I748" s="142"/>
      <c r="J748" s="157"/>
      <c r="L748" s="48"/>
    </row>
    <row r="749" spans="2:12" ht="13.2">
      <c r="B749" s="123"/>
      <c r="F749" s="156"/>
      <c r="I749" s="142"/>
      <c r="J749" s="157"/>
      <c r="L749" s="48"/>
    </row>
    <row r="750" spans="2:12" ht="13.2">
      <c r="B750" s="123"/>
      <c r="F750" s="156"/>
      <c r="I750" s="142"/>
      <c r="J750" s="157"/>
      <c r="L750" s="48"/>
    </row>
    <row r="751" spans="2:12" ht="13.2">
      <c r="B751" s="123"/>
      <c r="F751" s="156"/>
      <c r="I751" s="142"/>
      <c r="J751" s="157"/>
      <c r="L751" s="48"/>
    </row>
    <row r="752" spans="2:12" ht="13.2">
      <c r="B752" s="123"/>
      <c r="F752" s="156"/>
      <c r="I752" s="142"/>
      <c r="J752" s="157"/>
      <c r="L752" s="48"/>
    </row>
    <row r="753" spans="2:12" ht="13.2">
      <c r="B753" s="123"/>
      <c r="F753" s="156"/>
      <c r="I753" s="142"/>
      <c r="J753" s="157"/>
      <c r="L753" s="48"/>
    </row>
    <row r="754" spans="2:12" ht="13.2">
      <c r="B754" s="123"/>
      <c r="F754" s="156"/>
      <c r="I754" s="142"/>
      <c r="J754" s="157"/>
      <c r="L754" s="48"/>
    </row>
    <row r="755" spans="2:12" ht="13.2">
      <c r="B755" s="123"/>
      <c r="F755" s="156"/>
      <c r="I755" s="142"/>
      <c r="J755" s="157"/>
      <c r="L755" s="48"/>
    </row>
    <row r="756" spans="2:12" ht="13.2">
      <c r="B756" s="123"/>
      <c r="F756" s="156"/>
      <c r="I756" s="142"/>
      <c r="J756" s="157"/>
      <c r="L756" s="48"/>
    </row>
    <row r="757" spans="2:12" ht="13.2">
      <c r="B757" s="123"/>
      <c r="F757" s="156"/>
      <c r="I757" s="142"/>
      <c r="J757" s="157"/>
      <c r="L757" s="48"/>
    </row>
    <row r="758" spans="2:12" ht="13.2">
      <c r="B758" s="123"/>
      <c r="F758" s="156"/>
      <c r="I758" s="142"/>
      <c r="J758" s="157"/>
      <c r="L758" s="48"/>
    </row>
    <row r="759" spans="2:12" ht="13.2">
      <c r="B759" s="123"/>
      <c r="F759" s="156"/>
      <c r="I759" s="142"/>
      <c r="J759" s="157"/>
      <c r="L759" s="48"/>
    </row>
    <row r="760" spans="2:12" ht="13.2">
      <c r="B760" s="123"/>
      <c r="F760" s="156"/>
      <c r="I760" s="142"/>
      <c r="J760" s="157"/>
      <c r="L760" s="48"/>
    </row>
    <row r="761" spans="2:12" ht="13.2">
      <c r="B761" s="123"/>
      <c r="F761" s="156"/>
      <c r="I761" s="142"/>
      <c r="J761" s="157"/>
      <c r="L761" s="48"/>
    </row>
    <row r="762" spans="2:12" ht="13.2">
      <c r="B762" s="123"/>
      <c r="F762" s="156"/>
      <c r="I762" s="142"/>
      <c r="J762" s="157"/>
      <c r="L762" s="48"/>
    </row>
    <row r="763" spans="2:12" ht="13.2">
      <c r="B763" s="123"/>
      <c r="F763" s="156"/>
      <c r="I763" s="142"/>
      <c r="J763" s="157"/>
      <c r="L763" s="48"/>
    </row>
    <row r="764" spans="2:12" ht="13.2">
      <c r="B764" s="123"/>
      <c r="F764" s="156"/>
      <c r="I764" s="142"/>
      <c r="J764" s="157"/>
      <c r="L764" s="48"/>
    </row>
    <row r="765" spans="2:12" ht="13.2">
      <c r="B765" s="123"/>
      <c r="F765" s="156"/>
      <c r="I765" s="142"/>
      <c r="J765" s="157"/>
      <c r="L765" s="48"/>
    </row>
    <row r="766" spans="2:12" ht="13.2">
      <c r="B766" s="123"/>
      <c r="F766" s="156"/>
      <c r="I766" s="142"/>
      <c r="J766" s="157"/>
      <c r="L766" s="48"/>
    </row>
    <row r="767" spans="2:12" ht="13.2">
      <c r="B767" s="123"/>
      <c r="F767" s="156"/>
      <c r="I767" s="142"/>
      <c r="J767" s="157"/>
      <c r="L767" s="48"/>
    </row>
    <row r="768" spans="2:12" ht="13.2">
      <c r="B768" s="123"/>
      <c r="F768" s="156"/>
      <c r="I768" s="142"/>
      <c r="J768" s="157"/>
      <c r="L768" s="48"/>
    </row>
    <row r="769" spans="2:12" ht="13.2">
      <c r="B769" s="123"/>
      <c r="F769" s="156"/>
      <c r="I769" s="142"/>
      <c r="J769" s="157"/>
      <c r="L769" s="48"/>
    </row>
    <row r="770" spans="2:12" ht="13.2">
      <c r="B770" s="123"/>
      <c r="F770" s="156"/>
      <c r="I770" s="142"/>
      <c r="J770" s="157"/>
      <c r="L770" s="48"/>
    </row>
    <row r="771" spans="2:12" ht="13.2">
      <c r="B771" s="123"/>
      <c r="F771" s="156"/>
      <c r="I771" s="142"/>
      <c r="J771" s="157"/>
      <c r="L771" s="48"/>
    </row>
    <row r="772" spans="2:12" ht="13.2">
      <c r="B772" s="123"/>
      <c r="F772" s="156"/>
      <c r="I772" s="142"/>
      <c r="J772" s="157"/>
      <c r="L772" s="48"/>
    </row>
    <row r="773" spans="2:12" ht="13.2">
      <c r="B773" s="123"/>
      <c r="F773" s="156"/>
      <c r="I773" s="142"/>
      <c r="J773" s="157"/>
      <c r="L773" s="48"/>
    </row>
    <row r="774" spans="2:12" ht="13.2">
      <c r="B774" s="123"/>
      <c r="F774" s="156"/>
      <c r="I774" s="142"/>
      <c r="J774" s="157"/>
      <c r="L774" s="48"/>
    </row>
    <row r="775" spans="2:12" ht="13.2">
      <c r="B775" s="123"/>
      <c r="F775" s="156"/>
      <c r="I775" s="142"/>
      <c r="J775" s="157"/>
      <c r="L775" s="48"/>
    </row>
    <row r="776" spans="2:12" ht="13.2">
      <c r="B776" s="123"/>
      <c r="F776" s="156"/>
      <c r="I776" s="142"/>
      <c r="J776" s="157"/>
      <c r="L776" s="48"/>
    </row>
    <row r="777" spans="2:12" ht="13.2">
      <c r="B777" s="123"/>
      <c r="F777" s="156"/>
      <c r="I777" s="142"/>
      <c r="J777" s="157"/>
      <c r="L777" s="48"/>
    </row>
    <row r="778" spans="2:12" ht="13.2">
      <c r="B778" s="123"/>
      <c r="F778" s="156"/>
      <c r="I778" s="142"/>
      <c r="J778" s="157"/>
      <c r="L778" s="48"/>
    </row>
    <row r="779" spans="2:12" ht="13.2">
      <c r="B779" s="123"/>
      <c r="F779" s="156"/>
      <c r="I779" s="142"/>
      <c r="J779" s="157"/>
      <c r="L779" s="48"/>
    </row>
    <row r="780" spans="2:12" ht="13.2">
      <c r="B780" s="123"/>
      <c r="F780" s="156"/>
      <c r="I780" s="142"/>
      <c r="J780" s="157"/>
      <c r="L780" s="48"/>
    </row>
    <row r="781" spans="2:12" ht="13.2">
      <c r="B781" s="123"/>
      <c r="F781" s="156"/>
      <c r="I781" s="142"/>
      <c r="J781" s="157"/>
      <c r="L781" s="48"/>
    </row>
    <row r="782" spans="2:12" ht="13.2">
      <c r="B782" s="123"/>
      <c r="F782" s="156"/>
      <c r="I782" s="142"/>
      <c r="J782" s="157"/>
      <c r="L782" s="48"/>
    </row>
    <row r="783" spans="2:12" ht="13.2">
      <c r="B783" s="123"/>
      <c r="F783" s="156"/>
      <c r="I783" s="142"/>
      <c r="J783" s="157"/>
      <c r="L783" s="48"/>
    </row>
    <row r="784" spans="2:12" ht="13.2">
      <c r="B784" s="123"/>
      <c r="F784" s="156"/>
      <c r="I784" s="142"/>
      <c r="J784" s="157"/>
      <c r="L784" s="48"/>
    </row>
    <row r="785" spans="2:12" ht="13.2">
      <c r="B785" s="123"/>
      <c r="F785" s="156"/>
      <c r="I785" s="142"/>
      <c r="J785" s="157"/>
      <c r="L785" s="48"/>
    </row>
    <row r="786" spans="2:12" ht="13.2">
      <c r="B786" s="123"/>
      <c r="F786" s="156"/>
      <c r="I786" s="142"/>
      <c r="J786" s="157"/>
      <c r="L786" s="48"/>
    </row>
    <row r="787" spans="2:12" ht="13.2">
      <c r="B787" s="123"/>
      <c r="F787" s="156"/>
      <c r="I787" s="142"/>
      <c r="J787" s="157"/>
      <c r="L787" s="48"/>
    </row>
    <row r="788" spans="2:12" ht="13.2">
      <c r="B788" s="123"/>
      <c r="F788" s="156"/>
      <c r="I788" s="142"/>
      <c r="J788" s="157"/>
      <c r="L788" s="48"/>
    </row>
    <row r="789" spans="2:12" ht="13.2">
      <c r="B789" s="123"/>
      <c r="F789" s="156"/>
      <c r="I789" s="142"/>
      <c r="J789" s="157"/>
      <c r="L789" s="48"/>
    </row>
    <row r="790" spans="2:12" ht="13.2">
      <c r="B790" s="123"/>
      <c r="F790" s="156"/>
      <c r="I790" s="142"/>
      <c r="J790" s="157"/>
      <c r="L790" s="48"/>
    </row>
    <row r="791" spans="2:12" ht="13.2">
      <c r="B791" s="123"/>
      <c r="F791" s="156"/>
      <c r="I791" s="142"/>
      <c r="J791" s="157"/>
      <c r="L791" s="48"/>
    </row>
    <row r="792" spans="2:12" ht="13.2">
      <c r="B792" s="123"/>
      <c r="F792" s="156"/>
      <c r="I792" s="142"/>
      <c r="J792" s="157"/>
      <c r="L792" s="48"/>
    </row>
    <row r="793" spans="2:12" ht="13.2">
      <c r="B793" s="123"/>
      <c r="F793" s="156"/>
      <c r="I793" s="142"/>
      <c r="J793" s="157"/>
      <c r="L793" s="48"/>
    </row>
    <row r="794" spans="2:12" ht="13.2">
      <c r="B794" s="123"/>
      <c r="F794" s="156"/>
      <c r="I794" s="142"/>
      <c r="J794" s="157"/>
      <c r="L794" s="48"/>
    </row>
    <row r="795" spans="2:12" ht="13.2">
      <c r="B795" s="123"/>
      <c r="F795" s="156"/>
      <c r="I795" s="142"/>
      <c r="J795" s="157"/>
      <c r="L795" s="48"/>
    </row>
    <row r="796" spans="2:12" ht="13.2">
      <c r="B796" s="123"/>
      <c r="F796" s="156"/>
      <c r="I796" s="142"/>
      <c r="J796" s="157"/>
      <c r="L796" s="48"/>
    </row>
    <row r="797" spans="2:12" ht="13.2">
      <c r="B797" s="123"/>
      <c r="F797" s="156"/>
      <c r="I797" s="142"/>
      <c r="J797" s="157"/>
      <c r="L797" s="48"/>
    </row>
    <row r="798" spans="2:12" ht="13.2">
      <c r="B798" s="123"/>
      <c r="F798" s="156"/>
      <c r="I798" s="142"/>
      <c r="J798" s="157"/>
      <c r="L798" s="48"/>
    </row>
    <row r="799" spans="2:12" ht="13.2">
      <c r="B799" s="123"/>
      <c r="F799" s="156"/>
      <c r="I799" s="142"/>
      <c r="J799" s="157"/>
      <c r="L799" s="48"/>
    </row>
    <row r="800" spans="2:12" ht="13.2">
      <c r="B800" s="123"/>
      <c r="F800" s="156"/>
      <c r="I800" s="142"/>
      <c r="J800" s="157"/>
      <c r="L800" s="48"/>
    </row>
    <row r="801" spans="2:12" ht="13.2">
      <c r="B801" s="123"/>
      <c r="F801" s="156"/>
      <c r="I801" s="142"/>
      <c r="J801" s="157"/>
      <c r="L801" s="48"/>
    </row>
    <row r="802" spans="2:12" ht="13.2">
      <c r="B802" s="123"/>
      <c r="F802" s="156"/>
      <c r="I802" s="142"/>
      <c r="J802" s="157"/>
      <c r="L802" s="48"/>
    </row>
    <row r="803" spans="2:12" ht="13.2">
      <c r="B803" s="123"/>
      <c r="F803" s="156"/>
      <c r="I803" s="142"/>
      <c r="J803" s="157"/>
      <c r="L803" s="48"/>
    </row>
    <row r="804" spans="2:12" ht="13.2">
      <c r="B804" s="123"/>
      <c r="F804" s="156"/>
      <c r="I804" s="142"/>
      <c r="J804" s="157"/>
      <c r="L804" s="48"/>
    </row>
    <row r="805" spans="2:12" ht="13.2">
      <c r="B805" s="123"/>
      <c r="F805" s="156"/>
      <c r="I805" s="142"/>
      <c r="J805" s="157"/>
      <c r="L805" s="48"/>
    </row>
    <row r="806" spans="2:12" ht="13.2">
      <c r="B806" s="123"/>
      <c r="F806" s="156"/>
      <c r="I806" s="142"/>
      <c r="J806" s="157"/>
      <c r="L806" s="48"/>
    </row>
    <row r="807" spans="2:12" ht="13.2">
      <c r="B807" s="123"/>
      <c r="F807" s="156"/>
      <c r="I807" s="142"/>
      <c r="J807" s="157"/>
      <c r="L807" s="48"/>
    </row>
    <row r="808" spans="2:12" ht="13.2">
      <c r="B808" s="123"/>
      <c r="F808" s="156"/>
      <c r="I808" s="142"/>
      <c r="J808" s="157"/>
      <c r="L808" s="48"/>
    </row>
    <row r="809" spans="2:12" ht="13.2">
      <c r="B809" s="123"/>
      <c r="F809" s="156"/>
      <c r="I809" s="142"/>
      <c r="J809" s="157"/>
      <c r="L809" s="48"/>
    </row>
    <row r="810" spans="2:12" ht="13.2">
      <c r="B810" s="123"/>
      <c r="F810" s="156"/>
      <c r="I810" s="142"/>
      <c r="J810" s="157"/>
      <c r="L810" s="48"/>
    </row>
    <row r="811" spans="2:12" ht="13.2">
      <c r="B811" s="123"/>
      <c r="F811" s="156"/>
      <c r="I811" s="142"/>
      <c r="J811" s="157"/>
      <c r="L811" s="48"/>
    </row>
    <row r="812" spans="2:12" ht="13.2">
      <c r="B812" s="123"/>
      <c r="F812" s="156"/>
      <c r="I812" s="142"/>
      <c r="J812" s="157"/>
      <c r="L812" s="48"/>
    </row>
    <row r="813" spans="2:12" ht="13.2">
      <c r="B813" s="123"/>
      <c r="F813" s="156"/>
      <c r="I813" s="142"/>
      <c r="J813" s="157"/>
      <c r="L813" s="48"/>
    </row>
    <row r="814" spans="2:12" ht="13.2">
      <c r="B814" s="123"/>
      <c r="F814" s="156"/>
      <c r="I814" s="142"/>
      <c r="J814" s="157"/>
      <c r="L814" s="48"/>
    </row>
    <row r="815" spans="2:12" ht="13.2">
      <c r="B815" s="123"/>
      <c r="F815" s="156"/>
      <c r="I815" s="142"/>
      <c r="J815" s="157"/>
      <c r="L815" s="48"/>
    </row>
    <row r="816" spans="2:12" ht="13.2">
      <c r="B816" s="123"/>
      <c r="F816" s="156"/>
      <c r="I816" s="142"/>
      <c r="J816" s="157"/>
      <c r="L816" s="48"/>
    </row>
    <row r="817" spans="2:12" ht="13.2">
      <c r="B817" s="123"/>
      <c r="F817" s="156"/>
      <c r="I817" s="142"/>
      <c r="J817" s="157"/>
      <c r="L817" s="48"/>
    </row>
    <row r="818" spans="2:12" ht="13.2">
      <c r="B818" s="123"/>
      <c r="F818" s="156"/>
      <c r="I818" s="142"/>
      <c r="J818" s="157"/>
      <c r="L818" s="48"/>
    </row>
    <row r="819" spans="2:12" ht="13.2">
      <c r="B819" s="123"/>
      <c r="F819" s="156"/>
      <c r="I819" s="142"/>
      <c r="J819" s="157"/>
      <c r="L819" s="48"/>
    </row>
    <row r="820" spans="2:12" ht="13.2">
      <c r="B820" s="123"/>
      <c r="F820" s="156"/>
      <c r="I820" s="142"/>
      <c r="J820" s="157"/>
      <c r="L820" s="48"/>
    </row>
    <row r="821" spans="2:12" ht="13.2">
      <c r="B821" s="123"/>
      <c r="F821" s="156"/>
      <c r="I821" s="142"/>
      <c r="J821" s="157"/>
      <c r="L821" s="48"/>
    </row>
    <row r="822" spans="2:12" ht="13.2">
      <c r="B822" s="123"/>
      <c r="F822" s="156"/>
      <c r="I822" s="142"/>
      <c r="J822" s="157"/>
      <c r="L822" s="48"/>
    </row>
    <row r="823" spans="2:12" ht="13.2">
      <c r="B823" s="123"/>
      <c r="F823" s="156"/>
      <c r="I823" s="142"/>
      <c r="J823" s="157"/>
      <c r="L823" s="48"/>
    </row>
    <row r="824" spans="2:12" ht="13.2">
      <c r="B824" s="123"/>
      <c r="F824" s="156"/>
      <c r="I824" s="142"/>
      <c r="J824" s="157"/>
      <c r="L824" s="48"/>
    </row>
    <row r="825" spans="2:12" ht="13.2">
      <c r="B825" s="123"/>
      <c r="F825" s="156"/>
      <c r="I825" s="142"/>
      <c r="J825" s="157"/>
      <c r="L825" s="48"/>
    </row>
    <row r="826" spans="2:12" ht="13.2">
      <c r="B826" s="123"/>
      <c r="F826" s="156"/>
      <c r="I826" s="142"/>
      <c r="J826" s="157"/>
      <c r="L826" s="48"/>
    </row>
    <row r="827" spans="2:12" ht="13.2">
      <c r="B827" s="123"/>
      <c r="F827" s="156"/>
      <c r="I827" s="142"/>
      <c r="J827" s="157"/>
      <c r="L827" s="48"/>
    </row>
    <row r="828" spans="2:12" ht="13.2">
      <c r="B828" s="123"/>
      <c r="F828" s="156"/>
      <c r="I828" s="142"/>
      <c r="J828" s="157"/>
      <c r="L828" s="48"/>
    </row>
    <row r="829" spans="2:12" ht="13.2">
      <c r="B829" s="123"/>
      <c r="F829" s="156"/>
      <c r="I829" s="142"/>
      <c r="J829" s="157"/>
      <c r="L829" s="48"/>
    </row>
    <row r="830" spans="2:12" ht="13.2">
      <c r="B830" s="123"/>
      <c r="F830" s="156"/>
      <c r="I830" s="142"/>
      <c r="J830" s="157"/>
      <c r="L830" s="48"/>
    </row>
    <row r="831" spans="2:12" ht="13.2">
      <c r="B831" s="123"/>
      <c r="F831" s="156"/>
      <c r="I831" s="142"/>
      <c r="J831" s="157"/>
      <c r="L831" s="48"/>
    </row>
    <row r="832" spans="2:12" ht="13.2">
      <c r="B832" s="123"/>
      <c r="F832" s="156"/>
      <c r="I832" s="142"/>
      <c r="J832" s="157"/>
      <c r="L832" s="48"/>
    </row>
    <row r="833" spans="2:12" ht="13.2">
      <c r="B833" s="123"/>
      <c r="F833" s="156"/>
      <c r="I833" s="142"/>
      <c r="J833" s="157"/>
      <c r="L833" s="48"/>
    </row>
    <row r="834" spans="2:12" ht="13.2">
      <c r="B834" s="123"/>
      <c r="F834" s="156"/>
      <c r="I834" s="142"/>
      <c r="J834" s="157"/>
      <c r="L834" s="48"/>
    </row>
    <row r="835" spans="2:12" ht="13.2">
      <c r="B835" s="123"/>
      <c r="F835" s="156"/>
      <c r="I835" s="142"/>
      <c r="J835" s="157"/>
      <c r="L835" s="48"/>
    </row>
    <row r="836" spans="2:12" ht="13.2">
      <c r="B836" s="123"/>
      <c r="F836" s="156"/>
      <c r="I836" s="142"/>
      <c r="J836" s="157"/>
      <c r="L836" s="48"/>
    </row>
    <row r="837" spans="2:12" ht="13.2">
      <c r="B837" s="123"/>
      <c r="F837" s="156"/>
      <c r="I837" s="142"/>
      <c r="J837" s="157"/>
      <c r="L837" s="48"/>
    </row>
    <row r="838" spans="2:12" ht="13.2">
      <c r="B838" s="123"/>
      <c r="F838" s="156"/>
      <c r="I838" s="142"/>
      <c r="J838" s="157"/>
      <c r="L838" s="48"/>
    </row>
    <row r="839" spans="2:12" ht="13.2">
      <c r="B839" s="123"/>
      <c r="F839" s="156"/>
      <c r="I839" s="142"/>
      <c r="J839" s="157"/>
      <c r="L839" s="48"/>
    </row>
    <row r="840" spans="2:12" ht="13.2">
      <c r="B840" s="123"/>
      <c r="F840" s="156"/>
      <c r="I840" s="142"/>
      <c r="J840" s="157"/>
      <c r="L840" s="48"/>
    </row>
    <row r="841" spans="2:12" ht="13.2">
      <c r="B841" s="123"/>
      <c r="F841" s="156"/>
      <c r="I841" s="142"/>
      <c r="J841" s="157"/>
      <c r="L841" s="48"/>
    </row>
    <row r="842" spans="2:12" ht="13.2">
      <c r="B842" s="123"/>
      <c r="F842" s="156"/>
      <c r="I842" s="142"/>
      <c r="J842" s="157"/>
      <c r="L842" s="48"/>
    </row>
    <row r="843" spans="2:12" ht="13.2">
      <c r="B843" s="123"/>
      <c r="F843" s="156"/>
      <c r="I843" s="142"/>
      <c r="J843" s="157"/>
      <c r="L843" s="48"/>
    </row>
    <row r="844" spans="2:12" ht="13.2">
      <c r="B844" s="123"/>
      <c r="F844" s="156"/>
      <c r="I844" s="142"/>
      <c r="J844" s="157"/>
      <c r="L844" s="48"/>
    </row>
    <row r="845" spans="2:12" ht="13.2">
      <c r="B845" s="123"/>
      <c r="F845" s="156"/>
      <c r="I845" s="142"/>
      <c r="J845" s="157"/>
      <c r="L845" s="48"/>
    </row>
    <row r="846" spans="2:12" ht="13.2">
      <c r="B846" s="123"/>
      <c r="F846" s="156"/>
      <c r="I846" s="142"/>
      <c r="J846" s="157"/>
      <c r="L846" s="48"/>
    </row>
    <row r="847" spans="2:12" ht="13.2">
      <c r="B847" s="123"/>
      <c r="F847" s="156"/>
      <c r="I847" s="142"/>
      <c r="J847" s="157"/>
      <c r="L847" s="48"/>
    </row>
    <row r="848" spans="2:12" ht="13.2">
      <c r="B848" s="123"/>
      <c r="F848" s="156"/>
      <c r="I848" s="142"/>
      <c r="J848" s="157"/>
      <c r="L848" s="48"/>
    </row>
    <row r="849" spans="2:12" ht="13.2">
      <c r="B849" s="123"/>
      <c r="F849" s="156"/>
      <c r="I849" s="142"/>
      <c r="J849" s="157"/>
      <c r="L849" s="48"/>
    </row>
    <row r="850" spans="2:12" ht="13.2">
      <c r="B850" s="123"/>
      <c r="F850" s="156"/>
      <c r="I850" s="142"/>
      <c r="J850" s="157"/>
      <c r="L850" s="48"/>
    </row>
    <row r="851" spans="2:12" ht="13.2">
      <c r="B851" s="123"/>
      <c r="F851" s="156"/>
      <c r="I851" s="142"/>
      <c r="J851" s="157"/>
      <c r="L851" s="48"/>
    </row>
    <row r="852" spans="2:12" ht="13.2">
      <c r="B852" s="123"/>
      <c r="F852" s="156"/>
      <c r="I852" s="142"/>
      <c r="J852" s="157"/>
      <c r="L852" s="48"/>
    </row>
    <row r="853" spans="2:12" ht="13.2">
      <c r="B853" s="123"/>
      <c r="F853" s="156"/>
      <c r="I853" s="142"/>
      <c r="J853" s="157"/>
      <c r="L853" s="48"/>
    </row>
    <row r="854" spans="2:12" ht="13.2">
      <c r="B854" s="123"/>
      <c r="F854" s="156"/>
      <c r="I854" s="142"/>
      <c r="J854" s="157"/>
      <c r="L854" s="48"/>
    </row>
    <row r="855" spans="2:12" ht="13.2">
      <c r="B855" s="123"/>
      <c r="F855" s="156"/>
      <c r="I855" s="142"/>
      <c r="J855" s="157"/>
      <c r="L855" s="48"/>
    </row>
    <row r="856" spans="2:12" ht="13.2">
      <c r="B856" s="123"/>
      <c r="F856" s="156"/>
      <c r="I856" s="142"/>
      <c r="J856" s="157"/>
      <c r="L856" s="48"/>
    </row>
    <row r="857" spans="2:12" ht="13.2">
      <c r="B857" s="123"/>
      <c r="F857" s="156"/>
      <c r="I857" s="142"/>
      <c r="J857" s="157"/>
      <c r="L857" s="48"/>
    </row>
    <row r="858" spans="2:12" ht="13.2">
      <c r="B858" s="123"/>
      <c r="F858" s="156"/>
      <c r="I858" s="142"/>
      <c r="J858" s="157"/>
      <c r="L858" s="48"/>
    </row>
    <row r="859" spans="2:12" ht="13.2">
      <c r="B859" s="123"/>
      <c r="F859" s="156"/>
      <c r="I859" s="142"/>
      <c r="J859" s="157"/>
      <c r="L859" s="48"/>
    </row>
    <row r="860" spans="2:12" ht="13.2">
      <c r="B860" s="123"/>
      <c r="F860" s="156"/>
      <c r="I860" s="142"/>
      <c r="J860" s="157"/>
      <c r="L860" s="48"/>
    </row>
    <row r="861" spans="2:12" ht="13.2">
      <c r="B861" s="123"/>
      <c r="F861" s="156"/>
      <c r="I861" s="142"/>
      <c r="J861" s="157"/>
      <c r="L861" s="48"/>
    </row>
    <row r="862" spans="2:12" ht="13.2">
      <c r="B862" s="123"/>
      <c r="F862" s="156"/>
      <c r="I862" s="142"/>
      <c r="J862" s="157"/>
      <c r="L862" s="48"/>
    </row>
    <row r="863" spans="2:12" ht="13.2">
      <c r="B863" s="123"/>
      <c r="F863" s="156"/>
      <c r="I863" s="142"/>
      <c r="J863" s="157"/>
      <c r="L863" s="48"/>
    </row>
    <row r="864" spans="2:12" ht="13.2">
      <c r="B864" s="123"/>
      <c r="F864" s="156"/>
      <c r="I864" s="142"/>
      <c r="J864" s="157"/>
      <c r="L864" s="48"/>
    </row>
    <row r="865" spans="2:12" ht="13.2">
      <c r="B865" s="123"/>
      <c r="F865" s="156"/>
      <c r="I865" s="142"/>
      <c r="J865" s="157"/>
      <c r="L865" s="48"/>
    </row>
    <row r="866" spans="2:12" ht="13.2">
      <c r="B866" s="123"/>
      <c r="F866" s="156"/>
      <c r="I866" s="142"/>
      <c r="J866" s="157"/>
      <c r="L866" s="48"/>
    </row>
    <row r="867" spans="2:12" ht="13.2">
      <c r="B867" s="123"/>
      <c r="F867" s="156"/>
      <c r="I867" s="142"/>
      <c r="J867" s="157"/>
      <c r="L867" s="48"/>
    </row>
    <row r="868" spans="2:12" ht="13.2">
      <c r="B868" s="123"/>
      <c r="F868" s="156"/>
      <c r="I868" s="142"/>
      <c r="J868" s="157"/>
      <c r="L868" s="48"/>
    </row>
    <row r="869" spans="2:12" ht="13.2">
      <c r="B869" s="123"/>
      <c r="F869" s="156"/>
      <c r="I869" s="142"/>
      <c r="J869" s="157"/>
      <c r="L869" s="48"/>
    </row>
    <row r="870" spans="2:12" ht="13.2">
      <c r="B870" s="123"/>
      <c r="F870" s="156"/>
      <c r="I870" s="142"/>
      <c r="J870" s="157"/>
      <c r="L870" s="48"/>
    </row>
    <row r="871" spans="2:12" ht="13.2">
      <c r="B871" s="123"/>
      <c r="F871" s="156"/>
      <c r="I871" s="142"/>
      <c r="J871" s="157"/>
      <c r="L871" s="48"/>
    </row>
    <row r="872" spans="2:12" ht="13.2">
      <c r="B872" s="123"/>
      <c r="F872" s="156"/>
      <c r="I872" s="142"/>
      <c r="J872" s="157"/>
      <c r="L872" s="48"/>
    </row>
    <row r="873" spans="2:12" ht="13.2">
      <c r="B873" s="123"/>
      <c r="F873" s="156"/>
      <c r="I873" s="142"/>
      <c r="J873" s="157"/>
      <c r="L873" s="48"/>
    </row>
    <row r="874" spans="2:12" ht="13.2">
      <c r="B874" s="123"/>
      <c r="F874" s="156"/>
      <c r="I874" s="142"/>
      <c r="J874" s="157"/>
      <c r="L874" s="48"/>
    </row>
    <row r="875" spans="2:12" ht="13.2">
      <c r="B875" s="123"/>
      <c r="F875" s="156"/>
      <c r="I875" s="142"/>
      <c r="J875" s="157"/>
      <c r="L875" s="48"/>
    </row>
    <row r="876" spans="2:12" ht="13.2">
      <c r="B876" s="123"/>
      <c r="F876" s="156"/>
      <c r="I876" s="142"/>
      <c r="J876" s="157"/>
      <c r="L876" s="48"/>
    </row>
    <row r="877" spans="2:12" ht="13.2">
      <c r="B877" s="123"/>
      <c r="F877" s="156"/>
      <c r="I877" s="142"/>
      <c r="J877" s="157"/>
      <c r="L877" s="48"/>
    </row>
    <row r="878" spans="2:12" ht="13.2">
      <c r="B878" s="123"/>
      <c r="F878" s="156"/>
      <c r="I878" s="142"/>
      <c r="J878" s="157"/>
      <c r="L878" s="48"/>
    </row>
    <row r="879" spans="2:12" ht="13.2">
      <c r="B879" s="123"/>
      <c r="F879" s="156"/>
      <c r="I879" s="142"/>
      <c r="J879" s="157"/>
      <c r="L879" s="48"/>
    </row>
    <row r="880" spans="2:12" ht="13.2">
      <c r="B880" s="123"/>
      <c r="F880" s="156"/>
      <c r="I880" s="142"/>
      <c r="J880" s="157"/>
      <c r="L880" s="48"/>
    </row>
    <row r="881" spans="2:12" ht="13.2">
      <c r="B881" s="123"/>
      <c r="F881" s="156"/>
      <c r="I881" s="142"/>
      <c r="J881" s="157"/>
      <c r="L881" s="48"/>
    </row>
    <row r="882" spans="2:12" ht="13.2">
      <c r="B882" s="123"/>
      <c r="F882" s="156"/>
      <c r="I882" s="142"/>
      <c r="J882" s="157"/>
      <c r="L882" s="48"/>
    </row>
    <row r="883" spans="2:12" ht="13.2">
      <c r="B883" s="123"/>
      <c r="F883" s="156"/>
      <c r="I883" s="142"/>
      <c r="J883" s="157"/>
      <c r="L883" s="48"/>
    </row>
    <row r="884" spans="2:12" ht="13.2">
      <c r="B884" s="123"/>
      <c r="F884" s="156"/>
      <c r="I884" s="142"/>
      <c r="J884" s="157"/>
      <c r="L884" s="48"/>
    </row>
    <row r="885" spans="2:12" ht="13.2">
      <c r="B885" s="123"/>
      <c r="F885" s="156"/>
      <c r="I885" s="142"/>
      <c r="J885" s="157"/>
      <c r="L885" s="48"/>
    </row>
    <row r="886" spans="2:12" ht="13.2">
      <c r="B886" s="123"/>
      <c r="F886" s="156"/>
      <c r="I886" s="142"/>
      <c r="J886" s="157"/>
      <c r="L886" s="48"/>
    </row>
    <row r="887" spans="2:12" ht="13.2">
      <c r="B887" s="123"/>
      <c r="F887" s="156"/>
      <c r="I887" s="142"/>
      <c r="J887" s="157"/>
      <c r="L887" s="48"/>
    </row>
    <row r="888" spans="2:12" ht="13.2">
      <c r="B888" s="123"/>
      <c r="F888" s="156"/>
      <c r="I888" s="142"/>
      <c r="J888" s="157"/>
      <c r="L888" s="48"/>
    </row>
    <row r="889" spans="2:12" ht="13.2">
      <c r="B889" s="123"/>
      <c r="F889" s="156"/>
      <c r="I889" s="142"/>
      <c r="J889" s="157"/>
      <c r="L889" s="48"/>
    </row>
    <row r="890" spans="2:12" ht="13.2">
      <c r="B890" s="123"/>
      <c r="F890" s="156"/>
      <c r="I890" s="142"/>
      <c r="J890" s="157"/>
      <c r="L890" s="48"/>
    </row>
    <row r="891" spans="2:12" ht="13.2">
      <c r="B891" s="123"/>
      <c r="F891" s="156"/>
      <c r="I891" s="142"/>
      <c r="J891" s="157"/>
      <c r="L891" s="48"/>
    </row>
    <row r="892" spans="2:12" ht="13.2">
      <c r="B892" s="123"/>
      <c r="F892" s="156"/>
      <c r="I892" s="142"/>
      <c r="J892" s="157"/>
      <c r="L892" s="48"/>
    </row>
    <row r="893" spans="2:12" ht="13.2">
      <c r="B893" s="123"/>
      <c r="F893" s="156"/>
      <c r="I893" s="142"/>
      <c r="J893" s="157"/>
      <c r="L893" s="48"/>
    </row>
    <row r="894" spans="2:12" ht="13.2">
      <c r="B894" s="123"/>
      <c r="F894" s="156"/>
      <c r="I894" s="142"/>
      <c r="J894" s="157"/>
      <c r="L894" s="48"/>
    </row>
    <row r="895" spans="2:12" ht="13.2">
      <c r="B895" s="123"/>
      <c r="F895" s="156"/>
      <c r="I895" s="142"/>
      <c r="J895" s="157"/>
      <c r="L895" s="48"/>
    </row>
    <row r="896" spans="2:12" ht="13.2">
      <c r="B896" s="123"/>
      <c r="F896" s="156"/>
      <c r="I896" s="142"/>
      <c r="J896" s="157"/>
      <c r="L896" s="48"/>
    </row>
    <row r="897" spans="2:12" ht="13.2">
      <c r="B897" s="123"/>
      <c r="F897" s="156"/>
      <c r="I897" s="142"/>
      <c r="J897" s="157"/>
      <c r="L897" s="48"/>
    </row>
    <row r="898" spans="2:12" ht="13.2">
      <c r="B898" s="123"/>
      <c r="F898" s="156"/>
      <c r="I898" s="142"/>
      <c r="J898" s="157"/>
      <c r="L898" s="48"/>
    </row>
    <row r="899" spans="2:12" ht="13.2">
      <c r="B899" s="123"/>
      <c r="F899" s="156"/>
      <c r="I899" s="142"/>
      <c r="J899" s="157"/>
      <c r="L899" s="48"/>
    </row>
    <row r="900" spans="2:12" ht="13.2">
      <c r="B900" s="123"/>
      <c r="F900" s="156"/>
      <c r="I900" s="142"/>
      <c r="J900" s="157"/>
      <c r="L900" s="48"/>
    </row>
    <row r="901" spans="2:12" ht="13.2">
      <c r="B901" s="123"/>
      <c r="F901" s="156"/>
      <c r="I901" s="142"/>
      <c r="J901" s="157"/>
      <c r="L901" s="48"/>
    </row>
    <row r="902" spans="2:12" ht="13.2">
      <c r="B902" s="123"/>
      <c r="F902" s="156"/>
      <c r="I902" s="142"/>
      <c r="J902" s="157"/>
      <c r="L902" s="48"/>
    </row>
    <row r="903" spans="2:12" ht="13.2">
      <c r="B903" s="123"/>
      <c r="F903" s="156"/>
      <c r="I903" s="142"/>
      <c r="J903" s="157"/>
      <c r="L903" s="48"/>
    </row>
    <row r="904" spans="2:12" ht="13.2">
      <c r="B904" s="123"/>
      <c r="F904" s="156"/>
      <c r="I904" s="142"/>
      <c r="J904" s="157"/>
      <c r="L904" s="48"/>
    </row>
    <row r="905" spans="2:12" ht="13.2">
      <c r="B905" s="123"/>
      <c r="F905" s="156"/>
      <c r="I905" s="142"/>
      <c r="J905" s="157"/>
      <c r="L905" s="48"/>
    </row>
    <row r="906" spans="2:12" ht="13.2">
      <c r="B906" s="123"/>
      <c r="F906" s="156"/>
      <c r="I906" s="142"/>
      <c r="J906" s="157"/>
      <c r="L906" s="48"/>
    </row>
    <row r="907" spans="2:12" ht="13.2">
      <c r="B907" s="123"/>
      <c r="F907" s="156"/>
      <c r="I907" s="142"/>
      <c r="J907" s="157"/>
      <c r="L907" s="48"/>
    </row>
    <row r="908" spans="2:12" ht="13.2">
      <c r="B908" s="123"/>
      <c r="F908" s="156"/>
      <c r="I908" s="142"/>
      <c r="J908" s="157"/>
      <c r="L908" s="48"/>
    </row>
    <row r="909" spans="2:12" ht="13.2">
      <c r="B909" s="123"/>
      <c r="F909" s="156"/>
      <c r="I909" s="142"/>
      <c r="J909" s="157"/>
      <c r="L909" s="48"/>
    </row>
    <row r="910" spans="2:12" ht="13.2">
      <c r="B910" s="123"/>
      <c r="F910" s="156"/>
      <c r="I910" s="142"/>
      <c r="J910" s="157"/>
      <c r="L910" s="48"/>
    </row>
    <row r="911" spans="2:12" ht="13.2">
      <c r="B911" s="123"/>
      <c r="F911" s="156"/>
      <c r="I911" s="142"/>
      <c r="J911" s="157"/>
      <c r="L911" s="48"/>
    </row>
    <row r="912" spans="2:12" ht="13.2">
      <c r="B912" s="123"/>
      <c r="F912" s="156"/>
      <c r="I912" s="142"/>
      <c r="J912" s="157"/>
      <c r="L912" s="48"/>
    </row>
    <row r="913" spans="2:12" ht="13.2">
      <c r="B913" s="123"/>
      <c r="F913" s="156"/>
      <c r="I913" s="142"/>
      <c r="J913" s="157"/>
      <c r="L913" s="48"/>
    </row>
    <row r="914" spans="2:12" ht="13.2">
      <c r="B914" s="123"/>
      <c r="F914" s="156"/>
      <c r="I914" s="142"/>
      <c r="J914" s="157"/>
      <c r="L914" s="48"/>
    </row>
    <row r="915" spans="2:12" ht="13.2">
      <c r="B915" s="123"/>
      <c r="F915" s="156"/>
      <c r="I915" s="142"/>
      <c r="J915" s="157"/>
      <c r="L915" s="48"/>
    </row>
    <row r="916" spans="2:12" ht="13.2">
      <c r="B916" s="123"/>
      <c r="F916" s="156"/>
      <c r="I916" s="142"/>
      <c r="J916" s="157"/>
      <c r="L916" s="48"/>
    </row>
    <row r="917" spans="2:12" ht="13.2">
      <c r="B917" s="123"/>
      <c r="F917" s="156"/>
      <c r="I917" s="142"/>
      <c r="J917" s="157"/>
      <c r="L917" s="48"/>
    </row>
    <row r="918" spans="2:12" ht="13.2">
      <c r="B918" s="123"/>
      <c r="F918" s="156"/>
      <c r="I918" s="142"/>
      <c r="J918" s="157"/>
      <c r="L918" s="48"/>
    </row>
    <row r="919" spans="2:12" ht="13.2">
      <c r="B919" s="123"/>
      <c r="F919" s="156"/>
      <c r="I919" s="142"/>
      <c r="J919" s="157"/>
      <c r="L919" s="48"/>
    </row>
    <row r="920" spans="2:12" ht="13.2">
      <c r="B920" s="123"/>
      <c r="F920" s="156"/>
      <c r="I920" s="142"/>
      <c r="J920" s="157"/>
      <c r="L920" s="48"/>
    </row>
    <row r="921" spans="2:12" ht="13.2">
      <c r="B921" s="123"/>
      <c r="F921" s="156"/>
      <c r="I921" s="142"/>
      <c r="J921" s="157"/>
      <c r="L921" s="48"/>
    </row>
    <row r="922" spans="2:12" ht="13.2">
      <c r="B922" s="123"/>
      <c r="F922" s="156"/>
      <c r="I922" s="142"/>
      <c r="J922" s="157"/>
      <c r="L922" s="48"/>
    </row>
    <row r="923" spans="2:12" ht="13.2">
      <c r="B923" s="123"/>
      <c r="F923" s="156"/>
      <c r="I923" s="142"/>
      <c r="J923" s="157"/>
      <c r="L923" s="48"/>
    </row>
    <row r="924" spans="2:12" ht="13.2">
      <c r="B924" s="123"/>
      <c r="F924" s="156"/>
      <c r="I924" s="142"/>
      <c r="J924" s="157"/>
      <c r="L924" s="48"/>
    </row>
    <row r="925" spans="2:12" ht="13.2">
      <c r="B925" s="123"/>
      <c r="F925" s="156"/>
      <c r="I925" s="142"/>
      <c r="J925" s="157"/>
      <c r="L925" s="48"/>
    </row>
    <row r="926" spans="2:12" ht="13.2">
      <c r="B926" s="123"/>
      <c r="F926" s="156"/>
      <c r="I926" s="142"/>
      <c r="J926" s="157"/>
      <c r="L926" s="48"/>
    </row>
    <row r="927" spans="2:12" ht="13.2">
      <c r="B927" s="123"/>
      <c r="F927" s="156"/>
      <c r="I927" s="142"/>
      <c r="J927" s="157"/>
      <c r="L927" s="48"/>
    </row>
    <row r="928" spans="2:12" ht="13.2">
      <c r="B928" s="123"/>
      <c r="F928" s="156"/>
      <c r="I928" s="142"/>
      <c r="J928" s="157"/>
      <c r="L928" s="48"/>
    </row>
    <row r="929" spans="2:12" ht="13.2">
      <c r="B929" s="123"/>
      <c r="F929" s="156"/>
      <c r="I929" s="142"/>
      <c r="J929" s="157"/>
      <c r="L929" s="48"/>
    </row>
    <row r="930" spans="2:12" ht="13.2">
      <c r="B930" s="123"/>
      <c r="F930" s="156"/>
      <c r="I930" s="142"/>
      <c r="J930" s="157"/>
      <c r="L930" s="48"/>
    </row>
    <row r="931" spans="2:12" ht="13.2">
      <c r="B931" s="123"/>
      <c r="F931" s="156"/>
      <c r="I931" s="142"/>
      <c r="J931" s="157"/>
      <c r="L931" s="48"/>
    </row>
    <row r="932" spans="2:12" ht="13.2">
      <c r="B932" s="123"/>
      <c r="F932" s="156"/>
      <c r="I932" s="142"/>
      <c r="J932" s="157"/>
      <c r="L932" s="48"/>
    </row>
    <row r="933" spans="2:12" ht="13.2">
      <c r="B933" s="123"/>
      <c r="F933" s="156"/>
      <c r="I933" s="142"/>
      <c r="J933" s="157"/>
      <c r="L933" s="48"/>
    </row>
    <row r="934" spans="2:12" ht="13.2">
      <c r="B934" s="123"/>
      <c r="F934" s="156"/>
      <c r="I934" s="142"/>
      <c r="J934" s="157"/>
      <c r="L934" s="48"/>
    </row>
    <row r="935" spans="2:12" ht="13.2">
      <c r="B935" s="123"/>
      <c r="F935" s="156"/>
      <c r="I935" s="142"/>
      <c r="J935" s="157"/>
      <c r="L935" s="48"/>
    </row>
    <row r="936" spans="2:12" ht="13.2">
      <c r="B936" s="123"/>
      <c r="F936" s="156"/>
      <c r="I936" s="142"/>
      <c r="J936" s="157"/>
      <c r="L936" s="48"/>
    </row>
    <row r="937" spans="2:12" ht="13.2">
      <c r="B937" s="123"/>
      <c r="F937" s="156"/>
      <c r="I937" s="142"/>
      <c r="J937" s="157"/>
      <c r="L937" s="48"/>
    </row>
    <row r="938" spans="2:12" ht="13.2">
      <c r="B938" s="123"/>
      <c r="F938" s="156"/>
      <c r="I938" s="142"/>
      <c r="J938" s="157"/>
      <c r="L938" s="48"/>
    </row>
    <row r="939" spans="2:12" ht="13.2">
      <c r="B939" s="123"/>
      <c r="F939" s="156"/>
      <c r="I939" s="142"/>
      <c r="J939" s="157"/>
      <c r="L939" s="48"/>
    </row>
    <row r="940" spans="2:12" ht="13.2">
      <c r="B940" s="123"/>
      <c r="F940" s="156"/>
      <c r="I940" s="142"/>
      <c r="J940" s="157"/>
      <c r="L940" s="48"/>
    </row>
    <row r="941" spans="2:12" ht="13.2">
      <c r="B941" s="123"/>
      <c r="F941" s="156"/>
      <c r="I941" s="142"/>
      <c r="J941" s="157"/>
      <c r="L941" s="48"/>
    </row>
    <row r="942" spans="2:12" ht="13.2">
      <c r="B942" s="123"/>
      <c r="F942" s="156"/>
      <c r="I942" s="142"/>
      <c r="J942" s="157"/>
      <c r="L942" s="48"/>
    </row>
    <row r="943" spans="2:12" ht="13.2">
      <c r="B943" s="123"/>
      <c r="F943" s="156"/>
      <c r="I943" s="142"/>
      <c r="J943" s="157"/>
      <c r="L943" s="48"/>
    </row>
    <row r="944" spans="2:12" ht="13.2">
      <c r="B944" s="123"/>
      <c r="F944" s="156"/>
      <c r="I944" s="142"/>
      <c r="J944" s="157"/>
      <c r="L944" s="48"/>
    </row>
    <row r="945" spans="2:12" ht="13.2">
      <c r="B945" s="123"/>
      <c r="F945" s="156"/>
      <c r="I945" s="142"/>
      <c r="J945" s="157"/>
      <c r="L945" s="48"/>
    </row>
    <row r="946" spans="2:12" ht="13.2">
      <c r="B946" s="123"/>
      <c r="F946" s="156"/>
      <c r="I946" s="142"/>
      <c r="J946" s="157"/>
      <c r="L946" s="48"/>
    </row>
    <row r="947" spans="2:12" ht="13.2">
      <c r="B947" s="123"/>
      <c r="F947" s="156"/>
      <c r="I947" s="142"/>
      <c r="J947" s="157"/>
      <c r="L947" s="48"/>
    </row>
    <row r="948" spans="2:12" ht="13.2">
      <c r="B948" s="123"/>
      <c r="F948" s="156"/>
      <c r="I948" s="142"/>
      <c r="J948" s="157"/>
      <c r="L948" s="48"/>
    </row>
    <row r="949" spans="2:12" ht="13.2">
      <c r="B949" s="123"/>
      <c r="F949" s="156"/>
      <c r="I949" s="142"/>
      <c r="J949" s="157"/>
      <c r="L949" s="48"/>
    </row>
    <row r="950" spans="2:12" ht="13.2">
      <c r="B950" s="123"/>
      <c r="F950" s="156"/>
      <c r="I950" s="142"/>
      <c r="J950" s="157"/>
      <c r="L950" s="48"/>
    </row>
    <row r="951" spans="2:12" ht="13.2">
      <c r="B951" s="123"/>
      <c r="F951" s="156"/>
      <c r="I951" s="142"/>
      <c r="J951" s="157"/>
      <c r="L951" s="48"/>
    </row>
    <row r="952" spans="2:12" ht="13.2">
      <c r="B952" s="123"/>
      <c r="F952" s="156"/>
      <c r="I952" s="142"/>
      <c r="J952" s="157"/>
      <c r="L952" s="48"/>
    </row>
    <row r="953" spans="2:12" ht="13.2">
      <c r="B953" s="123"/>
      <c r="F953" s="156"/>
      <c r="I953" s="142"/>
      <c r="J953" s="157"/>
      <c r="L953" s="48"/>
    </row>
    <row r="954" spans="2:12" ht="13.2">
      <c r="B954" s="123"/>
      <c r="F954" s="156"/>
      <c r="I954" s="142"/>
      <c r="J954" s="157"/>
      <c r="L954" s="48"/>
    </row>
    <row r="955" spans="2:12" ht="13.2">
      <c r="B955" s="123"/>
      <c r="F955" s="156"/>
      <c r="I955" s="142"/>
      <c r="J955" s="157"/>
      <c r="L955" s="48"/>
    </row>
    <row r="956" spans="2:12" ht="13.2">
      <c r="B956" s="123"/>
      <c r="F956" s="156"/>
      <c r="I956" s="142"/>
      <c r="J956" s="157"/>
      <c r="L956" s="48"/>
    </row>
    <row r="957" spans="2:12" ht="13.2">
      <c r="B957" s="123"/>
      <c r="F957" s="156"/>
      <c r="I957" s="142"/>
      <c r="J957" s="157"/>
      <c r="L957" s="48"/>
    </row>
    <row r="958" spans="2:12" ht="13.2">
      <c r="B958" s="123"/>
      <c r="F958" s="156"/>
      <c r="I958" s="142"/>
      <c r="J958" s="157"/>
      <c r="L958" s="48"/>
    </row>
    <row r="959" spans="2:12" ht="13.2">
      <c r="B959" s="123"/>
      <c r="F959" s="156"/>
      <c r="I959" s="142"/>
      <c r="J959" s="157"/>
      <c r="L959" s="48"/>
    </row>
    <row r="960" spans="2:12" ht="13.2">
      <c r="B960" s="123"/>
      <c r="F960" s="156"/>
      <c r="I960" s="142"/>
      <c r="J960" s="157"/>
      <c r="L960" s="48"/>
    </row>
    <row r="961" spans="2:12" ht="13.2">
      <c r="B961" s="123"/>
      <c r="F961" s="156"/>
      <c r="I961" s="142"/>
      <c r="J961" s="157"/>
      <c r="L961" s="48"/>
    </row>
    <row r="962" spans="2:12" ht="13.2">
      <c r="B962" s="123"/>
      <c r="F962" s="156"/>
      <c r="I962" s="142"/>
      <c r="J962" s="157"/>
      <c r="L962" s="48"/>
    </row>
    <row r="963" spans="2:12" ht="13.2">
      <c r="B963" s="123"/>
      <c r="F963" s="156"/>
      <c r="I963" s="142"/>
      <c r="J963" s="157"/>
      <c r="L963" s="48"/>
    </row>
    <row r="964" spans="2:12" ht="13.2">
      <c r="B964" s="123"/>
      <c r="F964" s="156"/>
      <c r="I964" s="142"/>
      <c r="J964" s="157"/>
      <c r="L964" s="48"/>
    </row>
    <row r="965" spans="2:12" ht="13.2">
      <c r="B965" s="123"/>
      <c r="F965" s="156"/>
      <c r="I965" s="142"/>
      <c r="J965" s="157"/>
      <c r="L965" s="48"/>
    </row>
    <row r="966" spans="2:12" ht="13.2">
      <c r="B966" s="123"/>
      <c r="F966" s="156"/>
      <c r="I966" s="142"/>
      <c r="J966" s="157"/>
      <c r="L966" s="48"/>
    </row>
    <row r="967" spans="2:12" ht="13.2">
      <c r="B967" s="123"/>
      <c r="F967" s="156"/>
      <c r="I967" s="142"/>
      <c r="J967" s="157"/>
      <c r="L967" s="48"/>
    </row>
    <row r="968" spans="2:12" ht="13.2">
      <c r="B968" s="123"/>
      <c r="F968" s="156"/>
      <c r="I968" s="142"/>
      <c r="J968" s="157"/>
      <c r="L968" s="48"/>
    </row>
    <row r="969" spans="2:12" ht="13.2">
      <c r="B969" s="123"/>
      <c r="F969" s="156"/>
      <c r="I969" s="142"/>
      <c r="J969" s="157"/>
      <c r="L969" s="48"/>
    </row>
    <row r="970" spans="2:12" ht="13.2">
      <c r="B970" s="123"/>
      <c r="F970" s="156"/>
      <c r="I970" s="142"/>
      <c r="J970" s="157"/>
      <c r="L970" s="48"/>
    </row>
    <row r="971" spans="2:12" ht="13.2">
      <c r="B971" s="123"/>
      <c r="F971" s="156"/>
      <c r="I971" s="142"/>
      <c r="J971" s="157"/>
      <c r="L971" s="48"/>
    </row>
    <row r="972" spans="2:12" ht="13.2">
      <c r="B972" s="123"/>
      <c r="F972" s="156"/>
      <c r="I972" s="142"/>
      <c r="J972" s="157"/>
      <c r="L972" s="48"/>
    </row>
    <row r="973" spans="2:12" ht="13.2">
      <c r="B973" s="123"/>
      <c r="F973" s="156"/>
      <c r="I973" s="142"/>
      <c r="J973" s="157"/>
      <c r="L973" s="48"/>
    </row>
    <row r="974" spans="2:12" ht="13.2">
      <c r="B974" s="123"/>
      <c r="F974" s="156"/>
      <c r="I974" s="142"/>
      <c r="J974" s="157"/>
      <c r="L974" s="48"/>
    </row>
    <row r="975" spans="2:12" ht="13.2">
      <c r="B975" s="123"/>
      <c r="F975" s="156"/>
      <c r="I975" s="142"/>
      <c r="J975" s="157"/>
      <c r="L975" s="48"/>
    </row>
    <row r="976" spans="2:12" ht="13.2">
      <c r="B976" s="123"/>
      <c r="F976" s="156"/>
      <c r="I976" s="142"/>
      <c r="J976" s="157"/>
      <c r="L976" s="48"/>
    </row>
    <row r="977" spans="2:12" ht="13.2">
      <c r="B977" s="123"/>
      <c r="F977" s="156"/>
      <c r="I977" s="142"/>
      <c r="J977" s="157"/>
      <c r="L977" s="48"/>
    </row>
    <row r="978" spans="2:12" ht="13.2">
      <c r="B978" s="123"/>
      <c r="F978" s="156"/>
      <c r="I978" s="142"/>
      <c r="J978" s="157"/>
      <c r="L978" s="48"/>
    </row>
    <row r="979" spans="2:12" ht="13.2">
      <c r="B979" s="123"/>
      <c r="F979" s="156"/>
      <c r="I979" s="142"/>
      <c r="J979" s="157"/>
      <c r="L979" s="48"/>
    </row>
    <row r="980" spans="2:12" ht="13.2">
      <c r="B980" s="123"/>
      <c r="F980" s="156"/>
      <c r="I980" s="142"/>
      <c r="J980" s="157"/>
      <c r="L980" s="48"/>
    </row>
    <row r="981" spans="2:12" ht="13.2">
      <c r="B981" s="123"/>
      <c r="F981" s="156"/>
      <c r="I981" s="142"/>
      <c r="J981" s="157"/>
      <c r="L981" s="48"/>
    </row>
    <row r="982" spans="2:12" ht="13.2">
      <c r="B982" s="123"/>
      <c r="F982" s="156"/>
      <c r="I982" s="142"/>
      <c r="J982" s="157"/>
      <c r="L982" s="48"/>
    </row>
    <row r="983" spans="2:12" ht="13.2">
      <c r="B983" s="123"/>
      <c r="F983" s="156"/>
      <c r="I983" s="142"/>
      <c r="J983" s="157"/>
      <c r="L983" s="48"/>
    </row>
    <row r="984" spans="2:12" ht="13.2">
      <c r="B984" s="123"/>
      <c r="F984" s="156"/>
      <c r="I984" s="142"/>
      <c r="J984" s="157"/>
      <c r="L984" s="48"/>
    </row>
    <row r="985" spans="2:12" ht="13.2">
      <c r="B985" s="123"/>
      <c r="F985" s="156"/>
      <c r="I985" s="142"/>
      <c r="J985" s="157"/>
      <c r="L985" s="48"/>
    </row>
    <row r="986" spans="2:12" ht="13.2">
      <c r="B986" s="123"/>
      <c r="F986" s="156"/>
      <c r="I986" s="142"/>
      <c r="J986" s="157"/>
      <c r="L986" s="48"/>
    </row>
    <row r="987" spans="2:12" ht="13.2">
      <c r="B987" s="123"/>
      <c r="F987" s="156"/>
      <c r="I987" s="142"/>
      <c r="J987" s="157"/>
      <c r="L987" s="48"/>
    </row>
    <row r="988" spans="2:12" ht="13.2">
      <c r="B988" s="123"/>
      <c r="F988" s="156"/>
      <c r="I988" s="142"/>
      <c r="J988" s="157"/>
      <c r="L988" s="48"/>
    </row>
    <row r="989" spans="2:12" ht="13.2">
      <c r="B989" s="123"/>
      <c r="F989" s="156"/>
      <c r="I989" s="142"/>
      <c r="J989" s="157"/>
      <c r="L989" s="48"/>
    </row>
    <row r="990" spans="2:12" ht="13.2">
      <c r="B990" s="123"/>
      <c r="F990" s="156"/>
      <c r="I990" s="142"/>
      <c r="J990" s="157"/>
      <c r="L990" s="48"/>
    </row>
    <row r="991" spans="2:12" ht="13.2">
      <c r="B991" s="123"/>
      <c r="F991" s="156"/>
      <c r="I991" s="142"/>
      <c r="J991" s="157"/>
      <c r="L991" s="48"/>
    </row>
    <row r="992" spans="2:12" ht="13.2">
      <c r="B992" s="123"/>
      <c r="F992" s="156"/>
      <c r="I992" s="142"/>
      <c r="J992" s="157"/>
      <c r="L992" s="48"/>
    </row>
    <row r="993" spans="2:12" ht="13.2">
      <c r="B993" s="123"/>
      <c r="F993" s="156"/>
      <c r="I993" s="142"/>
      <c r="J993" s="157"/>
      <c r="L993" s="48"/>
    </row>
    <row r="994" spans="2:12" ht="13.2">
      <c r="B994" s="123"/>
      <c r="F994" s="156"/>
      <c r="I994" s="142"/>
      <c r="J994" s="157"/>
      <c r="L994" s="48"/>
    </row>
    <row r="995" spans="2:12" ht="13.2">
      <c r="B995" s="123"/>
      <c r="F995" s="156"/>
      <c r="I995" s="142"/>
      <c r="J995" s="157"/>
      <c r="L995" s="48"/>
    </row>
    <row r="996" spans="2:12" ht="13.2">
      <c r="B996" s="123"/>
      <c r="F996" s="156"/>
      <c r="I996" s="142"/>
      <c r="J996" s="157"/>
      <c r="L996" s="48"/>
    </row>
    <row r="997" spans="2:12" ht="13.2">
      <c r="B997" s="123"/>
      <c r="F997" s="156"/>
      <c r="I997" s="142"/>
      <c r="J997" s="157"/>
      <c r="L997" s="48"/>
    </row>
    <row r="998" spans="2:12" ht="13.2">
      <c r="B998" s="123"/>
      <c r="F998" s="156"/>
      <c r="I998" s="142"/>
      <c r="J998" s="157"/>
      <c r="L998" s="48"/>
    </row>
    <row r="999" spans="2:12" ht="13.2">
      <c r="B999" s="123"/>
      <c r="F999" s="156"/>
      <c r="I999" s="142"/>
      <c r="J999" s="157"/>
      <c r="L999" s="48"/>
    </row>
    <row r="1000" spans="2:12" ht="13.2">
      <c r="B1000" s="123"/>
      <c r="F1000" s="156"/>
      <c r="I1000" s="142"/>
      <c r="J1000" s="157"/>
      <c r="L1000" s="48"/>
    </row>
    <row r="1001" spans="2:12" ht="13.2">
      <c r="B1001" s="123"/>
      <c r="F1001" s="156"/>
      <c r="I1001" s="142"/>
      <c r="J1001" s="157"/>
      <c r="L1001" s="48"/>
    </row>
    <row r="1002" spans="2:12" ht="13.2">
      <c r="B1002" s="123"/>
      <c r="F1002" s="156"/>
      <c r="I1002" s="142"/>
      <c r="J1002" s="157"/>
      <c r="L1002" s="48"/>
    </row>
    <row r="1003" spans="2:12" ht="13.2">
      <c r="B1003" s="123"/>
      <c r="F1003" s="156"/>
      <c r="I1003" s="142"/>
      <c r="J1003" s="157"/>
      <c r="L1003" s="48"/>
    </row>
    <row r="1004" spans="2:12" ht="13.2">
      <c r="B1004" s="123"/>
      <c r="F1004" s="156"/>
      <c r="I1004" s="142"/>
      <c r="J1004" s="157"/>
      <c r="L1004" s="48"/>
    </row>
    <row r="1005" spans="2:12" ht="13.2">
      <c r="B1005" s="123"/>
      <c r="F1005" s="156"/>
      <c r="I1005" s="142"/>
      <c r="J1005" s="157"/>
      <c r="L1005" s="48"/>
    </row>
    <row r="1006" spans="2:12" ht="13.2">
      <c r="B1006" s="123"/>
      <c r="F1006" s="156"/>
      <c r="I1006" s="142"/>
      <c r="J1006" s="157"/>
      <c r="L1006" s="48"/>
    </row>
    <row r="1007" spans="2:12" ht="13.2">
      <c r="B1007" s="123"/>
      <c r="F1007" s="156"/>
      <c r="I1007" s="142"/>
      <c r="J1007" s="157"/>
      <c r="L1007" s="48"/>
    </row>
    <row r="1008" spans="2:12" ht="13.2">
      <c r="B1008" s="123"/>
      <c r="F1008" s="156"/>
      <c r="I1008" s="142"/>
      <c r="J1008" s="157"/>
      <c r="L1008" s="48"/>
    </row>
    <row r="1009" spans="2:12" ht="13.2">
      <c r="B1009" s="123"/>
      <c r="F1009" s="156"/>
      <c r="I1009" s="142"/>
      <c r="J1009" s="157"/>
      <c r="L1009" s="48"/>
    </row>
  </sheetData>
  <autoFilter ref="A1:M134" xr:uid="{00000000-0009-0000-0000-000000000000}"/>
  <mergeCells count="5">
    <mergeCell ref="A2:A13"/>
    <mergeCell ref="A14:A25"/>
    <mergeCell ref="A26:A37"/>
    <mergeCell ref="A38:A49"/>
    <mergeCell ref="A50:A65"/>
  </mergeCells>
  <conditionalFormatting sqref="D2:D248">
    <cfRule type="containsBlanks" dxfId="2" priority="1">
      <formula>LEN(TRIM(D2))=0</formula>
    </cfRule>
    <cfRule type="expression" dxfId="1" priority="2">
      <formula>D2 &lt;= E2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/>
  </sheetViews>
  <sheetFormatPr defaultColWidth="12.6640625" defaultRowHeight="15.75" customHeight="1"/>
  <cols>
    <col min="2" max="2" width="10" customWidth="1"/>
    <col min="3" max="3" width="10.109375" customWidth="1"/>
    <col min="4" max="4" width="9.109375" customWidth="1"/>
    <col min="5" max="5" width="9" customWidth="1"/>
    <col min="6" max="6" width="8.33203125" customWidth="1"/>
    <col min="7" max="7" width="9" customWidth="1"/>
    <col min="8" max="8" width="8" customWidth="1"/>
    <col min="9" max="9" width="8.21875" customWidth="1"/>
    <col min="10" max="10" width="12.21875" customWidth="1"/>
    <col min="11" max="11" width="8.44140625" customWidth="1"/>
    <col min="12" max="12" width="8.6640625" customWidth="1"/>
    <col min="13" max="14" width="13.21875" customWidth="1"/>
  </cols>
  <sheetData>
    <row r="1" spans="1:14">
      <c r="A1" s="3" t="s">
        <v>2</v>
      </c>
      <c r="B1" s="7" t="s">
        <v>4</v>
      </c>
      <c r="C1" s="11" t="s">
        <v>8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L1" s="13" t="s">
        <v>17</v>
      </c>
      <c r="M1" s="24">
        <f>SUM(J2:J140)-SUM(C2:C140)*170</f>
        <v>16349.230310000014</v>
      </c>
      <c r="N1" s="25"/>
    </row>
    <row r="2" spans="1:14">
      <c r="A2" s="28">
        <v>45884</v>
      </c>
      <c r="B2" s="34" t="s">
        <v>34</v>
      </c>
      <c r="C2" s="37">
        <f t="shared" ref="C2:C256" si="0">SUM(D2:I2)</f>
        <v>20.69</v>
      </c>
      <c r="D2" s="39">
        <v>7.72</v>
      </c>
      <c r="E2" s="39">
        <v>12.71</v>
      </c>
      <c r="F2" s="39">
        <v>0.26</v>
      </c>
      <c r="G2" s="39"/>
      <c r="H2" s="39"/>
      <c r="I2" s="39"/>
      <c r="J2" s="39">
        <v>2454</v>
      </c>
    </row>
    <row r="3" spans="1:14">
      <c r="A3" s="28">
        <v>45885</v>
      </c>
      <c r="B3" s="34" t="s">
        <v>31</v>
      </c>
      <c r="C3" s="37">
        <f t="shared" si="0"/>
        <v>6.91</v>
      </c>
      <c r="D3" s="39">
        <v>3.25</v>
      </c>
      <c r="E3" s="39">
        <v>3.14</v>
      </c>
      <c r="F3" s="39">
        <v>0.52</v>
      </c>
      <c r="G3" s="39"/>
      <c r="H3" s="39"/>
      <c r="I3" s="39"/>
      <c r="J3" s="39"/>
    </row>
    <row r="4" spans="1:14">
      <c r="A4" s="28">
        <v>45886</v>
      </c>
      <c r="B4" s="34" t="s">
        <v>49</v>
      </c>
      <c r="C4" s="37">
        <f t="shared" si="0"/>
        <v>0</v>
      </c>
      <c r="D4" s="44"/>
      <c r="E4" s="44"/>
      <c r="F4" s="39"/>
      <c r="G4" s="39"/>
      <c r="H4" s="39"/>
      <c r="I4" s="39"/>
      <c r="J4" s="39"/>
    </row>
    <row r="5" spans="1:14">
      <c r="A5" s="28">
        <v>45887</v>
      </c>
      <c r="B5" s="34" t="s">
        <v>69</v>
      </c>
      <c r="C5" s="37">
        <f t="shared" si="0"/>
        <v>25.8</v>
      </c>
      <c r="D5" s="39">
        <v>7.14</v>
      </c>
      <c r="E5" s="39">
        <v>18.09</v>
      </c>
      <c r="F5" s="39">
        <v>0.56999999999999995</v>
      </c>
      <c r="G5" s="39"/>
      <c r="H5" s="39"/>
      <c r="I5" s="39"/>
      <c r="J5" s="39"/>
    </row>
    <row r="6" spans="1:14">
      <c r="A6" s="28">
        <v>45888</v>
      </c>
      <c r="B6" s="34" t="s">
        <v>72</v>
      </c>
      <c r="C6" s="37">
        <f t="shared" si="0"/>
        <v>2.62</v>
      </c>
      <c r="D6" s="39">
        <v>2.62</v>
      </c>
      <c r="E6" s="44"/>
      <c r="F6" s="39"/>
      <c r="G6" s="39"/>
      <c r="H6" s="39"/>
      <c r="I6" s="39"/>
      <c r="J6" s="39">
        <v>15000</v>
      </c>
    </row>
    <row r="7" spans="1:14">
      <c r="A7" s="28">
        <v>45889</v>
      </c>
      <c r="B7" s="34" t="s">
        <v>79</v>
      </c>
      <c r="C7" s="37">
        <f t="shared" si="0"/>
        <v>13.83</v>
      </c>
      <c r="D7" s="39">
        <v>2.78</v>
      </c>
      <c r="E7" s="39">
        <v>11.05</v>
      </c>
      <c r="F7" s="39"/>
      <c r="G7" s="39"/>
      <c r="H7" s="39"/>
      <c r="I7" s="39"/>
      <c r="J7" s="39"/>
    </row>
    <row r="8" spans="1:14">
      <c r="A8" s="28">
        <v>45890</v>
      </c>
      <c r="B8" s="34" t="s">
        <v>83</v>
      </c>
      <c r="C8" s="37">
        <f t="shared" si="0"/>
        <v>8.5299999999999994</v>
      </c>
      <c r="D8" s="44">
        <v>2.86</v>
      </c>
      <c r="E8" s="39">
        <v>5.57</v>
      </c>
      <c r="F8" s="39">
        <v>0.1</v>
      </c>
      <c r="G8" s="39"/>
      <c r="H8" s="39"/>
      <c r="I8" s="39"/>
      <c r="J8" s="39"/>
    </row>
    <row r="9" spans="1:14">
      <c r="A9" s="28">
        <v>45891</v>
      </c>
      <c r="B9" s="34" t="s">
        <v>34</v>
      </c>
      <c r="C9" s="37">
        <f t="shared" si="0"/>
        <v>2.72</v>
      </c>
      <c r="D9" s="39">
        <v>2.72</v>
      </c>
      <c r="E9" s="39"/>
      <c r="F9" s="39"/>
      <c r="G9" s="39"/>
      <c r="H9" s="39"/>
      <c r="I9" s="39"/>
      <c r="J9" s="39"/>
    </row>
    <row r="10" spans="1:14">
      <c r="A10" s="28">
        <v>45892</v>
      </c>
      <c r="B10" s="34" t="s">
        <v>31</v>
      </c>
      <c r="C10" s="37">
        <f t="shared" si="0"/>
        <v>8.82</v>
      </c>
      <c r="D10" s="39">
        <v>1.94</v>
      </c>
      <c r="E10" s="39">
        <v>6.88</v>
      </c>
      <c r="F10" s="39"/>
      <c r="G10" s="39"/>
      <c r="H10" s="39"/>
      <c r="I10" s="39"/>
      <c r="J10" s="39"/>
    </row>
    <row r="11" spans="1:14">
      <c r="A11" s="28">
        <v>45893</v>
      </c>
      <c r="B11" s="34" t="s">
        <v>49</v>
      </c>
      <c r="C11" s="37">
        <f t="shared" si="0"/>
        <v>0</v>
      </c>
      <c r="D11" s="39"/>
      <c r="E11" s="39"/>
      <c r="F11" s="39"/>
      <c r="G11" s="39"/>
      <c r="H11" s="39"/>
      <c r="I11" s="39"/>
      <c r="J11" s="39"/>
    </row>
    <row r="12" spans="1:14">
      <c r="A12" s="28">
        <v>45894</v>
      </c>
      <c r="B12" s="34" t="s">
        <v>69</v>
      </c>
      <c r="C12" s="37">
        <f t="shared" si="0"/>
        <v>5.61</v>
      </c>
      <c r="D12" s="39">
        <v>5.61</v>
      </c>
      <c r="E12" s="39"/>
      <c r="F12" s="39"/>
      <c r="G12" s="39"/>
      <c r="H12" s="39"/>
      <c r="I12" s="39"/>
      <c r="J12" s="39"/>
    </row>
    <row r="13" spans="1:14">
      <c r="A13" s="28">
        <v>45895</v>
      </c>
      <c r="B13" s="34" t="s">
        <v>72</v>
      </c>
      <c r="C13" s="37">
        <f t="shared" si="0"/>
        <v>16.010057999999997</v>
      </c>
      <c r="D13" s="39">
        <v>1.1599999999999999</v>
      </c>
      <c r="E13" s="52">
        <v>14.850057999999999</v>
      </c>
      <c r="F13" s="39"/>
      <c r="G13" s="39"/>
      <c r="H13" s="39"/>
      <c r="I13" s="39"/>
      <c r="J13" s="39"/>
    </row>
    <row r="14" spans="1:14">
      <c r="A14" s="28">
        <v>45896</v>
      </c>
      <c r="B14" s="34" t="s">
        <v>79</v>
      </c>
      <c r="C14" s="37">
        <f t="shared" si="0"/>
        <v>7.13</v>
      </c>
      <c r="D14" s="39">
        <v>1.0900000000000001</v>
      </c>
      <c r="E14" s="39">
        <v>6.04</v>
      </c>
      <c r="F14" s="39"/>
      <c r="G14" s="39"/>
      <c r="H14" s="39"/>
      <c r="I14" s="39"/>
      <c r="J14" s="39"/>
    </row>
    <row r="15" spans="1:14">
      <c r="A15" s="28">
        <v>45897</v>
      </c>
      <c r="B15" s="34" t="s">
        <v>83</v>
      </c>
      <c r="C15" s="37">
        <f t="shared" si="0"/>
        <v>2.5300000000000002</v>
      </c>
      <c r="D15" s="39">
        <v>1.37</v>
      </c>
      <c r="E15" s="39">
        <v>0.38</v>
      </c>
      <c r="F15" s="39">
        <v>0.78</v>
      </c>
      <c r="G15" s="39"/>
      <c r="H15" s="39"/>
      <c r="I15" s="39"/>
      <c r="J15" s="39"/>
    </row>
    <row r="16" spans="1:14">
      <c r="A16" s="28">
        <v>45898</v>
      </c>
      <c r="B16" s="34" t="s">
        <v>34</v>
      </c>
      <c r="C16" s="37">
        <f t="shared" si="0"/>
        <v>3.1500000000000004</v>
      </c>
      <c r="D16" s="39">
        <v>2.62</v>
      </c>
      <c r="E16" s="39">
        <v>0.53</v>
      </c>
      <c r="F16" s="39"/>
      <c r="G16" s="39"/>
      <c r="H16" s="39"/>
      <c r="I16" s="39"/>
      <c r="J16" s="39"/>
    </row>
    <row r="17" spans="1:10">
      <c r="A17" s="28">
        <v>45899</v>
      </c>
      <c r="B17" s="34" t="s">
        <v>31</v>
      </c>
      <c r="C17" s="37">
        <f t="shared" si="0"/>
        <v>20.908647999999999</v>
      </c>
      <c r="D17" s="39">
        <v>4.82</v>
      </c>
      <c r="E17" s="52">
        <v>11.348648000000001</v>
      </c>
      <c r="F17" s="52">
        <v>3.4799999999999995</v>
      </c>
      <c r="G17" s="39">
        <v>0.14000000000000001</v>
      </c>
      <c r="H17" s="39">
        <v>0.31</v>
      </c>
      <c r="I17" s="39">
        <v>0.81</v>
      </c>
      <c r="J17" s="39">
        <v>15000</v>
      </c>
    </row>
    <row r="18" spans="1:10">
      <c r="A18" s="28">
        <v>45900</v>
      </c>
      <c r="B18" s="34" t="s">
        <v>49</v>
      </c>
      <c r="C18" s="37">
        <f t="shared" si="0"/>
        <v>1.1399999999999999</v>
      </c>
      <c r="D18" s="39">
        <v>1.1399999999999999</v>
      </c>
      <c r="E18" s="39"/>
      <c r="F18" s="39"/>
      <c r="G18" s="39"/>
      <c r="H18" s="39"/>
      <c r="I18" s="39"/>
      <c r="J18" s="39"/>
    </row>
    <row r="19" spans="1:10">
      <c r="A19" s="28">
        <v>45901</v>
      </c>
      <c r="B19" s="34" t="s">
        <v>69</v>
      </c>
      <c r="C19" s="37">
        <f t="shared" si="0"/>
        <v>17.47</v>
      </c>
      <c r="D19" s="39">
        <v>17.47</v>
      </c>
      <c r="E19" s="39"/>
      <c r="F19" s="39"/>
      <c r="G19" s="39"/>
      <c r="H19" s="39"/>
      <c r="I19" s="39"/>
      <c r="J19" s="39"/>
    </row>
    <row r="20" spans="1:10">
      <c r="A20" s="28">
        <v>45902</v>
      </c>
      <c r="B20" s="34" t="s">
        <v>72</v>
      </c>
      <c r="C20" s="37">
        <f t="shared" si="0"/>
        <v>18.466057999999997</v>
      </c>
      <c r="D20" s="52">
        <v>5.8429339999999996</v>
      </c>
      <c r="E20" s="52">
        <v>12.623123999999997</v>
      </c>
      <c r="F20" s="39"/>
      <c r="G20" s="39"/>
      <c r="H20" s="39"/>
      <c r="I20" s="39"/>
      <c r="J20" s="39"/>
    </row>
    <row r="21" spans="1:10">
      <c r="A21" s="28">
        <v>45903</v>
      </c>
      <c r="B21" s="34" t="s">
        <v>79</v>
      </c>
      <c r="C21" s="37">
        <f t="shared" si="0"/>
        <v>15.27</v>
      </c>
      <c r="D21" s="39">
        <v>6.97</v>
      </c>
      <c r="E21" s="39">
        <v>7.44</v>
      </c>
      <c r="F21" s="39">
        <v>0.49</v>
      </c>
      <c r="G21" s="39">
        <v>0.37</v>
      </c>
      <c r="H21" s="39"/>
      <c r="I21" s="39"/>
      <c r="J21" s="39"/>
    </row>
    <row r="22" spans="1:10">
      <c r="A22" s="28">
        <v>45904</v>
      </c>
      <c r="B22" s="34" t="s">
        <v>83</v>
      </c>
      <c r="C22" s="37">
        <f t="shared" si="0"/>
        <v>12.709999999999999</v>
      </c>
      <c r="D22" s="39">
        <v>4.3099999999999996</v>
      </c>
      <c r="E22" s="39">
        <v>7.06</v>
      </c>
      <c r="F22" s="39">
        <v>0.61</v>
      </c>
      <c r="G22" s="39">
        <v>0.73</v>
      </c>
      <c r="H22" s="39"/>
      <c r="I22" s="39"/>
      <c r="J22" s="39"/>
    </row>
    <row r="23" spans="1:10">
      <c r="A23" s="28">
        <v>45905</v>
      </c>
      <c r="B23" s="34" t="s">
        <v>34</v>
      </c>
      <c r="C23" s="37">
        <f t="shared" si="0"/>
        <v>9.64</v>
      </c>
      <c r="D23" s="39">
        <v>5.39</v>
      </c>
      <c r="E23" s="39">
        <v>4.25</v>
      </c>
      <c r="F23" s="39"/>
      <c r="G23" s="39"/>
      <c r="H23" s="39"/>
      <c r="I23" s="39"/>
      <c r="J23" s="39"/>
    </row>
    <row r="24" spans="1:10">
      <c r="A24" s="28">
        <v>45906</v>
      </c>
      <c r="B24" s="34" t="s">
        <v>31</v>
      </c>
      <c r="C24" s="37">
        <f t="shared" si="0"/>
        <v>0</v>
      </c>
      <c r="D24" s="39"/>
      <c r="E24" s="39"/>
      <c r="F24" s="39"/>
      <c r="G24" s="39"/>
      <c r="H24" s="39"/>
      <c r="I24" s="39"/>
      <c r="J24" s="39"/>
    </row>
    <row r="25" spans="1:10">
      <c r="A25" s="28">
        <v>45907</v>
      </c>
      <c r="B25" s="34" t="s">
        <v>49</v>
      </c>
      <c r="C25" s="37">
        <f t="shared" si="0"/>
        <v>0</v>
      </c>
      <c r="D25" s="39"/>
      <c r="E25" s="39"/>
      <c r="F25" s="39"/>
      <c r="G25" s="39"/>
      <c r="H25" s="39"/>
      <c r="I25" s="39"/>
      <c r="J25" s="39"/>
    </row>
    <row r="26" spans="1:10">
      <c r="A26" s="28">
        <v>45908</v>
      </c>
      <c r="B26" s="34" t="s">
        <v>69</v>
      </c>
      <c r="C26" s="37">
        <f t="shared" si="0"/>
        <v>38.43</v>
      </c>
      <c r="D26" s="61">
        <v>38.43</v>
      </c>
      <c r="E26" s="39"/>
      <c r="F26" s="39"/>
      <c r="G26" s="39"/>
      <c r="H26" s="39"/>
      <c r="I26" s="39"/>
      <c r="J26" s="39"/>
    </row>
    <row r="27" spans="1:10">
      <c r="A27" s="28">
        <v>45909</v>
      </c>
      <c r="B27" s="34" t="s">
        <v>72</v>
      </c>
      <c r="C27" s="37">
        <f t="shared" si="0"/>
        <v>26.58</v>
      </c>
      <c r="D27" s="39">
        <v>26.58</v>
      </c>
      <c r="E27" s="39"/>
      <c r="F27" s="39"/>
      <c r="G27" s="39"/>
      <c r="H27" s="39"/>
      <c r="I27" s="39"/>
      <c r="J27" s="39"/>
    </row>
    <row r="28" spans="1:10">
      <c r="A28" s="28">
        <v>45910</v>
      </c>
      <c r="B28" s="34" t="s">
        <v>79</v>
      </c>
      <c r="C28" s="37">
        <f t="shared" si="0"/>
        <v>15.879999999999999</v>
      </c>
      <c r="D28" s="39">
        <v>8.17</v>
      </c>
      <c r="E28" s="39">
        <v>7.71</v>
      </c>
      <c r="F28" s="39"/>
      <c r="G28" s="39"/>
      <c r="H28" s="39"/>
      <c r="I28" s="39"/>
      <c r="J28" s="39"/>
    </row>
    <row r="29" spans="1:10">
      <c r="A29" s="28">
        <v>45911</v>
      </c>
      <c r="B29" s="34" t="s">
        <v>83</v>
      </c>
      <c r="C29" s="37">
        <f t="shared" si="0"/>
        <v>14.89</v>
      </c>
      <c r="D29" s="39">
        <v>7.01</v>
      </c>
      <c r="E29" s="39">
        <v>3.88</v>
      </c>
      <c r="F29" s="39">
        <v>4</v>
      </c>
      <c r="G29" s="39"/>
      <c r="H29" s="39"/>
      <c r="I29" s="39"/>
      <c r="J29" s="39">
        <v>-150</v>
      </c>
    </row>
    <row r="30" spans="1:10">
      <c r="A30" s="28">
        <v>45912</v>
      </c>
      <c r="B30" s="34" t="s">
        <v>34</v>
      </c>
      <c r="C30" s="37">
        <f t="shared" si="0"/>
        <v>16.043334000000002</v>
      </c>
      <c r="D30" s="39">
        <v>5.23</v>
      </c>
      <c r="E30" s="52">
        <v>3.5922479999999997</v>
      </c>
      <c r="F30" s="52">
        <v>6.371086</v>
      </c>
      <c r="G30" s="39">
        <v>0.41</v>
      </c>
      <c r="H30" s="39">
        <v>0.44</v>
      </c>
      <c r="I30" s="39"/>
      <c r="J30" s="39">
        <v>2870</v>
      </c>
    </row>
    <row r="31" spans="1:10">
      <c r="A31" s="28">
        <v>45913</v>
      </c>
      <c r="B31" s="34" t="s">
        <v>31</v>
      </c>
      <c r="C31" s="37">
        <f t="shared" si="0"/>
        <v>19.138126999999997</v>
      </c>
      <c r="D31" s="65">
        <v>7.03</v>
      </c>
      <c r="E31" s="52">
        <v>2.7721399999999998</v>
      </c>
      <c r="F31" s="52">
        <v>9.3359869999999994</v>
      </c>
      <c r="G31" s="39"/>
      <c r="H31" s="39"/>
      <c r="I31" s="39"/>
      <c r="J31" s="39">
        <v>38000</v>
      </c>
    </row>
    <row r="32" spans="1:10">
      <c r="A32" s="28">
        <v>45914</v>
      </c>
      <c r="B32" s="34" t="s">
        <v>49</v>
      </c>
      <c r="C32" s="37">
        <f t="shared" si="0"/>
        <v>0</v>
      </c>
      <c r="D32" s="39"/>
      <c r="E32" s="39"/>
      <c r="F32" s="39"/>
      <c r="G32" s="39"/>
      <c r="H32" s="39"/>
      <c r="I32" s="39"/>
      <c r="J32" s="39"/>
    </row>
    <row r="33" spans="1:10">
      <c r="A33" s="28">
        <v>45915</v>
      </c>
      <c r="B33" s="34" t="s">
        <v>69</v>
      </c>
      <c r="C33" s="37">
        <f t="shared" si="0"/>
        <v>36.89</v>
      </c>
      <c r="D33" s="39">
        <v>36.89</v>
      </c>
      <c r="E33" s="39"/>
      <c r="F33" s="39"/>
      <c r="G33" s="39"/>
      <c r="H33" s="39"/>
      <c r="I33" s="39"/>
      <c r="J33" s="39"/>
    </row>
    <row r="34" spans="1:10">
      <c r="A34" s="28">
        <v>45916</v>
      </c>
      <c r="B34" s="34" t="s">
        <v>72</v>
      </c>
      <c r="C34" s="37">
        <f t="shared" si="0"/>
        <v>6.7757919999999991</v>
      </c>
      <c r="D34" s="39">
        <v>3.46</v>
      </c>
      <c r="E34" s="52">
        <v>3.3157919999999996</v>
      </c>
      <c r="F34" s="39"/>
      <c r="G34" s="39"/>
      <c r="H34" s="39"/>
      <c r="I34" s="39"/>
      <c r="J34" s="39"/>
    </row>
    <row r="35" spans="1:10">
      <c r="A35" s="28">
        <v>45917</v>
      </c>
      <c r="B35" s="34" t="s">
        <v>79</v>
      </c>
      <c r="C35" s="37">
        <f t="shared" si="0"/>
        <v>0</v>
      </c>
      <c r="D35" s="39"/>
      <c r="E35" s="39"/>
      <c r="F35" s="39"/>
      <c r="G35" s="39"/>
      <c r="H35" s="39"/>
      <c r="I35" s="39"/>
      <c r="J35" s="39"/>
    </row>
    <row r="36" spans="1:10">
      <c r="A36" s="28">
        <v>45918</v>
      </c>
      <c r="B36" s="34" t="s">
        <v>83</v>
      </c>
      <c r="C36" s="37">
        <f t="shared" si="0"/>
        <v>9.49</v>
      </c>
      <c r="D36" s="39">
        <v>3.81</v>
      </c>
      <c r="E36" s="39">
        <v>5.68</v>
      </c>
      <c r="F36" s="39"/>
      <c r="G36" s="39"/>
      <c r="H36" s="39"/>
      <c r="I36" s="39"/>
      <c r="J36" s="39"/>
    </row>
    <row r="37" spans="1:10">
      <c r="A37" s="28">
        <v>45919</v>
      </c>
      <c r="B37" s="34" t="s">
        <v>34</v>
      </c>
      <c r="C37" s="37">
        <f t="shared" si="0"/>
        <v>7.09</v>
      </c>
      <c r="D37" s="39">
        <v>1.63</v>
      </c>
      <c r="E37" s="39">
        <v>0.09</v>
      </c>
      <c r="F37" s="39">
        <v>5.37</v>
      </c>
      <c r="G37" s="39"/>
      <c r="H37" s="39"/>
      <c r="I37" s="39"/>
      <c r="J37" s="39"/>
    </row>
    <row r="38" spans="1:10">
      <c r="A38" s="28">
        <v>45920</v>
      </c>
      <c r="B38" s="34" t="s">
        <v>31</v>
      </c>
      <c r="C38" s="37">
        <f t="shared" si="0"/>
        <v>15.43</v>
      </c>
      <c r="D38" s="39">
        <v>9.93</v>
      </c>
      <c r="E38" s="39">
        <v>5.5</v>
      </c>
      <c r="F38" s="39"/>
      <c r="G38" s="39"/>
      <c r="H38" s="39"/>
      <c r="I38" s="39"/>
      <c r="J38" s="39"/>
    </row>
    <row r="39" spans="1:10">
      <c r="A39" s="28">
        <v>45921</v>
      </c>
      <c r="B39" s="34" t="s">
        <v>49</v>
      </c>
      <c r="C39" s="37">
        <f t="shared" si="0"/>
        <v>0</v>
      </c>
      <c r="D39" s="39"/>
      <c r="E39" s="39"/>
      <c r="F39" s="39"/>
      <c r="G39" s="39"/>
      <c r="H39" s="39"/>
      <c r="I39" s="39"/>
      <c r="J39" s="39"/>
    </row>
    <row r="40" spans="1:10">
      <c r="A40" s="28">
        <v>45922</v>
      </c>
      <c r="B40" s="34" t="s">
        <v>69</v>
      </c>
      <c r="C40" s="37">
        <f t="shared" si="0"/>
        <v>26.57</v>
      </c>
      <c r="D40" s="39">
        <v>0.69</v>
      </c>
      <c r="E40" s="39">
        <v>25.88</v>
      </c>
      <c r="F40" s="39"/>
      <c r="G40" s="39"/>
      <c r="H40" s="39"/>
      <c r="I40" s="39"/>
      <c r="J40" s="39"/>
    </row>
    <row r="41" spans="1:10">
      <c r="A41" s="28">
        <v>45923</v>
      </c>
      <c r="B41" s="34" t="s">
        <v>72</v>
      </c>
      <c r="C41" s="37">
        <f t="shared" si="0"/>
        <v>29.98</v>
      </c>
      <c r="D41" s="39">
        <v>13.89</v>
      </c>
      <c r="E41" s="39">
        <v>16.09</v>
      </c>
      <c r="F41" s="39"/>
      <c r="G41" s="39"/>
      <c r="H41" s="39"/>
      <c r="I41" s="39"/>
      <c r="J41" s="39"/>
    </row>
    <row r="42" spans="1:10">
      <c r="A42" s="28">
        <v>45924</v>
      </c>
      <c r="B42" s="34" t="s">
        <v>79</v>
      </c>
      <c r="C42" s="37">
        <f t="shared" si="0"/>
        <v>0</v>
      </c>
      <c r="D42" s="39"/>
      <c r="E42" s="39"/>
      <c r="F42" s="39"/>
      <c r="G42" s="39"/>
      <c r="H42" s="39"/>
      <c r="I42" s="39"/>
      <c r="J42" s="39"/>
    </row>
    <row r="43" spans="1:10">
      <c r="A43" s="28">
        <v>45925</v>
      </c>
      <c r="B43" s="34" t="s">
        <v>83</v>
      </c>
      <c r="C43" s="37">
        <f t="shared" si="0"/>
        <v>18.224734000000002</v>
      </c>
      <c r="D43" s="39">
        <v>9.8000000000000007</v>
      </c>
      <c r="E43" s="52">
        <v>8.3047339999999998</v>
      </c>
      <c r="F43" s="39">
        <v>0.12</v>
      </c>
      <c r="G43" s="39"/>
      <c r="H43" s="39"/>
      <c r="I43" s="39"/>
      <c r="J43" s="39"/>
    </row>
    <row r="44" spans="1:10">
      <c r="A44" s="28">
        <v>45926</v>
      </c>
      <c r="B44" s="34" t="s">
        <v>34</v>
      </c>
      <c r="C44" s="37">
        <f t="shared" si="0"/>
        <v>8.8174279999999996</v>
      </c>
      <c r="D44" s="52">
        <v>5.8187789999999993</v>
      </c>
      <c r="E44" s="52">
        <v>2.9986490000000003</v>
      </c>
      <c r="F44" s="39"/>
      <c r="G44" s="39"/>
      <c r="H44" s="39"/>
      <c r="I44" s="39"/>
      <c r="J44" s="39">
        <v>30000</v>
      </c>
    </row>
    <row r="45" spans="1:10">
      <c r="A45" s="28">
        <v>45927</v>
      </c>
      <c r="B45" s="34" t="s">
        <v>31</v>
      </c>
      <c r="C45" s="37">
        <f t="shared" si="0"/>
        <v>0</v>
      </c>
      <c r="D45" s="39"/>
      <c r="E45" s="39"/>
      <c r="F45" s="39"/>
      <c r="G45" s="39"/>
      <c r="H45" s="39"/>
      <c r="I45" s="39"/>
      <c r="J45" s="39"/>
    </row>
    <row r="46" spans="1:10">
      <c r="A46" s="28">
        <v>45928</v>
      </c>
      <c r="B46" s="34" t="s">
        <v>49</v>
      </c>
      <c r="C46" s="37">
        <f t="shared" si="0"/>
        <v>0</v>
      </c>
      <c r="D46" s="39"/>
      <c r="E46" s="39"/>
      <c r="F46" s="39"/>
      <c r="G46" s="39"/>
      <c r="H46" s="39"/>
      <c r="I46" s="39"/>
      <c r="J46" s="39"/>
    </row>
    <row r="47" spans="1:10">
      <c r="A47" s="28">
        <v>45929</v>
      </c>
      <c r="B47" s="34" t="s">
        <v>69</v>
      </c>
      <c r="C47" s="37">
        <f t="shared" si="0"/>
        <v>28.939999999999998</v>
      </c>
      <c r="D47" s="39">
        <v>14.17</v>
      </c>
      <c r="E47" s="39">
        <v>14.77</v>
      </c>
      <c r="F47" s="39"/>
      <c r="G47" s="39"/>
      <c r="H47" s="39"/>
      <c r="I47" s="39"/>
      <c r="J47" s="39"/>
    </row>
    <row r="48" spans="1:10">
      <c r="A48" s="28">
        <v>45930</v>
      </c>
      <c r="B48" s="34" t="s">
        <v>72</v>
      </c>
      <c r="C48" s="37">
        <f t="shared" si="0"/>
        <v>9.3921050000000008</v>
      </c>
      <c r="D48" s="39">
        <v>6.51</v>
      </c>
      <c r="E48" s="52">
        <v>2.8821050000000001</v>
      </c>
      <c r="F48" s="39"/>
      <c r="G48" s="39"/>
      <c r="H48" s="39"/>
      <c r="I48" s="39"/>
      <c r="J48" s="39"/>
    </row>
    <row r="49" spans="1:10">
      <c r="A49" s="28">
        <v>45931</v>
      </c>
      <c r="B49" s="34" t="s">
        <v>79</v>
      </c>
      <c r="C49" s="37">
        <f t="shared" si="0"/>
        <v>15.246002999999998</v>
      </c>
      <c r="D49" s="52">
        <v>4.076003</v>
      </c>
      <c r="E49" s="39">
        <v>6.47</v>
      </c>
      <c r="F49" s="39">
        <v>4.18</v>
      </c>
      <c r="G49" s="39">
        <v>0.52</v>
      </c>
      <c r="H49" s="39"/>
      <c r="I49" s="39"/>
      <c r="J49" s="39"/>
    </row>
    <row r="50" spans="1:10">
      <c r="A50" s="28">
        <v>45932</v>
      </c>
      <c r="B50" s="34" t="s">
        <v>83</v>
      </c>
      <c r="C50" s="37">
        <f t="shared" si="0"/>
        <v>7.96</v>
      </c>
      <c r="D50" s="39">
        <v>4.12</v>
      </c>
      <c r="E50" s="39">
        <v>3.84</v>
      </c>
      <c r="F50" s="39"/>
      <c r="G50" s="39"/>
      <c r="H50" s="39"/>
      <c r="I50" s="39"/>
      <c r="J50" s="39"/>
    </row>
    <row r="51" spans="1:10">
      <c r="A51" s="28">
        <v>45933</v>
      </c>
      <c r="B51" s="34" t="s">
        <v>34</v>
      </c>
      <c r="C51" s="37">
        <f t="shared" si="0"/>
        <v>17.014721999999999</v>
      </c>
      <c r="D51" s="39">
        <v>13.38</v>
      </c>
      <c r="E51" s="52">
        <v>3.6347219999999996</v>
      </c>
      <c r="F51" s="39"/>
      <c r="G51" s="39"/>
      <c r="H51" s="39"/>
      <c r="I51" s="39"/>
      <c r="J51" s="39"/>
    </row>
    <row r="52" spans="1:10">
      <c r="A52" s="28">
        <v>45934</v>
      </c>
      <c r="B52" s="34" t="s">
        <v>31</v>
      </c>
      <c r="C52" s="37">
        <f t="shared" si="0"/>
        <v>9.0295379999999987</v>
      </c>
      <c r="D52" s="39">
        <v>5.0599999999999996</v>
      </c>
      <c r="E52" s="52">
        <v>3.9695379999999996</v>
      </c>
      <c r="F52" s="39"/>
      <c r="G52" s="39"/>
      <c r="H52" s="39"/>
      <c r="I52" s="39"/>
      <c r="J52" s="39"/>
    </row>
    <row r="53" spans="1:10">
      <c r="A53" s="28">
        <v>45935</v>
      </c>
      <c r="B53" s="34" t="s">
        <v>49</v>
      </c>
      <c r="C53" s="37">
        <f t="shared" si="0"/>
        <v>0</v>
      </c>
      <c r="D53" s="39"/>
      <c r="E53" s="39"/>
      <c r="F53" s="39"/>
      <c r="G53" s="39"/>
      <c r="H53" s="39"/>
      <c r="I53" s="39"/>
      <c r="J53" s="39"/>
    </row>
    <row r="54" spans="1:10">
      <c r="A54" s="28">
        <v>45936</v>
      </c>
      <c r="B54" s="34" t="s">
        <v>69</v>
      </c>
      <c r="C54" s="37">
        <f t="shared" si="0"/>
        <v>25.200000000000003</v>
      </c>
      <c r="D54" s="39">
        <v>15.64</v>
      </c>
      <c r="E54" s="39">
        <v>9.56</v>
      </c>
      <c r="F54" s="39"/>
      <c r="G54" s="39"/>
      <c r="H54" s="39"/>
      <c r="I54" s="39"/>
      <c r="J54" s="39"/>
    </row>
    <row r="55" spans="1:10">
      <c r="A55" s="28">
        <v>45937</v>
      </c>
      <c r="B55" s="34" t="s">
        <v>72</v>
      </c>
      <c r="C55" s="37">
        <f t="shared" si="0"/>
        <v>11.507746999999998</v>
      </c>
      <c r="D55" s="39">
        <v>6.56</v>
      </c>
      <c r="E55" s="52">
        <v>4.9477469999999997</v>
      </c>
      <c r="F55" s="39"/>
      <c r="G55" s="39"/>
      <c r="H55" s="39"/>
      <c r="I55" s="39"/>
      <c r="J55" s="39"/>
    </row>
    <row r="56" spans="1:10">
      <c r="A56" s="28">
        <v>45938</v>
      </c>
      <c r="B56" s="34" t="s">
        <v>79</v>
      </c>
      <c r="C56" s="37">
        <f t="shared" si="0"/>
        <v>9.34</v>
      </c>
      <c r="D56" s="39">
        <v>9.34</v>
      </c>
      <c r="E56" s="39"/>
      <c r="F56" s="39"/>
      <c r="G56" s="39"/>
      <c r="H56" s="39"/>
      <c r="I56" s="39"/>
      <c r="J56" s="39"/>
    </row>
    <row r="57" spans="1:10">
      <c r="A57" s="28">
        <v>45939</v>
      </c>
      <c r="B57" s="34" t="s">
        <v>83</v>
      </c>
      <c r="C57" s="37">
        <f t="shared" si="0"/>
        <v>17</v>
      </c>
      <c r="D57" s="39">
        <v>14.25</v>
      </c>
      <c r="E57" s="39">
        <v>0.91</v>
      </c>
      <c r="F57" s="39">
        <v>1.84</v>
      </c>
      <c r="G57" s="39"/>
      <c r="H57" s="39"/>
      <c r="I57" s="39"/>
      <c r="J57" s="39"/>
    </row>
    <row r="58" spans="1:10">
      <c r="A58" s="28">
        <v>45940</v>
      </c>
      <c r="B58" s="34" t="s">
        <v>34</v>
      </c>
      <c r="C58" s="37">
        <f t="shared" si="0"/>
        <v>22.87</v>
      </c>
      <c r="D58" s="39">
        <v>15.8</v>
      </c>
      <c r="E58" s="39">
        <v>7.07</v>
      </c>
      <c r="F58" s="39"/>
      <c r="G58" s="39"/>
      <c r="H58" s="39"/>
      <c r="I58" s="39"/>
      <c r="J58" s="39">
        <v>30000</v>
      </c>
    </row>
    <row r="59" spans="1:10">
      <c r="A59" s="28">
        <v>45941</v>
      </c>
      <c r="B59" s="34" t="s">
        <v>31</v>
      </c>
      <c r="C59" s="37">
        <f t="shared" si="0"/>
        <v>13.690961</v>
      </c>
      <c r="D59" s="39">
        <v>9.5299999999999994</v>
      </c>
      <c r="E59" s="52">
        <v>4.1609610000000004</v>
      </c>
      <c r="F59" s="39"/>
      <c r="G59" s="39"/>
      <c r="H59" s="39"/>
      <c r="I59" s="39"/>
      <c r="J59" s="39"/>
    </row>
    <row r="60" spans="1:10">
      <c r="A60" s="28">
        <v>45942</v>
      </c>
      <c r="B60" s="34" t="s">
        <v>49</v>
      </c>
      <c r="C60" s="37">
        <f t="shared" si="0"/>
        <v>0</v>
      </c>
      <c r="D60" s="39"/>
      <c r="E60" s="39"/>
      <c r="F60" s="39"/>
      <c r="G60" s="39"/>
      <c r="H60" s="39"/>
      <c r="I60" s="39"/>
      <c r="J60" s="39"/>
    </row>
    <row r="61" spans="1:10">
      <c r="A61" s="28">
        <v>45943</v>
      </c>
      <c r="B61" s="34" t="s">
        <v>69</v>
      </c>
      <c r="C61" s="37">
        <f t="shared" si="0"/>
        <v>23.95</v>
      </c>
      <c r="D61" s="39">
        <v>17.07</v>
      </c>
      <c r="E61" s="39">
        <v>6.88</v>
      </c>
      <c r="F61" s="39"/>
      <c r="G61" s="39"/>
      <c r="H61" s="39"/>
      <c r="I61" s="39"/>
      <c r="J61" s="39"/>
    </row>
    <row r="62" spans="1:10">
      <c r="A62" s="28">
        <v>45944</v>
      </c>
      <c r="B62" s="34" t="s">
        <v>72</v>
      </c>
      <c r="C62" s="37">
        <f t="shared" si="0"/>
        <v>25.89</v>
      </c>
      <c r="D62" s="39">
        <v>8.2100000000000009</v>
      </c>
      <c r="E62" s="39">
        <v>3.91</v>
      </c>
      <c r="F62" s="39">
        <v>13.77</v>
      </c>
      <c r="G62" s="39"/>
      <c r="H62" s="39"/>
      <c r="I62" s="39"/>
      <c r="J62" s="39"/>
    </row>
    <row r="63" spans="1:10">
      <c r="A63" s="28">
        <v>45945</v>
      </c>
      <c r="B63" s="34" t="s">
        <v>79</v>
      </c>
      <c r="C63" s="37">
        <f t="shared" si="0"/>
        <v>19.026333000000001</v>
      </c>
      <c r="D63" s="39">
        <v>13.94</v>
      </c>
      <c r="E63" s="52">
        <v>5.0863329999999998</v>
      </c>
      <c r="G63" s="39"/>
      <c r="H63" s="39"/>
      <c r="I63" s="39"/>
      <c r="J63" s="39"/>
    </row>
    <row r="64" spans="1:10">
      <c r="A64" s="28">
        <v>45946</v>
      </c>
      <c r="B64" s="34" t="s">
        <v>83</v>
      </c>
      <c r="C64" s="37">
        <f t="shared" si="0"/>
        <v>3.352185</v>
      </c>
      <c r="D64" s="52">
        <v>3.352185</v>
      </c>
      <c r="E64" s="39"/>
      <c r="F64" s="39"/>
      <c r="G64" s="39"/>
      <c r="H64" s="39"/>
      <c r="I64" s="39"/>
      <c r="J64" s="39"/>
    </row>
    <row r="65" spans="1:11">
      <c r="A65" s="28">
        <v>45947</v>
      </c>
      <c r="B65" s="34" t="s">
        <v>34</v>
      </c>
      <c r="C65" s="37">
        <f t="shared" si="0"/>
        <v>50.494963999999996</v>
      </c>
      <c r="D65" s="39">
        <v>49.23</v>
      </c>
      <c r="E65" s="52">
        <v>1.264964</v>
      </c>
      <c r="F65" s="39"/>
      <c r="G65" s="39"/>
      <c r="H65" s="39"/>
      <c r="I65" s="39"/>
      <c r="J65" s="39"/>
    </row>
    <row r="66" spans="1:11">
      <c r="A66" s="28">
        <v>45948</v>
      </c>
      <c r="B66" s="34" t="s">
        <v>31</v>
      </c>
      <c r="C66" s="37">
        <f t="shared" si="0"/>
        <v>14.446279000000001</v>
      </c>
      <c r="D66" s="39">
        <v>7.31</v>
      </c>
      <c r="E66" s="52">
        <v>7.136279</v>
      </c>
      <c r="F66" s="39"/>
      <c r="G66" s="39"/>
      <c r="H66" s="39"/>
      <c r="I66" s="39"/>
      <c r="J66" s="39"/>
    </row>
    <row r="67" spans="1:11">
      <c r="A67" s="28">
        <v>45949</v>
      </c>
      <c r="B67" s="34" t="s">
        <v>49</v>
      </c>
      <c r="C67" s="37">
        <f t="shared" si="0"/>
        <v>0</v>
      </c>
      <c r="D67" s="81"/>
      <c r="E67" s="81"/>
      <c r="F67" s="81"/>
      <c r="G67" s="81"/>
      <c r="H67" s="81"/>
      <c r="I67" s="81"/>
      <c r="J67" s="81"/>
    </row>
    <row r="68" spans="1:11">
      <c r="A68" s="28">
        <v>45950</v>
      </c>
      <c r="B68" s="34" t="s">
        <v>69</v>
      </c>
      <c r="C68" s="37">
        <f t="shared" si="0"/>
        <v>0</v>
      </c>
      <c r="D68" s="81"/>
      <c r="E68" s="81"/>
      <c r="F68" s="81"/>
      <c r="G68" s="81"/>
      <c r="H68" s="81"/>
      <c r="I68" s="81"/>
      <c r="J68" s="81"/>
      <c r="K68" s="17" t="s">
        <v>403</v>
      </c>
    </row>
    <row r="69" spans="1:11">
      <c r="A69" s="28">
        <v>45951</v>
      </c>
      <c r="B69" s="34" t="s">
        <v>72</v>
      </c>
      <c r="C69" s="37">
        <f t="shared" si="0"/>
        <v>0</v>
      </c>
      <c r="D69" s="81"/>
      <c r="E69" s="81"/>
      <c r="F69" s="81"/>
      <c r="G69" s="81"/>
      <c r="H69" s="81"/>
      <c r="I69" s="81"/>
      <c r="J69" s="81"/>
    </row>
    <row r="70" spans="1:11">
      <c r="A70" s="28">
        <v>45952</v>
      </c>
      <c r="B70" s="34" t="s">
        <v>79</v>
      </c>
      <c r="C70" s="37">
        <f t="shared" si="0"/>
        <v>0</v>
      </c>
      <c r="D70" s="81"/>
      <c r="E70" s="81"/>
      <c r="F70" s="81"/>
      <c r="G70" s="81"/>
      <c r="H70" s="81"/>
      <c r="I70" s="81"/>
      <c r="J70" s="81"/>
    </row>
    <row r="71" spans="1:11">
      <c r="A71" s="28">
        <v>45953</v>
      </c>
      <c r="B71" s="34" t="s">
        <v>83</v>
      </c>
      <c r="C71" s="37">
        <f t="shared" si="0"/>
        <v>0</v>
      </c>
      <c r="D71" s="81"/>
      <c r="E71" s="81"/>
      <c r="F71" s="81"/>
      <c r="G71" s="81"/>
      <c r="H71" s="81"/>
      <c r="I71" s="81"/>
      <c r="J71" s="81"/>
    </row>
    <row r="72" spans="1:11">
      <c r="A72" s="28">
        <v>45954</v>
      </c>
      <c r="B72" s="34" t="s">
        <v>34</v>
      </c>
      <c r="C72" s="37">
        <f t="shared" si="0"/>
        <v>0</v>
      </c>
      <c r="D72" s="81"/>
      <c r="E72" s="81"/>
      <c r="F72" s="81"/>
      <c r="G72" s="81"/>
      <c r="H72" s="81"/>
      <c r="I72" s="81"/>
      <c r="J72" s="81"/>
    </row>
    <row r="73" spans="1:11">
      <c r="A73" s="28">
        <v>45955</v>
      </c>
      <c r="B73" s="34" t="s">
        <v>31</v>
      </c>
      <c r="C73" s="37">
        <f t="shared" si="0"/>
        <v>0</v>
      </c>
      <c r="D73" s="81"/>
      <c r="E73" s="81"/>
      <c r="F73" s="81"/>
      <c r="G73" s="81"/>
      <c r="H73" s="81"/>
      <c r="I73" s="81"/>
      <c r="J73" s="81"/>
    </row>
    <row r="74" spans="1:11">
      <c r="A74" s="28">
        <v>45956</v>
      </c>
      <c r="B74" s="34" t="s">
        <v>49</v>
      </c>
      <c r="C74" s="37">
        <f t="shared" si="0"/>
        <v>0</v>
      </c>
      <c r="D74" s="81"/>
      <c r="E74" s="81"/>
      <c r="F74" s="81"/>
      <c r="G74" s="81"/>
      <c r="H74" s="81"/>
      <c r="I74" s="81"/>
      <c r="J74" s="81"/>
    </row>
    <row r="75" spans="1:11">
      <c r="A75" s="28">
        <v>45957</v>
      </c>
      <c r="B75" s="34" t="s">
        <v>69</v>
      </c>
      <c r="C75" s="37">
        <f t="shared" si="0"/>
        <v>22.903231000000002</v>
      </c>
      <c r="D75" s="52">
        <v>22.903231000000002</v>
      </c>
      <c r="E75" s="39"/>
      <c r="F75" s="39"/>
      <c r="G75" s="39"/>
      <c r="H75" s="39"/>
      <c r="I75" s="39"/>
      <c r="J75" s="39">
        <v>30000</v>
      </c>
    </row>
    <row r="76" spans="1:11">
      <c r="A76" s="28">
        <v>45958</v>
      </c>
      <c r="B76" s="34" t="s">
        <v>72</v>
      </c>
      <c r="C76" s="37">
        <f t="shared" si="0"/>
        <v>27.019038000000002</v>
      </c>
      <c r="D76" s="52">
        <v>27.019038000000002</v>
      </c>
      <c r="E76" s="39"/>
      <c r="F76" s="39"/>
      <c r="G76" s="39"/>
      <c r="H76" s="39"/>
      <c r="I76" s="39"/>
      <c r="J76" s="39"/>
    </row>
    <row r="77" spans="1:11">
      <c r="A77" s="28">
        <v>45959</v>
      </c>
      <c r="B77" s="34" t="s">
        <v>79</v>
      </c>
      <c r="C77" s="37">
        <f t="shared" si="0"/>
        <v>65.700406000000015</v>
      </c>
      <c r="D77" s="52">
        <v>12.338414000000002</v>
      </c>
      <c r="E77" s="39">
        <v>4.09</v>
      </c>
      <c r="F77" s="52">
        <v>49.271992000000004</v>
      </c>
      <c r="G77" s="39"/>
      <c r="H77" s="39"/>
      <c r="I77" s="39"/>
      <c r="J77" s="39"/>
    </row>
    <row r="78" spans="1:11">
      <c r="A78" s="28">
        <v>45960</v>
      </c>
      <c r="B78" s="34" t="s">
        <v>83</v>
      </c>
      <c r="C78" s="37">
        <f t="shared" si="0"/>
        <v>0</v>
      </c>
      <c r="D78" s="39"/>
      <c r="E78" s="39"/>
      <c r="F78" s="39"/>
      <c r="G78" s="39"/>
      <c r="H78" s="39"/>
      <c r="I78" s="39"/>
      <c r="J78" s="39"/>
      <c r="K78" s="17" t="s">
        <v>489</v>
      </c>
    </row>
    <row r="79" spans="1:11">
      <c r="A79" s="28">
        <v>45961</v>
      </c>
      <c r="B79" s="34" t="s">
        <v>34</v>
      </c>
      <c r="C79" s="37">
        <f t="shared" si="0"/>
        <v>7.27</v>
      </c>
      <c r="D79" s="39">
        <v>7.27</v>
      </c>
      <c r="E79" s="39"/>
      <c r="F79" s="39"/>
      <c r="G79" s="39"/>
      <c r="H79" s="39"/>
      <c r="I79" s="39"/>
      <c r="J79" s="39"/>
    </row>
    <row r="80" spans="1:11">
      <c r="A80" s="28">
        <v>45962</v>
      </c>
      <c r="B80" s="34" t="s">
        <v>31</v>
      </c>
      <c r="C80" s="37">
        <f t="shared" si="0"/>
        <v>2.3199999999999998</v>
      </c>
      <c r="D80" s="39">
        <v>2.3199999999999998</v>
      </c>
      <c r="E80" s="39"/>
      <c r="F80" s="39"/>
      <c r="G80" s="39"/>
      <c r="H80" s="39"/>
      <c r="I80" s="39"/>
      <c r="J80" s="39"/>
    </row>
    <row r="81" spans="1:10">
      <c r="A81" s="28">
        <v>45963</v>
      </c>
      <c r="B81" s="34" t="s">
        <v>49</v>
      </c>
      <c r="C81" s="37">
        <f t="shared" si="0"/>
        <v>0</v>
      </c>
      <c r="D81" s="39"/>
      <c r="E81" s="39"/>
      <c r="F81" s="39"/>
      <c r="G81" s="39"/>
      <c r="H81" s="39"/>
      <c r="I81" s="39"/>
      <c r="J81" s="39"/>
    </row>
    <row r="82" spans="1:10">
      <c r="A82" s="28">
        <v>45964</v>
      </c>
      <c r="B82" s="34" t="s">
        <v>69</v>
      </c>
      <c r="C82" s="37">
        <f t="shared" si="0"/>
        <v>21.55</v>
      </c>
      <c r="D82" s="39">
        <v>9.59</v>
      </c>
      <c r="E82" s="39">
        <v>11.96</v>
      </c>
      <c r="F82" s="39"/>
      <c r="G82" s="39"/>
      <c r="H82" s="39"/>
      <c r="I82" s="39"/>
      <c r="J82" s="39"/>
    </row>
    <row r="83" spans="1:10">
      <c r="A83" s="28">
        <v>45965</v>
      </c>
      <c r="B83" s="34" t="s">
        <v>72</v>
      </c>
      <c r="C83" s="37">
        <f t="shared" si="0"/>
        <v>4.3099999999999996</v>
      </c>
      <c r="D83" s="39">
        <v>4.3099999999999996</v>
      </c>
      <c r="E83" s="39"/>
      <c r="F83" s="39"/>
      <c r="G83" s="39"/>
      <c r="H83" s="39"/>
      <c r="I83" s="39"/>
      <c r="J83" s="39"/>
    </row>
    <row r="84" spans="1:10">
      <c r="A84" s="28">
        <v>45966</v>
      </c>
      <c r="B84" s="34" t="s">
        <v>79</v>
      </c>
      <c r="C84" s="37">
        <f t="shared" si="0"/>
        <v>2.14</v>
      </c>
      <c r="D84" s="39">
        <v>2.14</v>
      </c>
      <c r="E84" s="39"/>
      <c r="F84" s="39"/>
      <c r="G84" s="39"/>
      <c r="H84" s="39"/>
      <c r="I84" s="39"/>
      <c r="J84" s="39">
        <v>30000</v>
      </c>
    </row>
    <row r="85" spans="1:10">
      <c r="A85" s="28">
        <v>45967</v>
      </c>
      <c r="B85" s="34" t="s">
        <v>83</v>
      </c>
      <c r="C85" s="37">
        <f t="shared" si="0"/>
        <v>6.7596780000000001</v>
      </c>
      <c r="D85" s="39">
        <v>0.88</v>
      </c>
      <c r="E85" s="52">
        <v>5.8796780000000002</v>
      </c>
      <c r="F85" s="39"/>
      <c r="G85" s="39"/>
      <c r="H85" s="39"/>
      <c r="I85" s="39"/>
      <c r="J85" s="39"/>
    </row>
    <row r="86" spans="1:10">
      <c r="A86" s="28">
        <v>45968</v>
      </c>
      <c r="B86" s="34" t="s">
        <v>34</v>
      </c>
      <c r="C86" s="37">
        <f t="shared" si="0"/>
        <v>5.0905469999999999</v>
      </c>
      <c r="D86" s="52">
        <v>2.2205469999999998</v>
      </c>
      <c r="E86" s="39">
        <v>2.87</v>
      </c>
      <c r="F86" s="39"/>
      <c r="G86" s="39"/>
      <c r="H86" s="39"/>
      <c r="I86" s="39"/>
      <c r="J86" s="39"/>
    </row>
    <row r="87" spans="1:10">
      <c r="A87" s="28">
        <v>45969</v>
      </c>
      <c r="B87" s="34" t="s">
        <v>31</v>
      </c>
      <c r="C87" s="37">
        <f t="shared" si="0"/>
        <v>16.690583</v>
      </c>
      <c r="D87" s="52">
        <v>2.6233620000000002</v>
      </c>
      <c r="E87" s="52">
        <v>2.2672210000000002</v>
      </c>
      <c r="F87" s="39">
        <v>11.8</v>
      </c>
      <c r="G87" s="39"/>
      <c r="H87" s="39"/>
      <c r="I87" s="39"/>
      <c r="J87" s="39"/>
    </row>
    <row r="88" spans="1:10">
      <c r="A88" s="28">
        <v>45970</v>
      </c>
      <c r="B88" s="34" t="s">
        <v>49</v>
      </c>
      <c r="C88" s="37">
        <f t="shared" si="0"/>
        <v>0</v>
      </c>
      <c r="D88" s="39"/>
      <c r="E88" s="39"/>
      <c r="F88" s="39"/>
      <c r="G88" s="39"/>
      <c r="H88" s="39"/>
      <c r="I88" s="39"/>
      <c r="J88" s="39"/>
    </row>
    <row r="89" spans="1:10">
      <c r="A89" s="28">
        <v>45971</v>
      </c>
      <c r="B89" s="34" t="s">
        <v>69</v>
      </c>
      <c r="C89" s="37">
        <f t="shared" si="0"/>
        <v>8.6300000000000008</v>
      </c>
      <c r="D89" s="39">
        <v>8.6300000000000008</v>
      </c>
      <c r="E89" s="39"/>
      <c r="F89" s="39"/>
      <c r="G89" s="39"/>
      <c r="H89" s="39"/>
      <c r="I89" s="39"/>
      <c r="J89" s="39"/>
    </row>
    <row r="90" spans="1:10">
      <c r="A90" s="28">
        <v>45972</v>
      </c>
      <c r="B90" s="34" t="s">
        <v>72</v>
      </c>
      <c r="C90" s="37">
        <f t="shared" si="0"/>
        <v>15.898230999999999</v>
      </c>
      <c r="D90" s="52">
        <v>4.6374819999999994</v>
      </c>
      <c r="E90" s="52">
        <v>7.5195499999999997</v>
      </c>
      <c r="F90" s="52">
        <v>3.7411989999999995</v>
      </c>
      <c r="G90" s="39"/>
      <c r="H90" s="39"/>
      <c r="I90" s="39"/>
      <c r="J90" s="39"/>
    </row>
    <row r="91" spans="1:10">
      <c r="A91" s="28">
        <v>45973</v>
      </c>
      <c r="B91" s="34" t="s">
        <v>79</v>
      </c>
      <c r="C91" s="37">
        <f t="shared" si="0"/>
        <v>15.379999999999999</v>
      </c>
      <c r="D91" s="39">
        <v>9.44</v>
      </c>
      <c r="E91" s="39">
        <v>5.94</v>
      </c>
      <c r="F91" s="39"/>
      <c r="G91" s="39"/>
      <c r="H91" s="39"/>
      <c r="I91" s="39"/>
      <c r="J91" s="39"/>
    </row>
    <row r="92" spans="1:10">
      <c r="A92" s="28">
        <v>45974</v>
      </c>
      <c r="B92" s="34" t="s">
        <v>83</v>
      </c>
      <c r="C92" s="37">
        <f t="shared" si="0"/>
        <v>4.1113920000000004</v>
      </c>
      <c r="D92" s="52">
        <v>4.1113920000000004</v>
      </c>
      <c r="E92" s="39"/>
      <c r="F92" s="39"/>
      <c r="G92" s="39"/>
      <c r="H92" s="39"/>
      <c r="I92" s="39"/>
      <c r="J92" s="39"/>
    </row>
    <row r="93" spans="1:10">
      <c r="A93" s="28">
        <v>45975</v>
      </c>
      <c r="B93" s="34" t="s">
        <v>34</v>
      </c>
      <c r="C93" s="37">
        <f t="shared" si="0"/>
        <v>14.42601</v>
      </c>
      <c r="D93" s="52">
        <v>11.786009999999999</v>
      </c>
      <c r="E93" s="39">
        <v>2.64</v>
      </c>
      <c r="F93" s="39"/>
      <c r="G93" s="39"/>
      <c r="H93" s="39"/>
      <c r="I93" s="39"/>
      <c r="J93" s="39"/>
    </row>
    <row r="94" spans="1:10">
      <c r="A94" s="28">
        <v>45976</v>
      </c>
      <c r="B94" s="34" t="s">
        <v>31</v>
      </c>
      <c r="C94" s="37">
        <f t="shared" si="0"/>
        <v>8.3247260000000018</v>
      </c>
      <c r="D94" s="52">
        <v>8.3247260000000018</v>
      </c>
      <c r="E94" s="39"/>
      <c r="F94" s="39"/>
      <c r="G94" s="39"/>
      <c r="H94" s="39"/>
      <c r="I94" s="39"/>
      <c r="J94" s="39"/>
    </row>
    <row r="95" spans="1:10">
      <c r="A95" s="28">
        <v>45977</v>
      </c>
      <c r="B95" s="34" t="s">
        <v>49</v>
      </c>
      <c r="C95" s="37">
        <f t="shared" si="0"/>
        <v>0</v>
      </c>
      <c r="D95" s="39"/>
      <c r="E95" s="39"/>
      <c r="F95" s="39"/>
      <c r="G95" s="39"/>
      <c r="H95" s="39"/>
      <c r="I95" s="39"/>
      <c r="J95" s="39"/>
    </row>
    <row r="96" spans="1:10">
      <c r="A96" s="28">
        <v>45978</v>
      </c>
      <c r="B96" s="34" t="s">
        <v>69</v>
      </c>
      <c r="C96" s="37">
        <f t="shared" si="0"/>
        <v>21.344985000000001</v>
      </c>
      <c r="D96" s="52">
        <v>21.344985000000001</v>
      </c>
      <c r="E96" s="52"/>
      <c r="F96" s="39"/>
      <c r="G96" s="39"/>
      <c r="H96" s="39"/>
      <c r="I96" s="39"/>
      <c r="J96" s="39"/>
    </row>
    <row r="97" spans="1:10">
      <c r="A97" s="28">
        <v>45979</v>
      </c>
      <c r="B97" s="34" t="s">
        <v>72</v>
      </c>
      <c r="C97" s="37">
        <f t="shared" si="0"/>
        <v>7.4992460000000003</v>
      </c>
      <c r="D97" s="52">
        <v>4.3792460000000002</v>
      </c>
      <c r="E97" s="52">
        <v>3.12</v>
      </c>
      <c r="F97" s="39"/>
      <c r="G97" s="39"/>
      <c r="H97" s="39"/>
      <c r="I97" s="39"/>
      <c r="J97" s="39"/>
    </row>
    <row r="98" spans="1:10">
      <c r="A98" s="28">
        <v>45980</v>
      </c>
      <c r="B98" s="34" t="s">
        <v>79</v>
      </c>
      <c r="C98" s="37">
        <f t="shared" si="0"/>
        <v>18.168871000000003</v>
      </c>
      <c r="D98" s="52">
        <v>6.0018399999999996</v>
      </c>
      <c r="E98" s="52">
        <v>12.167031000000001</v>
      </c>
      <c r="F98" s="39"/>
      <c r="G98" s="39"/>
      <c r="H98" s="39"/>
      <c r="I98" s="39"/>
      <c r="J98" s="39">
        <v>30000</v>
      </c>
    </row>
    <row r="99" spans="1:10">
      <c r="A99" s="28">
        <v>45981</v>
      </c>
      <c r="B99" s="34" t="s">
        <v>83</v>
      </c>
      <c r="C99" s="37">
        <f t="shared" si="0"/>
        <v>10.020000000000001</v>
      </c>
      <c r="D99" s="39">
        <v>2.72</v>
      </c>
      <c r="E99" s="39">
        <v>6.91</v>
      </c>
      <c r="F99" s="39">
        <v>0.39</v>
      </c>
      <c r="G99" s="39"/>
      <c r="H99" s="39"/>
      <c r="I99" s="39"/>
      <c r="J99" s="39"/>
    </row>
    <row r="100" spans="1:10">
      <c r="A100" s="28">
        <v>45982</v>
      </c>
      <c r="B100" s="34" t="s">
        <v>34</v>
      </c>
      <c r="C100" s="37">
        <f t="shared" si="0"/>
        <v>22.695701999999997</v>
      </c>
      <c r="D100" s="39">
        <v>6.04</v>
      </c>
      <c r="E100" s="52">
        <v>16.655701999999998</v>
      </c>
      <c r="F100" s="39"/>
      <c r="G100" s="39"/>
      <c r="H100" s="39"/>
      <c r="I100" s="39"/>
      <c r="J100" s="39"/>
    </row>
    <row r="101" spans="1:10">
      <c r="A101" s="28">
        <v>45983</v>
      </c>
      <c r="B101" s="34" t="s">
        <v>31</v>
      </c>
      <c r="C101" s="37">
        <f t="shared" si="0"/>
        <v>12.6</v>
      </c>
      <c r="D101" s="39">
        <v>12.6</v>
      </c>
      <c r="E101" s="39"/>
      <c r="F101" s="39"/>
      <c r="G101" s="39"/>
      <c r="H101" s="39"/>
      <c r="I101" s="39"/>
      <c r="J101" s="39"/>
    </row>
    <row r="102" spans="1:10">
      <c r="A102" s="28">
        <v>45984</v>
      </c>
      <c r="B102" s="34" t="s">
        <v>49</v>
      </c>
      <c r="C102" s="37">
        <f t="shared" si="0"/>
        <v>0</v>
      </c>
      <c r="D102" s="39"/>
      <c r="E102" s="39"/>
      <c r="F102" s="39"/>
      <c r="G102" s="39"/>
      <c r="H102" s="39"/>
      <c r="I102" s="39"/>
      <c r="J102" s="39"/>
    </row>
    <row r="103" spans="1:10">
      <c r="A103" s="28">
        <v>45985</v>
      </c>
      <c r="B103" s="34" t="s">
        <v>69</v>
      </c>
      <c r="C103" s="37">
        <f t="shared" si="0"/>
        <v>26.43</v>
      </c>
      <c r="D103" s="39">
        <v>26.43</v>
      </c>
      <c r="E103" s="39"/>
      <c r="F103" s="39"/>
      <c r="G103" s="39"/>
      <c r="H103" s="39"/>
      <c r="I103" s="39"/>
      <c r="J103" s="39"/>
    </row>
    <row r="104" spans="1:10">
      <c r="A104" s="28">
        <v>45986</v>
      </c>
      <c r="B104" s="34" t="s">
        <v>72</v>
      </c>
      <c r="C104" s="37">
        <f t="shared" si="0"/>
        <v>23.485524999999999</v>
      </c>
      <c r="D104" s="52">
        <v>9.9152240000000003</v>
      </c>
      <c r="E104" s="39">
        <v>3.75</v>
      </c>
      <c r="F104" s="39">
        <v>6.73</v>
      </c>
      <c r="G104" s="52">
        <v>3.0903009999999997</v>
      </c>
      <c r="H104" s="39"/>
      <c r="I104" s="39"/>
      <c r="J104" s="39"/>
    </row>
    <row r="105" spans="1:10">
      <c r="A105" s="28">
        <v>45987</v>
      </c>
      <c r="B105" s="34" t="s">
        <v>79</v>
      </c>
      <c r="C105" s="37">
        <f t="shared" si="0"/>
        <v>11.79</v>
      </c>
      <c r="D105" s="39">
        <v>11.79</v>
      </c>
      <c r="E105" s="39"/>
      <c r="F105" s="39"/>
      <c r="G105" s="39"/>
      <c r="H105" s="39"/>
      <c r="I105" s="39"/>
      <c r="J105" s="39"/>
    </row>
    <row r="106" spans="1:10">
      <c r="A106" s="28">
        <v>45988</v>
      </c>
      <c r="B106" s="34" t="s">
        <v>83</v>
      </c>
      <c r="C106" s="37">
        <f t="shared" si="0"/>
        <v>0</v>
      </c>
      <c r="D106" s="39"/>
      <c r="E106" s="39"/>
      <c r="F106" s="39"/>
      <c r="G106" s="39"/>
      <c r="H106" s="39"/>
      <c r="I106" s="39"/>
      <c r="J106" s="39"/>
    </row>
    <row r="107" spans="1:10">
      <c r="A107" s="28">
        <v>45989</v>
      </c>
      <c r="B107" s="34" t="s">
        <v>34</v>
      </c>
      <c r="C107" s="37">
        <f t="shared" si="0"/>
        <v>0</v>
      </c>
      <c r="E107" s="39"/>
      <c r="F107" s="39"/>
      <c r="G107" s="39"/>
      <c r="H107" s="39"/>
      <c r="I107" s="39"/>
      <c r="J107" s="39"/>
    </row>
    <row r="108" spans="1:10">
      <c r="A108" s="28">
        <v>45990</v>
      </c>
      <c r="B108" s="34" t="s">
        <v>31</v>
      </c>
      <c r="C108" s="37">
        <f t="shared" si="0"/>
        <v>19.59</v>
      </c>
      <c r="D108" s="39">
        <v>19.59</v>
      </c>
      <c r="E108" s="39"/>
      <c r="F108" s="39"/>
      <c r="G108" s="39"/>
      <c r="H108" s="39"/>
      <c r="I108" s="39"/>
      <c r="J108" s="39"/>
    </row>
    <row r="109" spans="1:10">
      <c r="A109" s="28">
        <v>45991</v>
      </c>
      <c r="B109" s="34" t="s">
        <v>49</v>
      </c>
      <c r="C109" s="37">
        <f t="shared" si="0"/>
        <v>7</v>
      </c>
      <c r="D109" s="39">
        <v>7</v>
      </c>
      <c r="E109" s="39"/>
      <c r="F109" s="39"/>
      <c r="G109" s="39"/>
      <c r="H109" s="39"/>
      <c r="I109" s="39"/>
      <c r="J109" s="39"/>
    </row>
    <row r="110" spans="1:10">
      <c r="A110" s="28">
        <v>45992</v>
      </c>
      <c r="B110" s="34" t="s">
        <v>69</v>
      </c>
      <c r="C110" s="37">
        <f t="shared" si="0"/>
        <v>36.15</v>
      </c>
      <c r="D110" s="39">
        <v>36.15</v>
      </c>
      <c r="E110" s="39"/>
      <c r="F110" s="39"/>
      <c r="G110" s="39"/>
      <c r="H110" s="39"/>
      <c r="I110" s="39"/>
      <c r="J110" s="39"/>
    </row>
    <row r="111" spans="1:10">
      <c r="A111" s="28">
        <v>45993</v>
      </c>
      <c r="B111" s="34" t="s">
        <v>72</v>
      </c>
      <c r="C111" s="37">
        <f t="shared" si="0"/>
        <v>17.210128000000001</v>
      </c>
      <c r="D111" s="39">
        <v>9.08</v>
      </c>
      <c r="E111" s="52">
        <v>8.1301280000000009</v>
      </c>
      <c r="F111" s="39"/>
      <c r="G111" s="39"/>
      <c r="H111" s="39"/>
      <c r="I111" s="39"/>
      <c r="J111" s="39"/>
    </row>
    <row r="112" spans="1:10">
      <c r="A112" s="28">
        <v>45994</v>
      </c>
      <c r="B112" s="34" t="s">
        <v>79</v>
      </c>
      <c r="C112" s="37">
        <f t="shared" si="0"/>
        <v>7.93</v>
      </c>
      <c r="D112" s="39">
        <v>7.93</v>
      </c>
      <c r="E112" s="39"/>
      <c r="F112" s="39"/>
      <c r="G112" s="39"/>
      <c r="H112" s="39"/>
      <c r="I112" s="39"/>
      <c r="J112" s="39">
        <v>30000</v>
      </c>
    </row>
    <row r="113" spans="1:10">
      <c r="A113" s="28">
        <v>45995</v>
      </c>
      <c r="B113" s="34" t="s">
        <v>83</v>
      </c>
      <c r="C113" s="37">
        <f t="shared" si="0"/>
        <v>9.99</v>
      </c>
      <c r="D113" s="39">
        <v>6.28</v>
      </c>
      <c r="E113" s="39">
        <v>3.71</v>
      </c>
      <c r="F113" s="39"/>
      <c r="G113" s="39"/>
      <c r="H113" s="39"/>
      <c r="I113" s="39"/>
      <c r="J113" s="39"/>
    </row>
    <row r="114" spans="1:10">
      <c r="A114" s="28">
        <v>45996</v>
      </c>
      <c r="B114" s="34" t="s">
        <v>34</v>
      </c>
      <c r="C114" s="37">
        <f t="shared" si="0"/>
        <v>26.315407</v>
      </c>
      <c r="D114" s="39">
        <v>22.97</v>
      </c>
      <c r="E114" s="52">
        <v>3.3454069999999998</v>
      </c>
      <c r="F114" s="39"/>
      <c r="G114" s="39"/>
      <c r="H114" s="39"/>
      <c r="I114" s="39"/>
      <c r="J114" s="39"/>
    </row>
    <row r="115" spans="1:10">
      <c r="A115" s="28">
        <v>45997</v>
      </c>
      <c r="B115" s="34" t="s">
        <v>31</v>
      </c>
      <c r="C115" s="37">
        <f t="shared" si="0"/>
        <v>11.1</v>
      </c>
      <c r="D115" s="39">
        <v>11.1</v>
      </c>
      <c r="E115" s="39"/>
      <c r="F115" s="39"/>
      <c r="G115" s="39"/>
      <c r="H115" s="39"/>
      <c r="I115" s="39"/>
      <c r="J115" s="39"/>
    </row>
    <row r="116" spans="1:10">
      <c r="A116" s="28">
        <v>45998</v>
      </c>
      <c r="B116" s="34" t="s">
        <v>49</v>
      </c>
      <c r="C116" s="37">
        <f t="shared" si="0"/>
        <v>17.922507</v>
      </c>
      <c r="D116" s="52">
        <v>17.922507</v>
      </c>
      <c r="E116" s="39"/>
      <c r="F116" s="39"/>
      <c r="G116" s="39"/>
      <c r="H116" s="39"/>
      <c r="I116" s="39"/>
      <c r="J116" s="39"/>
    </row>
    <row r="117" spans="1:10">
      <c r="A117" s="28">
        <v>45999</v>
      </c>
      <c r="B117" s="34" t="s">
        <v>69</v>
      </c>
      <c r="C117" s="37">
        <f t="shared" si="0"/>
        <v>35.289999999999992</v>
      </c>
      <c r="D117" s="39">
        <v>2.0099999999999998</v>
      </c>
      <c r="E117" s="39">
        <v>25.54</v>
      </c>
      <c r="F117" s="39">
        <v>6.26</v>
      </c>
      <c r="G117" s="39">
        <v>1.48</v>
      </c>
      <c r="H117" s="39"/>
      <c r="I117" s="39"/>
      <c r="J117" s="39"/>
    </row>
    <row r="118" spans="1:10">
      <c r="A118" s="28">
        <v>46000</v>
      </c>
      <c r="B118" s="34" t="s">
        <v>72</v>
      </c>
      <c r="C118" s="37">
        <f t="shared" si="0"/>
        <v>22.64</v>
      </c>
      <c r="D118" s="39">
        <v>22.64</v>
      </c>
      <c r="E118" s="39"/>
      <c r="F118" s="39"/>
      <c r="G118" s="39"/>
      <c r="H118" s="39"/>
      <c r="I118" s="39"/>
      <c r="J118" s="39"/>
    </row>
    <row r="119" spans="1:10">
      <c r="A119" s="28">
        <v>46001</v>
      </c>
      <c r="B119" s="34" t="s">
        <v>79</v>
      </c>
      <c r="C119" s="37">
        <f t="shared" si="0"/>
        <v>21.060000000000002</v>
      </c>
      <c r="D119" s="39">
        <v>11.57</v>
      </c>
      <c r="E119" s="39">
        <v>9.49</v>
      </c>
      <c r="F119" s="39"/>
      <c r="G119" s="39"/>
      <c r="H119" s="39"/>
      <c r="I119" s="39"/>
      <c r="J119" s="39"/>
    </row>
    <row r="120" spans="1:10">
      <c r="A120" s="28">
        <v>46002</v>
      </c>
      <c r="B120" s="34" t="s">
        <v>83</v>
      </c>
      <c r="C120" s="37">
        <f t="shared" si="0"/>
        <v>36.193917999999996</v>
      </c>
      <c r="D120" s="52">
        <v>24.753917999999995</v>
      </c>
      <c r="E120" s="39">
        <v>11.44</v>
      </c>
      <c r="F120" s="39"/>
      <c r="G120" s="39"/>
      <c r="H120" s="39"/>
      <c r="I120" s="39"/>
      <c r="J120" s="39"/>
    </row>
    <row r="121" spans="1:10">
      <c r="A121" s="28">
        <v>46003</v>
      </c>
      <c r="B121" s="34" t="s">
        <v>34</v>
      </c>
      <c r="C121" s="37">
        <f t="shared" si="0"/>
        <v>0</v>
      </c>
      <c r="D121" s="39"/>
      <c r="E121" s="39"/>
      <c r="F121" s="39"/>
      <c r="G121" s="39"/>
      <c r="H121" s="39"/>
      <c r="I121" s="39"/>
      <c r="J121" s="39"/>
    </row>
    <row r="122" spans="1:10">
      <c r="A122" s="28">
        <v>46004</v>
      </c>
      <c r="B122" s="34" t="s">
        <v>31</v>
      </c>
      <c r="C122" s="37">
        <f t="shared" si="0"/>
        <v>19.12</v>
      </c>
      <c r="D122" s="39">
        <v>14.81</v>
      </c>
      <c r="E122" s="39">
        <v>4.3099999999999996</v>
      </c>
      <c r="F122" s="39"/>
      <c r="G122" s="39"/>
      <c r="H122" s="39"/>
      <c r="I122" s="39"/>
      <c r="J122" s="39"/>
    </row>
    <row r="123" spans="1:10">
      <c r="A123" s="28">
        <v>46005</v>
      </c>
      <c r="B123" s="34" t="s">
        <v>49</v>
      </c>
      <c r="C123" s="37">
        <f t="shared" si="0"/>
        <v>10.67</v>
      </c>
      <c r="D123" s="39">
        <v>10.67</v>
      </c>
      <c r="E123" s="39"/>
      <c r="F123" s="39"/>
      <c r="G123" s="39"/>
      <c r="H123" s="39"/>
      <c r="I123" s="39"/>
      <c r="J123" s="39"/>
    </row>
    <row r="124" spans="1:10">
      <c r="A124" s="28">
        <v>46006</v>
      </c>
      <c r="B124" s="34" t="s">
        <v>69</v>
      </c>
      <c r="C124" s="37">
        <f t="shared" si="0"/>
        <v>18.5</v>
      </c>
      <c r="D124" s="39">
        <v>18.5</v>
      </c>
      <c r="E124" s="39"/>
      <c r="F124" s="39"/>
      <c r="G124" s="39"/>
      <c r="H124" s="39"/>
      <c r="I124" s="39"/>
      <c r="J124" s="39">
        <v>30000</v>
      </c>
    </row>
    <row r="125" spans="1:10">
      <c r="A125" s="28">
        <v>46007</v>
      </c>
      <c r="B125" s="34" t="s">
        <v>72</v>
      </c>
      <c r="C125" s="37">
        <f t="shared" si="0"/>
        <v>14.8</v>
      </c>
      <c r="D125" s="39">
        <v>14.8</v>
      </c>
      <c r="E125" s="39"/>
      <c r="F125" s="39"/>
      <c r="G125" s="39"/>
      <c r="H125" s="39"/>
      <c r="I125" s="39"/>
      <c r="J125" s="39"/>
    </row>
    <row r="126" spans="1:10">
      <c r="A126" s="28">
        <v>46008</v>
      </c>
      <c r="B126" s="34" t="s">
        <v>79</v>
      </c>
      <c r="C126" s="37">
        <f t="shared" si="0"/>
        <v>22.648071000000002</v>
      </c>
      <c r="D126" s="39">
        <v>18.739999999999998</v>
      </c>
      <c r="E126" s="52">
        <v>1.9836130000000001</v>
      </c>
      <c r="F126" s="52">
        <v>1.924458</v>
      </c>
      <c r="G126" s="39"/>
      <c r="H126" s="39"/>
      <c r="I126" s="39"/>
      <c r="J126" s="39"/>
    </row>
    <row r="127" spans="1:10">
      <c r="A127" s="28">
        <v>46009</v>
      </c>
      <c r="B127" s="34" t="s">
        <v>83</v>
      </c>
      <c r="C127" s="37">
        <f t="shared" si="0"/>
        <v>17.940000000000001</v>
      </c>
      <c r="D127" s="39">
        <v>14.76</v>
      </c>
      <c r="E127" s="39">
        <v>3.18</v>
      </c>
      <c r="F127" s="39"/>
      <c r="G127" s="39"/>
      <c r="H127" s="39"/>
      <c r="I127" s="39"/>
      <c r="J127" s="39"/>
    </row>
    <row r="128" spans="1:10">
      <c r="A128" s="28">
        <v>46010</v>
      </c>
      <c r="B128" s="34" t="s">
        <v>34</v>
      </c>
      <c r="C128" s="37">
        <f t="shared" si="0"/>
        <v>17.687498000000001</v>
      </c>
      <c r="D128" s="39">
        <v>10.28</v>
      </c>
      <c r="E128" s="52">
        <v>7.4074980000000012</v>
      </c>
      <c r="F128" s="39"/>
      <c r="G128" s="39"/>
      <c r="H128" s="39"/>
      <c r="I128" s="39"/>
      <c r="J128" s="39"/>
    </row>
    <row r="129" spans="1:10">
      <c r="A129" s="28">
        <v>46011</v>
      </c>
      <c r="B129" s="34" t="s">
        <v>31</v>
      </c>
      <c r="C129" s="37">
        <f t="shared" si="0"/>
        <v>18.273533</v>
      </c>
      <c r="D129" s="52">
        <v>18.273533</v>
      </c>
      <c r="E129" s="39"/>
      <c r="F129" s="39"/>
      <c r="G129" s="39"/>
      <c r="H129" s="39"/>
      <c r="I129" s="39"/>
      <c r="J129" s="39"/>
    </row>
    <row r="130" spans="1:10">
      <c r="A130" s="28">
        <v>46012</v>
      </c>
      <c r="B130" s="34" t="s">
        <v>49</v>
      </c>
      <c r="C130" s="37">
        <f t="shared" si="0"/>
        <v>0</v>
      </c>
      <c r="D130" s="39"/>
      <c r="E130" s="39"/>
      <c r="F130" s="39"/>
      <c r="G130" s="39"/>
      <c r="H130" s="39"/>
      <c r="I130" s="39"/>
      <c r="J130" s="39"/>
    </row>
    <row r="131" spans="1:10">
      <c r="A131" s="28">
        <v>46013</v>
      </c>
      <c r="B131" s="34" t="s">
        <v>69</v>
      </c>
      <c r="C131" s="37">
        <f t="shared" si="0"/>
        <v>0</v>
      </c>
      <c r="D131" s="39"/>
      <c r="E131" s="39"/>
      <c r="F131" s="39"/>
      <c r="G131" s="39"/>
      <c r="H131" s="39"/>
      <c r="I131" s="39"/>
      <c r="J131" s="39"/>
    </row>
    <row r="132" spans="1:10">
      <c r="A132" s="28">
        <v>46014</v>
      </c>
      <c r="B132" s="34" t="s">
        <v>72</v>
      </c>
      <c r="C132" s="37">
        <f t="shared" si="0"/>
        <v>31.35</v>
      </c>
      <c r="D132" s="39">
        <v>31.35</v>
      </c>
      <c r="E132" s="39"/>
      <c r="F132" s="39"/>
      <c r="G132" s="39"/>
      <c r="H132" s="39"/>
      <c r="I132" s="39"/>
      <c r="J132" s="39"/>
    </row>
    <row r="133" spans="1:10">
      <c r="A133" s="28">
        <v>46015</v>
      </c>
      <c r="B133" s="34" t="s">
        <v>79</v>
      </c>
      <c r="C133" s="37">
        <f t="shared" si="0"/>
        <v>7.7854139999999994</v>
      </c>
      <c r="D133" s="52">
        <v>5.522297</v>
      </c>
      <c r="E133" s="52">
        <v>2.2631169999999998</v>
      </c>
      <c r="F133" s="39"/>
      <c r="G133" s="39"/>
      <c r="H133" s="39"/>
      <c r="I133" s="39"/>
      <c r="J133" s="39"/>
    </row>
    <row r="134" spans="1:10">
      <c r="A134" s="28">
        <v>46016</v>
      </c>
      <c r="B134" s="34" t="s">
        <v>83</v>
      </c>
      <c r="C134" s="37">
        <f t="shared" si="0"/>
        <v>8.9600000000000009</v>
      </c>
      <c r="D134" s="39">
        <v>8.9600000000000009</v>
      </c>
      <c r="E134" s="39"/>
      <c r="F134" s="39"/>
      <c r="G134" s="39"/>
      <c r="H134" s="39"/>
      <c r="I134" s="39"/>
      <c r="J134" s="39"/>
    </row>
    <row r="135" spans="1:10">
      <c r="A135" s="28">
        <v>46017</v>
      </c>
      <c r="B135" s="34" t="s">
        <v>34</v>
      </c>
      <c r="C135" s="37">
        <f t="shared" si="0"/>
        <v>12.843966000000002</v>
      </c>
      <c r="D135" s="52">
        <v>12.843966000000002</v>
      </c>
      <c r="F135" s="39"/>
      <c r="G135" s="39"/>
      <c r="H135" s="39"/>
      <c r="I135" s="39"/>
      <c r="J135" s="39"/>
    </row>
    <row r="136" spans="1:10">
      <c r="A136" s="28">
        <v>46018</v>
      </c>
      <c r="B136" s="34" t="s">
        <v>31</v>
      </c>
      <c r="C136" s="37">
        <f t="shared" si="0"/>
        <v>8.4511979999999998</v>
      </c>
      <c r="D136" s="39">
        <v>6.65</v>
      </c>
      <c r="E136" s="52">
        <v>1.8011979999999999</v>
      </c>
      <c r="F136" s="39"/>
      <c r="G136" s="39"/>
      <c r="H136" s="39"/>
      <c r="I136" s="39"/>
      <c r="J136" s="39"/>
    </row>
    <row r="137" spans="1:10">
      <c r="A137" s="28">
        <v>46019</v>
      </c>
      <c r="B137" s="34" t="s">
        <v>49</v>
      </c>
      <c r="C137" s="37">
        <f t="shared" si="0"/>
        <v>0</v>
      </c>
      <c r="D137" s="39"/>
      <c r="E137" s="39"/>
      <c r="F137" s="39"/>
      <c r="G137" s="39"/>
      <c r="H137" s="39"/>
      <c r="I137" s="39"/>
      <c r="J137" s="39"/>
    </row>
    <row r="138" spans="1:10">
      <c r="A138" s="28">
        <v>46020</v>
      </c>
      <c r="B138" s="34" t="s">
        <v>69</v>
      </c>
      <c r="C138" s="37">
        <f t="shared" si="0"/>
        <v>18.072783999999999</v>
      </c>
      <c r="D138" s="39">
        <v>12.86</v>
      </c>
      <c r="E138" s="39">
        <v>1.24</v>
      </c>
      <c r="F138" s="39">
        <v>1.48</v>
      </c>
      <c r="G138" s="52">
        <v>2.4927839999999999</v>
      </c>
      <c r="H138" s="39"/>
      <c r="I138" s="39"/>
      <c r="J138" s="39">
        <v>30000</v>
      </c>
    </row>
    <row r="139" spans="1:10">
      <c r="A139" s="28">
        <v>46021</v>
      </c>
      <c r="B139" s="34" t="s">
        <v>72</v>
      </c>
      <c r="C139" s="37">
        <f t="shared" si="0"/>
        <v>5.05</v>
      </c>
      <c r="D139" s="39">
        <v>5.05</v>
      </c>
      <c r="E139" s="39"/>
      <c r="F139" s="39"/>
      <c r="G139" s="39"/>
      <c r="H139" s="39"/>
      <c r="I139" s="39"/>
      <c r="J139" s="39"/>
    </row>
    <row r="140" spans="1:10">
      <c r="A140" s="106">
        <v>46022</v>
      </c>
      <c r="B140" s="107" t="s">
        <v>79</v>
      </c>
      <c r="C140" s="109">
        <f t="shared" si="0"/>
        <v>8.390445999999999</v>
      </c>
      <c r="D140" s="110">
        <v>8.390445999999999</v>
      </c>
      <c r="E140" s="112"/>
      <c r="F140" s="112"/>
      <c r="G140" s="112"/>
      <c r="H140" s="112"/>
      <c r="I140" s="112"/>
      <c r="J140" s="112"/>
    </row>
    <row r="141" spans="1:10">
      <c r="A141" s="113">
        <v>46023</v>
      </c>
      <c r="B141" s="115" t="s">
        <v>83</v>
      </c>
      <c r="C141" s="116">
        <f t="shared" si="0"/>
        <v>2.0499999999999998</v>
      </c>
      <c r="D141" s="118">
        <v>2.0499999999999998</v>
      </c>
      <c r="E141" s="119"/>
      <c r="F141" s="119"/>
      <c r="G141" s="119"/>
      <c r="H141" s="119"/>
      <c r="I141" s="119"/>
      <c r="J141" s="119"/>
    </row>
    <row r="142" spans="1:10">
      <c r="A142" s="28">
        <v>46024</v>
      </c>
      <c r="B142" s="34" t="s">
        <v>34</v>
      </c>
      <c r="C142" s="37">
        <f t="shared" si="0"/>
        <v>6.99</v>
      </c>
      <c r="D142" s="39">
        <v>6.99</v>
      </c>
      <c r="E142" s="39"/>
      <c r="F142" s="39"/>
      <c r="G142" s="39"/>
      <c r="H142" s="39"/>
      <c r="I142" s="39"/>
      <c r="J142" s="39"/>
    </row>
    <row r="143" spans="1:10">
      <c r="A143" s="28">
        <v>46025</v>
      </c>
      <c r="B143" s="34" t="s">
        <v>31</v>
      </c>
      <c r="C143" s="37">
        <f t="shared" si="0"/>
        <v>4.34</v>
      </c>
      <c r="D143" s="39">
        <v>4.34</v>
      </c>
      <c r="E143" s="39"/>
      <c r="F143" s="39"/>
      <c r="G143" s="39"/>
      <c r="H143" s="39"/>
      <c r="I143" s="39"/>
      <c r="J143" s="39"/>
    </row>
    <row r="144" spans="1:10">
      <c r="A144" s="28">
        <v>46026</v>
      </c>
      <c r="B144" s="34" t="s">
        <v>49</v>
      </c>
      <c r="C144" s="37">
        <f t="shared" si="0"/>
        <v>0</v>
      </c>
      <c r="D144" s="39"/>
      <c r="E144" s="39"/>
      <c r="F144" s="39"/>
      <c r="G144" s="39"/>
      <c r="H144" s="39"/>
      <c r="I144" s="39"/>
      <c r="J144" s="39"/>
    </row>
    <row r="145" spans="1:10">
      <c r="A145" s="28">
        <v>46027</v>
      </c>
      <c r="B145" s="34" t="s">
        <v>69</v>
      </c>
      <c r="C145" s="37">
        <f t="shared" si="0"/>
        <v>16.16</v>
      </c>
      <c r="D145" s="39">
        <v>16.16</v>
      </c>
      <c r="E145" s="39"/>
      <c r="F145" s="39"/>
      <c r="G145" s="39"/>
      <c r="H145" s="39"/>
      <c r="I145" s="39"/>
      <c r="J145" s="39"/>
    </row>
    <row r="146" spans="1:10">
      <c r="A146" s="28">
        <v>46028</v>
      </c>
      <c r="B146" s="34" t="s">
        <v>72</v>
      </c>
      <c r="C146" s="37">
        <f t="shared" si="0"/>
        <v>16.196775000000002</v>
      </c>
      <c r="D146" s="52">
        <v>13.946775000000002</v>
      </c>
      <c r="E146" s="39">
        <v>2.25</v>
      </c>
      <c r="F146" s="39"/>
      <c r="G146" s="39"/>
      <c r="H146" s="39"/>
      <c r="I146" s="39"/>
      <c r="J146" s="39"/>
    </row>
    <row r="147" spans="1:10">
      <c r="A147" s="28">
        <v>46029</v>
      </c>
      <c r="B147" s="34" t="s">
        <v>79</v>
      </c>
      <c r="C147" s="37">
        <f t="shared" si="0"/>
        <v>8.42</v>
      </c>
      <c r="D147" s="39">
        <v>8.42</v>
      </c>
      <c r="E147" s="39"/>
      <c r="F147" s="39"/>
      <c r="G147" s="39"/>
      <c r="H147" s="39"/>
      <c r="I147" s="39"/>
      <c r="J147" s="39"/>
    </row>
    <row r="148" spans="1:10">
      <c r="A148" s="28">
        <v>46030</v>
      </c>
      <c r="B148" s="34" t="s">
        <v>83</v>
      </c>
      <c r="C148" s="37">
        <f t="shared" si="0"/>
        <v>0</v>
      </c>
      <c r="D148" s="122"/>
      <c r="E148" s="39"/>
      <c r="F148" s="39"/>
      <c r="G148" s="39"/>
      <c r="H148" s="39"/>
      <c r="I148" s="39"/>
      <c r="J148" s="39"/>
    </row>
    <row r="149" spans="1:10">
      <c r="A149" s="28">
        <v>46031</v>
      </c>
      <c r="B149" s="34" t="s">
        <v>34</v>
      </c>
      <c r="C149" s="37">
        <f t="shared" si="0"/>
        <v>6.3999999999999995</v>
      </c>
      <c r="D149" s="122"/>
      <c r="E149" s="39">
        <v>3.5</v>
      </c>
      <c r="F149" s="39">
        <v>1.18</v>
      </c>
      <c r="G149" s="39">
        <v>1.72</v>
      </c>
      <c r="H149" s="39"/>
      <c r="I149" s="39"/>
      <c r="J149" s="39"/>
    </row>
    <row r="150" spans="1:10">
      <c r="A150" s="28">
        <v>46032</v>
      </c>
      <c r="B150" s="34" t="s">
        <v>31</v>
      </c>
      <c r="C150" s="37">
        <f t="shared" si="0"/>
        <v>17.82</v>
      </c>
      <c r="D150" s="39">
        <v>17.82</v>
      </c>
      <c r="E150" s="39"/>
      <c r="F150" s="39"/>
      <c r="G150" s="39"/>
      <c r="H150" s="39"/>
      <c r="I150" s="39"/>
      <c r="J150" s="39"/>
    </row>
    <row r="151" spans="1:10">
      <c r="A151" s="28">
        <v>46033</v>
      </c>
      <c r="B151" s="34" t="s">
        <v>49</v>
      </c>
      <c r="C151" s="37">
        <f t="shared" si="0"/>
        <v>0</v>
      </c>
      <c r="D151" s="39"/>
      <c r="E151" s="39"/>
      <c r="F151" s="39"/>
      <c r="G151" s="39"/>
      <c r="H151" s="39"/>
      <c r="I151" s="39"/>
      <c r="J151" s="39"/>
    </row>
    <row r="152" spans="1:10">
      <c r="A152" s="28">
        <v>46034</v>
      </c>
      <c r="B152" s="34" t="s">
        <v>69</v>
      </c>
      <c r="C152" s="37">
        <f t="shared" si="0"/>
        <v>50.8</v>
      </c>
      <c r="D152" s="39">
        <v>50.8</v>
      </c>
      <c r="E152" s="39"/>
      <c r="F152" s="39"/>
      <c r="G152" s="39"/>
      <c r="H152" s="39"/>
      <c r="I152" s="39"/>
      <c r="J152" s="39"/>
    </row>
    <row r="153" spans="1:10">
      <c r="A153" s="28">
        <v>46035</v>
      </c>
      <c r="B153" s="34" t="s">
        <v>72</v>
      </c>
      <c r="C153" s="37">
        <f t="shared" si="0"/>
        <v>13.79</v>
      </c>
      <c r="D153" s="39">
        <v>13.79</v>
      </c>
      <c r="E153" s="39"/>
      <c r="F153" s="39"/>
      <c r="G153" s="39"/>
      <c r="H153" s="39"/>
      <c r="I153" s="39"/>
      <c r="J153" s="39"/>
    </row>
    <row r="154" spans="1:10">
      <c r="A154" s="28">
        <v>46036</v>
      </c>
      <c r="B154" s="34" t="s">
        <v>79</v>
      </c>
      <c r="C154" s="37">
        <f t="shared" si="0"/>
        <v>0</v>
      </c>
      <c r="D154" s="128"/>
      <c r="E154" s="128"/>
      <c r="F154" s="39"/>
      <c r="G154" s="39"/>
      <c r="H154" s="39"/>
      <c r="I154" s="39"/>
      <c r="J154" s="39"/>
    </row>
    <row r="155" spans="1:10">
      <c r="A155" s="28">
        <v>46037</v>
      </c>
      <c r="B155" s="34" t="s">
        <v>83</v>
      </c>
      <c r="C155" s="37">
        <f t="shared" si="0"/>
        <v>0</v>
      </c>
      <c r="D155" s="128"/>
      <c r="E155" s="128"/>
      <c r="F155" s="39"/>
      <c r="G155" s="39"/>
      <c r="H155" s="39"/>
      <c r="I155" s="39"/>
      <c r="J155" s="39"/>
    </row>
    <row r="156" spans="1:10">
      <c r="A156" s="28">
        <v>46038</v>
      </c>
      <c r="B156" s="34" t="s">
        <v>34</v>
      </c>
      <c r="C156" s="37">
        <f t="shared" si="0"/>
        <v>63.29999500000001</v>
      </c>
      <c r="D156" s="39">
        <v>22.42</v>
      </c>
      <c r="E156" s="52">
        <v>40.879995000000008</v>
      </c>
      <c r="F156" s="39"/>
      <c r="G156" s="39"/>
      <c r="H156" s="39"/>
      <c r="I156" s="39"/>
      <c r="J156" s="39">
        <v>30000</v>
      </c>
    </row>
    <row r="157" spans="1:10">
      <c r="A157" s="28">
        <v>46039</v>
      </c>
      <c r="B157" s="34" t="s">
        <v>31</v>
      </c>
      <c r="C157" s="37">
        <f t="shared" si="0"/>
        <v>2.64</v>
      </c>
      <c r="D157" s="39">
        <v>2.64</v>
      </c>
      <c r="E157" s="39"/>
      <c r="F157" s="39"/>
      <c r="G157" s="39"/>
      <c r="H157" s="39"/>
      <c r="I157" s="39"/>
      <c r="J157" s="39"/>
    </row>
    <row r="158" spans="1:10">
      <c r="A158" s="28">
        <v>46040</v>
      </c>
      <c r="B158" s="34" t="s">
        <v>49</v>
      </c>
      <c r="C158" s="37">
        <f t="shared" si="0"/>
        <v>0</v>
      </c>
      <c r="D158" s="39"/>
      <c r="E158" s="39"/>
      <c r="F158" s="39"/>
      <c r="G158" s="39"/>
      <c r="H158" s="39"/>
      <c r="I158" s="39"/>
      <c r="J158" s="39"/>
    </row>
    <row r="159" spans="1:10">
      <c r="A159" s="28">
        <v>46041</v>
      </c>
      <c r="B159" s="34" t="s">
        <v>69</v>
      </c>
      <c r="C159" s="37">
        <f t="shared" si="0"/>
        <v>32.79</v>
      </c>
      <c r="D159" s="39">
        <v>32.79</v>
      </c>
      <c r="E159" s="39"/>
      <c r="F159" s="39"/>
      <c r="G159" s="39"/>
      <c r="H159" s="39"/>
      <c r="I159" s="39"/>
      <c r="J159" s="39"/>
    </row>
    <row r="160" spans="1:10">
      <c r="A160" s="28">
        <v>46042</v>
      </c>
      <c r="B160" s="34" t="s">
        <v>72</v>
      </c>
      <c r="C160" s="37">
        <f t="shared" si="0"/>
        <v>8.5399999999999991</v>
      </c>
      <c r="D160" s="39">
        <v>8.5399999999999991</v>
      </c>
      <c r="E160" s="39"/>
      <c r="F160" s="39"/>
      <c r="G160" s="39"/>
      <c r="H160" s="39"/>
      <c r="I160" s="39"/>
      <c r="J160" s="39"/>
    </row>
    <row r="161" spans="1:10">
      <c r="A161" s="28">
        <v>46043</v>
      </c>
      <c r="B161" s="34" t="s">
        <v>79</v>
      </c>
      <c r="C161" s="37">
        <f t="shared" si="0"/>
        <v>0</v>
      </c>
      <c r="D161" s="39"/>
      <c r="E161" s="39"/>
      <c r="F161" s="39"/>
      <c r="G161" s="39"/>
      <c r="H161" s="39"/>
      <c r="I161" s="39"/>
      <c r="J161" s="39"/>
    </row>
    <row r="162" spans="1:10">
      <c r="A162" s="28">
        <v>46044</v>
      </c>
      <c r="B162" s="34" t="s">
        <v>83</v>
      </c>
      <c r="C162" s="37">
        <f t="shared" si="0"/>
        <v>5.69</v>
      </c>
      <c r="D162" s="39">
        <v>5.69</v>
      </c>
      <c r="E162" s="39"/>
      <c r="F162" s="39"/>
      <c r="G162" s="39"/>
      <c r="H162" s="39"/>
      <c r="I162" s="39"/>
      <c r="J162" s="39"/>
    </row>
    <row r="163" spans="1:10">
      <c r="A163" s="28">
        <v>46045</v>
      </c>
      <c r="B163" s="34" t="s">
        <v>34</v>
      </c>
      <c r="C163" s="37">
        <f t="shared" si="0"/>
        <v>0</v>
      </c>
      <c r="D163" s="39"/>
      <c r="E163" s="39"/>
      <c r="F163" s="39"/>
      <c r="G163" s="39"/>
      <c r="H163" s="39"/>
      <c r="I163" s="39"/>
      <c r="J163" s="39"/>
    </row>
    <row r="164" spans="1:10">
      <c r="A164" s="28">
        <v>46046</v>
      </c>
      <c r="B164" s="34" t="s">
        <v>31</v>
      </c>
      <c r="C164" s="37">
        <f t="shared" si="0"/>
        <v>0.12</v>
      </c>
      <c r="D164" s="39">
        <v>0.12</v>
      </c>
      <c r="E164" s="39"/>
      <c r="F164" s="39"/>
      <c r="G164" s="39"/>
      <c r="H164" s="39"/>
      <c r="I164" s="39"/>
      <c r="J164" s="39"/>
    </row>
    <row r="165" spans="1:10">
      <c r="A165" s="28">
        <v>46047</v>
      </c>
      <c r="B165" s="34" t="s">
        <v>49</v>
      </c>
      <c r="C165" s="37">
        <f t="shared" si="0"/>
        <v>0</v>
      </c>
      <c r="D165" s="39"/>
      <c r="E165" s="39"/>
      <c r="F165" s="39"/>
      <c r="G165" s="39"/>
      <c r="H165" s="39"/>
      <c r="I165" s="39"/>
      <c r="J165" s="39"/>
    </row>
    <row r="166" spans="1:10">
      <c r="A166" s="28">
        <v>46048</v>
      </c>
      <c r="B166" s="34" t="s">
        <v>69</v>
      </c>
      <c r="C166" s="37">
        <f t="shared" si="0"/>
        <v>9.76</v>
      </c>
      <c r="D166" s="39">
        <v>9.76</v>
      </c>
      <c r="E166" s="39"/>
      <c r="F166" s="39"/>
      <c r="G166" s="39"/>
      <c r="H166" s="39"/>
      <c r="I166" s="39"/>
      <c r="J166" s="39"/>
    </row>
    <row r="167" spans="1:10">
      <c r="A167" s="28">
        <v>46049</v>
      </c>
      <c r="B167" s="34" t="s">
        <v>72</v>
      </c>
      <c r="C167" s="37">
        <f t="shared" si="0"/>
        <v>0</v>
      </c>
      <c r="D167" s="39"/>
      <c r="E167" s="39"/>
      <c r="F167" s="39"/>
      <c r="G167" s="39"/>
      <c r="H167" s="39"/>
      <c r="I167" s="39"/>
      <c r="J167" s="39"/>
    </row>
    <row r="168" spans="1:10">
      <c r="A168" s="28">
        <v>46050</v>
      </c>
      <c r="B168" s="34" t="s">
        <v>79</v>
      </c>
      <c r="C168" s="37">
        <f t="shared" si="0"/>
        <v>15.82</v>
      </c>
      <c r="D168" s="39">
        <v>7.01</v>
      </c>
      <c r="E168" s="39">
        <v>8.81</v>
      </c>
      <c r="F168" s="39"/>
      <c r="G168" s="39"/>
      <c r="H168" s="39"/>
      <c r="I168" s="39"/>
      <c r="J168" s="39"/>
    </row>
    <row r="169" spans="1:10">
      <c r="A169" s="28">
        <v>46051</v>
      </c>
      <c r="B169" s="34" t="s">
        <v>83</v>
      </c>
      <c r="C169" s="37">
        <f t="shared" si="0"/>
        <v>2.56</v>
      </c>
      <c r="D169" s="39">
        <v>2.56</v>
      </c>
      <c r="E169" s="39"/>
      <c r="F169" s="39"/>
      <c r="G169" s="39"/>
      <c r="H169" s="39"/>
      <c r="I169" s="39"/>
      <c r="J169" s="39"/>
    </row>
    <row r="170" spans="1:10">
      <c r="A170" s="28">
        <v>46052</v>
      </c>
      <c r="B170" s="34" t="s">
        <v>34</v>
      </c>
      <c r="C170" s="37">
        <f t="shared" si="0"/>
        <v>0</v>
      </c>
      <c r="D170" s="39"/>
      <c r="E170" s="39"/>
      <c r="F170" s="39"/>
      <c r="G170" s="39"/>
      <c r="H170" s="39"/>
      <c r="I170" s="39"/>
      <c r="J170" s="39"/>
    </row>
    <row r="171" spans="1:10">
      <c r="A171" s="28">
        <v>46053</v>
      </c>
      <c r="B171" s="34" t="s">
        <v>31</v>
      </c>
      <c r="C171" s="37">
        <f t="shared" si="0"/>
        <v>10.23</v>
      </c>
      <c r="D171" s="39">
        <v>7.92</v>
      </c>
      <c r="E171" s="39">
        <v>1.27</v>
      </c>
      <c r="F171" s="39">
        <v>1.04</v>
      </c>
      <c r="G171" s="39"/>
      <c r="H171" s="39"/>
      <c r="I171" s="39"/>
      <c r="J171" s="39"/>
    </row>
    <row r="172" spans="1:10">
      <c r="A172" s="28">
        <v>46054</v>
      </c>
      <c r="B172" s="34" t="s">
        <v>49</v>
      </c>
      <c r="C172" s="37">
        <f t="shared" si="0"/>
        <v>0</v>
      </c>
      <c r="D172" s="39"/>
      <c r="E172" s="39"/>
      <c r="F172" s="39"/>
      <c r="G172" s="39"/>
      <c r="H172" s="39"/>
      <c r="I172" s="39"/>
      <c r="J172" s="39"/>
    </row>
    <row r="173" spans="1:10">
      <c r="A173" s="28">
        <v>46055</v>
      </c>
      <c r="B173" s="34" t="s">
        <v>69</v>
      </c>
      <c r="C173" s="37">
        <f t="shared" si="0"/>
        <v>0</v>
      </c>
      <c r="D173" s="39"/>
      <c r="E173" s="39"/>
      <c r="F173" s="39"/>
      <c r="G173" s="39"/>
      <c r="H173" s="39"/>
      <c r="I173" s="39"/>
      <c r="J173" s="39"/>
    </row>
    <row r="174" spans="1:10">
      <c r="A174" s="28">
        <v>46056</v>
      </c>
      <c r="B174" s="34" t="s">
        <v>72</v>
      </c>
      <c r="C174" s="37">
        <f t="shared" si="0"/>
        <v>36.25</v>
      </c>
      <c r="D174" s="39">
        <v>4.67</v>
      </c>
      <c r="E174" s="39">
        <v>29.19</v>
      </c>
      <c r="F174" s="52">
        <v>2.3899999999999997</v>
      </c>
      <c r="G174" s="39"/>
      <c r="H174" s="39"/>
      <c r="I174" s="39"/>
      <c r="J174" s="39"/>
    </row>
    <row r="175" spans="1:10">
      <c r="A175" s="28">
        <v>46057</v>
      </c>
      <c r="B175" s="34" t="s">
        <v>79</v>
      </c>
      <c r="C175" s="37">
        <f t="shared" si="0"/>
        <v>10.108124</v>
      </c>
      <c r="D175" s="52">
        <v>10.108124</v>
      </c>
      <c r="E175" s="39"/>
      <c r="F175" s="39"/>
      <c r="G175" s="39"/>
      <c r="H175" s="39"/>
      <c r="I175" s="39"/>
      <c r="J175" s="39"/>
    </row>
    <row r="176" spans="1:10">
      <c r="A176" s="28">
        <v>46058</v>
      </c>
      <c r="B176" s="34" t="s">
        <v>83</v>
      </c>
      <c r="C176" s="37">
        <f t="shared" si="0"/>
        <v>11.911313999999997</v>
      </c>
      <c r="D176" s="52">
        <v>11.911313999999997</v>
      </c>
      <c r="E176" s="39"/>
      <c r="F176" s="39"/>
      <c r="G176" s="39"/>
      <c r="H176" s="39"/>
      <c r="I176" s="39"/>
      <c r="J176" s="39"/>
    </row>
    <row r="177" spans="1:10">
      <c r="A177" s="28">
        <v>46059</v>
      </c>
      <c r="B177" s="34" t="s">
        <v>34</v>
      </c>
      <c r="C177" s="37">
        <f t="shared" si="0"/>
        <v>0</v>
      </c>
      <c r="D177" s="39"/>
      <c r="E177" s="39"/>
      <c r="F177" s="39"/>
      <c r="G177" s="39"/>
      <c r="H177" s="39"/>
      <c r="I177" s="39"/>
      <c r="J177" s="39"/>
    </row>
    <row r="178" spans="1:10">
      <c r="A178" s="28">
        <v>46060</v>
      </c>
      <c r="B178" s="34" t="s">
        <v>31</v>
      </c>
      <c r="C178" s="37">
        <f t="shared" si="0"/>
        <v>35.74</v>
      </c>
      <c r="D178" s="39">
        <v>30.96</v>
      </c>
      <c r="E178" s="39">
        <v>4.78</v>
      </c>
      <c r="F178" s="39"/>
      <c r="G178" s="39"/>
      <c r="H178" s="39"/>
      <c r="I178" s="39"/>
      <c r="J178" s="39"/>
    </row>
    <row r="179" spans="1:10">
      <c r="A179" s="28">
        <v>46061</v>
      </c>
      <c r="B179" s="34" t="s">
        <v>49</v>
      </c>
      <c r="C179" s="37">
        <f t="shared" si="0"/>
        <v>0</v>
      </c>
      <c r="D179" s="39"/>
      <c r="E179" s="39"/>
      <c r="F179" s="39"/>
      <c r="G179" s="39"/>
      <c r="H179" s="39"/>
      <c r="I179" s="39"/>
      <c r="J179" s="39"/>
    </row>
    <row r="180" spans="1:10">
      <c r="A180" s="28">
        <v>46062</v>
      </c>
      <c r="B180" s="34" t="s">
        <v>69</v>
      </c>
      <c r="C180" s="37">
        <f t="shared" si="0"/>
        <v>33.379999999999995</v>
      </c>
      <c r="D180" s="39">
        <v>31.04</v>
      </c>
      <c r="E180" s="39">
        <v>2.34</v>
      </c>
      <c r="F180" s="39"/>
      <c r="G180" s="39"/>
      <c r="H180" s="39"/>
      <c r="I180" s="39"/>
      <c r="J180" s="39"/>
    </row>
    <row r="181" spans="1:10">
      <c r="A181" s="28">
        <v>46063</v>
      </c>
      <c r="B181" s="34" t="s">
        <v>72</v>
      </c>
      <c r="C181" s="37">
        <f t="shared" si="0"/>
        <v>19.25</v>
      </c>
      <c r="D181" s="39">
        <v>19.25</v>
      </c>
      <c r="E181" s="39"/>
      <c r="F181" s="39"/>
      <c r="G181" s="39"/>
      <c r="H181" s="39"/>
      <c r="I181" s="39"/>
      <c r="J181" s="39">
        <v>50000</v>
      </c>
    </row>
    <row r="182" spans="1:10">
      <c r="A182" s="28">
        <v>46064</v>
      </c>
      <c r="B182" s="34" t="s">
        <v>79</v>
      </c>
      <c r="C182" s="37">
        <f t="shared" si="0"/>
        <v>7.21</v>
      </c>
      <c r="D182" s="39">
        <v>7.21</v>
      </c>
      <c r="E182" s="39"/>
      <c r="F182" s="39"/>
      <c r="G182" s="39"/>
      <c r="H182" s="39"/>
      <c r="I182" s="39"/>
      <c r="J182" s="39"/>
    </row>
    <row r="183" spans="1:10">
      <c r="A183" s="28">
        <v>46065</v>
      </c>
      <c r="B183" s="34" t="s">
        <v>83</v>
      </c>
      <c r="C183" s="37">
        <f t="shared" si="0"/>
        <v>5.6155590000000002</v>
      </c>
      <c r="D183" s="52">
        <v>5.6155590000000002</v>
      </c>
      <c r="E183" s="39"/>
      <c r="F183" s="39"/>
      <c r="G183" s="39"/>
      <c r="H183" s="39"/>
      <c r="I183" s="39"/>
      <c r="J183" s="39"/>
    </row>
    <row r="184" spans="1:10">
      <c r="A184" s="28">
        <v>46066</v>
      </c>
      <c r="B184" s="34" t="s">
        <v>34</v>
      </c>
      <c r="C184" s="37">
        <f t="shared" si="0"/>
        <v>6.25</v>
      </c>
      <c r="D184" s="39">
        <v>6.25</v>
      </c>
      <c r="E184" s="39"/>
      <c r="F184" s="39"/>
      <c r="G184" s="39"/>
      <c r="H184" s="39"/>
      <c r="I184" s="39"/>
      <c r="J184" s="39"/>
    </row>
    <row r="185" spans="1:10">
      <c r="A185" s="28">
        <v>46067</v>
      </c>
      <c r="B185" s="34" t="s">
        <v>31</v>
      </c>
      <c r="C185" s="37">
        <f t="shared" si="0"/>
        <v>10.466282</v>
      </c>
      <c r="D185" s="39">
        <v>6.3</v>
      </c>
      <c r="E185" s="52">
        <v>4.1662819999999998</v>
      </c>
      <c r="F185" s="39"/>
      <c r="G185" s="39"/>
      <c r="H185" s="39"/>
      <c r="I185" s="39"/>
      <c r="J185" s="39"/>
    </row>
    <row r="186" spans="1:10">
      <c r="A186" s="28">
        <v>46068</v>
      </c>
      <c r="B186" s="34" t="s">
        <v>49</v>
      </c>
      <c r="C186" s="37">
        <f t="shared" si="0"/>
        <v>0</v>
      </c>
      <c r="D186" s="39"/>
      <c r="E186" s="39"/>
      <c r="F186" s="39"/>
      <c r="G186" s="39"/>
      <c r="H186" s="39"/>
      <c r="I186" s="39"/>
      <c r="J186" s="39"/>
    </row>
    <row r="187" spans="1:10">
      <c r="A187" s="28">
        <v>46069</v>
      </c>
      <c r="B187" s="34" t="s">
        <v>69</v>
      </c>
      <c r="C187" s="37">
        <f t="shared" si="0"/>
        <v>12.08</v>
      </c>
      <c r="D187" s="39">
        <v>12.08</v>
      </c>
      <c r="E187" s="39"/>
      <c r="F187" s="39"/>
      <c r="G187" s="39"/>
      <c r="H187" s="39"/>
      <c r="I187" s="39"/>
      <c r="J187" s="39"/>
    </row>
    <row r="188" spans="1:10">
      <c r="A188" s="28">
        <v>46070</v>
      </c>
      <c r="B188" s="34" t="s">
        <v>72</v>
      </c>
      <c r="C188" s="37">
        <f t="shared" si="0"/>
        <v>13.12</v>
      </c>
      <c r="D188" s="39">
        <v>3.76</v>
      </c>
      <c r="E188" s="39">
        <v>6.21</v>
      </c>
      <c r="F188" s="39">
        <v>2.06</v>
      </c>
      <c r="G188" s="39">
        <v>1.0900000000000001</v>
      </c>
      <c r="H188" s="39"/>
      <c r="I188" s="39"/>
      <c r="J188" s="39"/>
    </row>
    <row r="189" spans="1:10">
      <c r="A189" s="28">
        <v>46071</v>
      </c>
      <c r="B189" s="34" t="s">
        <v>79</v>
      </c>
      <c r="C189" s="37">
        <f t="shared" si="0"/>
        <v>0</v>
      </c>
      <c r="D189" s="39"/>
      <c r="E189" s="39"/>
      <c r="F189" s="39"/>
      <c r="G189" s="39"/>
      <c r="H189" s="39"/>
      <c r="I189" s="39"/>
      <c r="J189" s="39"/>
    </row>
    <row r="190" spans="1:10">
      <c r="A190" s="28">
        <v>46072</v>
      </c>
      <c r="B190" s="34" t="s">
        <v>83</v>
      </c>
      <c r="C190" s="37">
        <f t="shared" si="0"/>
        <v>21.11</v>
      </c>
      <c r="D190" s="39">
        <v>18.13</v>
      </c>
      <c r="E190" s="39">
        <v>2.98</v>
      </c>
      <c r="F190" s="39"/>
      <c r="G190" s="39"/>
      <c r="H190" s="39"/>
      <c r="I190" s="39"/>
      <c r="J190" s="39"/>
    </row>
    <row r="191" spans="1:10">
      <c r="A191" s="28">
        <v>46073</v>
      </c>
      <c r="B191" s="34" t="s">
        <v>34</v>
      </c>
      <c r="C191" s="37">
        <f t="shared" si="0"/>
        <v>11.46</v>
      </c>
      <c r="D191" s="39">
        <v>8.5500000000000007</v>
      </c>
      <c r="E191" s="39">
        <v>2.91</v>
      </c>
      <c r="F191" s="39"/>
      <c r="G191" s="39"/>
      <c r="H191" s="39"/>
      <c r="I191" s="39"/>
      <c r="J191" s="39"/>
    </row>
    <row r="192" spans="1:10">
      <c r="A192" s="28">
        <v>46074</v>
      </c>
      <c r="B192" s="34" t="s">
        <v>31</v>
      </c>
      <c r="C192" s="37">
        <f t="shared" si="0"/>
        <v>34.42</v>
      </c>
      <c r="D192" s="39">
        <v>4.49</v>
      </c>
      <c r="E192" s="39">
        <v>29.93</v>
      </c>
      <c r="F192" s="39"/>
      <c r="G192" s="39"/>
      <c r="H192" s="39"/>
      <c r="I192" s="39"/>
      <c r="J192" s="39"/>
    </row>
    <row r="193" spans="1:10">
      <c r="A193" s="28">
        <v>46075</v>
      </c>
      <c r="B193" s="34" t="s">
        <v>49</v>
      </c>
      <c r="C193" s="37">
        <f t="shared" si="0"/>
        <v>0</v>
      </c>
      <c r="D193" s="39"/>
      <c r="E193" s="39"/>
      <c r="F193" s="39"/>
      <c r="G193" s="39"/>
      <c r="H193" s="39"/>
      <c r="I193" s="39"/>
      <c r="J193" s="39"/>
    </row>
    <row r="194" spans="1:10">
      <c r="A194" s="28">
        <v>46076</v>
      </c>
      <c r="B194" s="34" t="s">
        <v>69</v>
      </c>
      <c r="C194" s="37">
        <f t="shared" si="0"/>
        <v>6.45</v>
      </c>
      <c r="D194" s="39">
        <v>6.45</v>
      </c>
      <c r="E194" s="39"/>
      <c r="F194" s="39"/>
      <c r="G194" s="39"/>
      <c r="H194" s="39"/>
      <c r="I194" s="39"/>
      <c r="J194" s="39"/>
    </row>
    <row r="195" spans="1:10">
      <c r="A195" s="28">
        <v>46077</v>
      </c>
      <c r="B195" s="34" t="s">
        <v>72</v>
      </c>
      <c r="C195" s="37">
        <f t="shared" si="0"/>
        <v>8.76</v>
      </c>
      <c r="D195" s="39">
        <v>2.82</v>
      </c>
      <c r="E195" s="39">
        <v>5.94</v>
      </c>
      <c r="F195" s="39"/>
      <c r="G195" s="39"/>
      <c r="H195" s="39"/>
      <c r="I195" s="39"/>
      <c r="J195" s="39"/>
    </row>
    <row r="196" spans="1:10">
      <c r="A196" s="28">
        <v>46078</v>
      </c>
      <c r="B196" s="34" t="s">
        <v>79</v>
      </c>
      <c r="C196" s="37">
        <f t="shared" si="0"/>
        <v>5.87</v>
      </c>
      <c r="D196" s="39">
        <v>2.23</v>
      </c>
      <c r="E196" s="39">
        <v>1.18</v>
      </c>
      <c r="F196" s="39">
        <v>0.56999999999999995</v>
      </c>
      <c r="G196" s="39">
        <v>1.89</v>
      </c>
      <c r="H196" s="39"/>
      <c r="I196" s="39"/>
      <c r="J196" s="39"/>
    </row>
    <row r="197" spans="1:10">
      <c r="A197" s="28">
        <v>46079</v>
      </c>
      <c r="B197" s="34" t="s">
        <v>83</v>
      </c>
      <c r="C197" s="37">
        <f t="shared" si="0"/>
        <v>4.5600000000000005</v>
      </c>
      <c r="D197" s="39">
        <v>2.37</v>
      </c>
      <c r="E197" s="39">
        <v>2.19</v>
      </c>
      <c r="F197" s="39"/>
      <c r="G197" s="39"/>
      <c r="H197" s="39"/>
      <c r="I197" s="39"/>
      <c r="J197" s="39"/>
    </row>
    <row r="198" spans="1:10">
      <c r="A198" s="28">
        <v>46080</v>
      </c>
      <c r="B198" s="34" t="s">
        <v>34</v>
      </c>
      <c r="C198" s="37">
        <f t="shared" si="0"/>
        <v>4.05</v>
      </c>
      <c r="D198" s="39">
        <v>4.05</v>
      </c>
      <c r="E198" s="39"/>
      <c r="F198" s="39"/>
      <c r="G198" s="39"/>
      <c r="H198" s="39"/>
      <c r="I198" s="39"/>
      <c r="J198" s="39"/>
    </row>
    <row r="199" spans="1:10">
      <c r="A199" s="28">
        <v>46081</v>
      </c>
      <c r="B199" s="34" t="s">
        <v>31</v>
      </c>
      <c r="C199" s="37">
        <f t="shared" si="0"/>
        <v>18.36</v>
      </c>
      <c r="D199" s="39">
        <v>12.89</v>
      </c>
      <c r="E199" s="39">
        <v>0.9</v>
      </c>
      <c r="F199" s="39">
        <v>4.57</v>
      </c>
      <c r="G199" s="39"/>
      <c r="H199" s="39"/>
      <c r="I199" s="39"/>
      <c r="J199" s="39"/>
    </row>
    <row r="200" spans="1:10">
      <c r="A200" s="28">
        <v>46082</v>
      </c>
      <c r="B200" s="34" t="s">
        <v>49</v>
      </c>
      <c r="C200" s="37">
        <f t="shared" si="0"/>
        <v>0</v>
      </c>
      <c r="D200" s="39"/>
      <c r="E200" s="39"/>
      <c r="F200" s="39"/>
      <c r="G200" s="39"/>
      <c r="H200" s="39"/>
      <c r="I200" s="39"/>
      <c r="J200" s="39"/>
    </row>
    <row r="201" spans="1:10">
      <c r="A201" s="28">
        <v>46083</v>
      </c>
      <c r="B201" s="34" t="s">
        <v>69</v>
      </c>
      <c r="C201" s="37">
        <f t="shared" si="0"/>
        <v>55.47</v>
      </c>
      <c r="D201" s="39">
        <v>36.74</v>
      </c>
      <c r="E201" s="39">
        <v>2.19</v>
      </c>
      <c r="F201" s="39">
        <v>16.54</v>
      </c>
      <c r="G201" s="39"/>
      <c r="H201" s="39"/>
      <c r="I201" s="39"/>
      <c r="J201" s="39"/>
    </row>
    <row r="202" spans="1:10">
      <c r="A202" s="28">
        <v>46084</v>
      </c>
      <c r="B202" s="34" t="s">
        <v>72</v>
      </c>
      <c r="C202" s="37">
        <f t="shared" si="0"/>
        <v>15.2</v>
      </c>
      <c r="D202" s="39">
        <v>5.0599999999999996</v>
      </c>
      <c r="E202" s="39">
        <v>10.14</v>
      </c>
      <c r="F202" s="39"/>
      <c r="G202" s="39"/>
      <c r="H202" s="39"/>
      <c r="I202" s="39"/>
      <c r="J202" s="39"/>
    </row>
    <row r="203" spans="1:10">
      <c r="A203" s="28">
        <v>46085</v>
      </c>
      <c r="B203" s="34" t="s">
        <v>79</v>
      </c>
      <c r="C203" s="37">
        <f t="shared" si="0"/>
        <v>0</v>
      </c>
      <c r="D203" s="39"/>
      <c r="E203" s="39"/>
      <c r="F203" s="39"/>
      <c r="G203" s="39"/>
      <c r="H203" s="39"/>
      <c r="I203" s="39"/>
      <c r="J203" s="39"/>
    </row>
    <row r="204" spans="1:10">
      <c r="A204" s="28">
        <v>46086</v>
      </c>
      <c r="B204" s="34" t="s">
        <v>83</v>
      </c>
      <c r="C204" s="37">
        <f t="shared" si="0"/>
        <v>54.49</v>
      </c>
      <c r="D204" s="39">
        <v>20.93</v>
      </c>
      <c r="E204" s="39">
        <v>1.1399999999999999</v>
      </c>
      <c r="F204" s="39">
        <v>0.73</v>
      </c>
      <c r="G204" s="39">
        <v>17.309999999999999</v>
      </c>
      <c r="H204" s="39">
        <v>14.38</v>
      </c>
      <c r="I204" s="39"/>
      <c r="J204" s="39"/>
    </row>
    <row r="205" spans="1:10">
      <c r="A205" s="28">
        <v>46087</v>
      </c>
      <c r="B205" s="34" t="s">
        <v>34</v>
      </c>
      <c r="C205" s="37">
        <f t="shared" si="0"/>
        <v>43.61</v>
      </c>
      <c r="D205" s="39">
        <v>32.07</v>
      </c>
      <c r="E205" s="39">
        <v>11.54</v>
      </c>
      <c r="F205" s="39"/>
      <c r="G205" s="39"/>
      <c r="H205" s="39"/>
      <c r="I205" s="39"/>
      <c r="J205" s="39"/>
    </row>
    <row r="206" spans="1:10">
      <c r="A206" s="28">
        <v>46088</v>
      </c>
      <c r="B206" s="34" t="s">
        <v>31</v>
      </c>
      <c r="C206" s="37">
        <f t="shared" si="0"/>
        <v>18.989999999999998</v>
      </c>
      <c r="D206" s="39">
        <v>18.989999999999998</v>
      </c>
      <c r="E206" s="39"/>
      <c r="F206" s="39"/>
      <c r="G206" s="39"/>
      <c r="H206" s="39"/>
      <c r="I206" s="39"/>
      <c r="J206" s="39"/>
    </row>
    <row r="207" spans="1:10">
      <c r="A207" s="28">
        <v>46089</v>
      </c>
      <c r="B207" s="34" t="s">
        <v>49</v>
      </c>
      <c r="C207" s="37">
        <f t="shared" si="0"/>
        <v>0</v>
      </c>
      <c r="D207" s="39"/>
      <c r="E207" s="39"/>
      <c r="F207" s="39"/>
      <c r="G207" s="39"/>
      <c r="H207" s="39"/>
      <c r="I207" s="39"/>
      <c r="J207" s="39"/>
    </row>
    <row r="208" spans="1:10">
      <c r="A208" s="28">
        <v>46090</v>
      </c>
      <c r="B208" s="34" t="s">
        <v>69</v>
      </c>
      <c r="C208" s="37">
        <f t="shared" si="0"/>
        <v>32.33</v>
      </c>
      <c r="D208" s="39">
        <v>32.33</v>
      </c>
      <c r="E208" s="39"/>
      <c r="F208" s="39"/>
      <c r="G208" s="39"/>
      <c r="H208" s="39"/>
      <c r="I208" s="39"/>
      <c r="J208" s="39">
        <v>50000</v>
      </c>
    </row>
    <row r="209" spans="1:10">
      <c r="A209" s="28">
        <v>46091</v>
      </c>
      <c r="B209" s="34" t="s">
        <v>72</v>
      </c>
      <c r="C209" s="37">
        <f t="shared" si="0"/>
        <v>14.03</v>
      </c>
      <c r="D209" s="39">
        <v>14.03</v>
      </c>
      <c r="E209" s="39"/>
      <c r="F209" s="39"/>
      <c r="G209" s="39"/>
      <c r="H209" s="39"/>
      <c r="I209" s="39"/>
      <c r="J209" s="39"/>
    </row>
    <row r="210" spans="1:10">
      <c r="A210" s="28">
        <v>46092</v>
      </c>
      <c r="B210" s="34" t="s">
        <v>79</v>
      </c>
      <c r="C210" s="37">
        <f t="shared" si="0"/>
        <v>11.65</v>
      </c>
      <c r="D210" s="39">
        <v>10.32</v>
      </c>
      <c r="E210" s="39">
        <v>1.33</v>
      </c>
      <c r="F210" s="39"/>
      <c r="G210" s="39"/>
      <c r="H210" s="39"/>
      <c r="I210" s="39"/>
      <c r="J210" s="39"/>
    </row>
    <row r="211" spans="1:10">
      <c r="A211" s="28">
        <v>46093</v>
      </c>
      <c r="B211" s="34" t="s">
        <v>83</v>
      </c>
      <c r="C211" s="37">
        <f t="shared" si="0"/>
        <v>19</v>
      </c>
      <c r="D211" s="39">
        <v>13.38</v>
      </c>
      <c r="E211" s="39">
        <v>4.0599999999999996</v>
      </c>
      <c r="F211" s="39">
        <v>1.56</v>
      </c>
      <c r="G211" s="39"/>
      <c r="H211" s="39"/>
      <c r="I211" s="39"/>
      <c r="J211" s="39"/>
    </row>
    <row r="212" spans="1:10">
      <c r="A212" s="28">
        <v>46094</v>
      </c>
      <c r="B212" s="34" t="s">
        <v>34</v>
      </c>
      <c r="C212" s="37">
        <f t="shared" si="0"/>
        <v>11.17</v>
      </c>
      <c r="D212" s="39">
        <v>8.2899999999999991</v>
      </c>
      <c r="E212" s="39">
        <v>1.23</v>
      </c>
      <c r="F212" s="39">
        <v>1.65</v>
      </c>
      <c r="G212" s="39"/>
      <c r="H212" s="39"/>
      <c r="I212" s="39"/>
      <c r="J212" s="39"/>
    </row>
    <row r="213" spans="1:10">
      <c r="A213" s="28">
        <v>46095</v>
      </c>
      <c r="B213" s="34" t="s">
        <v>31</v>
      </c>
      <c r="C213" s="37">
        <f t="shared" si="0"/>
        <v>12.53</v>
      </c>
      <c r="D213" s="39">
        <v>6.5</v>
      </c>
      <c r="E213" s="39">
        <v>5.0199999999999996</v>
      </c>
      <c r="F213" s="39">
        <v>1.01</v>
      </c>
      <c r="G213" s="39"/>
      <c r="H213" s="39"/>
      <c r="I213" s="39"/>
      <c r="J213" s="39"/>
    </row>
    <row r="214" spans="1:10">
      <c r="A214" s="28">
        <v>46096</v>
      </c>
      <c r="B214" s="34" t="s">
        <v>49</v>
      </c>
      <c r="C214" s="37">
        <f t="shared" si="0"/>
        <v>0</v>
      </c>
      <c r="D214" s="39"/>
      <c r="E214" s="39"/>
      <c r="F214" s="39"/>
      <c r="G214" s="39"/>
      <c r="H214" s="39"/>
      <c r="I214" s="39"/>
      <c r="J214" s="39"/>
    </row>
    <row r="215" spans="1:10">
      <c r="A215" s="28">
        <v>46097</v>
      </c>
      <c r="B215" s="34" t="s">
        <v>69</v>
      </c>
      <c r="C215" s="37">
        <f t="shared" si="0"/>
        <v>35.159999999999997</v>
      </c>
      <c r="D215" s="39">
        <v>21.74</v>
      </c>
      <c r="E215" s="39">
        <v>6.12</v>
      </c>
      <c r="F215" s="39">
        <v>7.3</v>
      </c>
      <c r="G215" s="39"/>
      <c r="H215" s="39"/>
      <c r="I215" s="39"/>
      <c r="J215" s="39">
        <v>30000</v>
      </c>
    </row>
    <row r="216" spans="1:10">
      <c r="A216" s="28">
        <v>46098</v>
      </c>
      <c r="B216" s="34" t="s">
        <v>72</v>
      </c>
      <c r="C216" s="37">
        <f t="shared" si="0"/>
        <v>10.280000000000001</v>
      </c>
      <c r="D216" s="39">
        <v>5.07</v>
      </c>
      <c r="E216" s="39">
        <v>0.82</v>
      </c>
      <c r="F216" s="39">
        <v>1.64</v>
      </c>
      <c r="G216" s="39">
        <v>2.75</v>
      </c>
      <c r="H216" s="39"/>
      <c r="I216" s="39"/>
      <c r="J216" s="39"/>
    </row>
    <row r="217" spans="1:10">
      <c r="A217" s="28">
        <v>46099</v>
      </c>
      <c r="B217" s="34" t="s">
        <v>79</v>
      </c>
      <c r="C217" s="37">
        <f t="shared" si="0"/>
        <v>7.5200000000000005</v>
      </c>
      <c r="D217" s="39">
        <v>3.73</v>
      </c>
      <c r="E217" s="39">
        <v>0.3</v>
      </c>
      <c r="F217" s="39">
        <v>1.86</v>
      </c>
      <c r="G217" s="39">
        <v>1.63</v>
      </c>
      <c r="H217" s="39"/>
      <c r="I217" s="39"/>
      <c r="J217" s="39"/>
    </row>
    <row r="218" spans="1:10">
      <c r="A218" s="28">
        <v>46100</v>
      </c>
      <c r="B218" s="34" t="s">
        <v>83</v>
      </c>
      <c r="C218" s="37">
        <f t="shared" si="0"/>
        <v>8.370000000000001</v>
      </c>
      <c r="D218" s="39">
        <v>5.19</v>
      </c>
      <c r="E218" s="39">
        <v>0.31</v>
      </c>
      <c r="F218" s="39">
        <v>2.87</v>
      </c>
      <c r="G218" s="39"/>
      <c r="H218" s="39"/>
      <c r="I218" s="39"/>
      <c r="J218" s="39"/>
    </row>
    <row r="219" spans="1:10">
      <c r="A219" s="28">
        <v>46101</v>
      </c>
      <c r="B219" s="34" t="s">
        <v>34</v>
      </c>
      <c r="C219" s="37">
        <f t="shared" si="0"/>
        <v>11.93</v>
      </c>
      <c r="D219" s="39">
        <v>5.2</v>
      </c>
      <c r="E219" s="39">
        <v>0.45</v>
      </c>
      <c r="F219" s="39">
        <v>1.1299999999999999</v>
      </c>
      <c r="G219" s="39">
        <v>5.15</v>
      </c>
      <c r="H219" s="39"/>
      <c r="I219" s="39"/>
      <c r="J219" s="39"/>
    </row>
    <row r="220" spans="1:10">
      <c r="A220" s="28">
        <v>46102</v>
      </c>
      <c r="B220" s="34" t="s">
        <v>31</v>
      </c>
      <c r="C220" s="37">
        <f t="shared" si="0"/>
        <v>5.8699999999999992</v>
      </c>
      <c r="D220" s="39">
        <v>2.41</v>
      </c>
      <c r="E220" s="39">
        <v>2.44</v>
      </c>
      <c r="F220" s="39">
        <v>1.02</v>
      </c>
      <c r="G220" s="39"/>
      <c r="H220" s="39"/>
      <c r="I220" s="39"/>
      <c r="J220" s="39"/>
    </row>
    <row r="221" spans="1:10">
      <c r="A221" s="28">
        <v>46103</v>
      </c>
      <c r="B221" s="34" t="s">
        <v>49</v>
      </c>
      <c r="C221" s="37">
        <f t="shared" si="0"/>
        <v>0</v>
      </c>
      <c r="D221" s="39"/>
      <c r="E221" s="39"/>
      <c r="F221" s="39"/>
      <c r="G221" s="39"/>
      <c r="H221" s="39"/>
      <c r="I221" s="39"/>
      <c r="J221" s="39"/>
    </row>
    <row r="222" spans="1:10">
      <c r="A222" s="28">
        <v>46104</v>
      </c>
      <c r="B222" s="34" t="s">
        <v>69</v>
      </c>
      <c r="C222" s="37">
        <f t="shared" si="0"/>
        <v>16.29</v>
      </c>
      <c r="D222" s="39">
        <v>14.19</v>
      </c>
      <c r="E222" s="39">
        <v>2.1</v>
      </c>
      <c r="F222" s="39"/>
      <c r="G222" s="39"/>
      <c r="H222" s="39"/>
      <c r="I222" s="39"/>
      <c r="J222" s="39"/>
    </row>
    <row r="223" spans="1:10">
      <c r="A223" s="28">
        <v>46105</v>
      </c>
      <c r="B223" s="34" t="s">
        <v>72</v>
      </c>
      <c r="C223" s="37">
        <f t="shared" si="0"/>
        <v>13.79</v>
      </c>
      <c r="D223" s="39">
        <v>6.18</v>
      </c>
      <c r="E223" s="39">
        <v>6.79</v>
      </c>
      <c r="F223" s="39">
        <v>0.82</v>
      </c>
      <c r="G223" s="39"/>
      <c r="H223" s="39"/>
      <c r="I223" s="39"/>
      <c r="J223" s="39"/>
    </row>
    <row r="224" spans="1:10">
      <c r="A224" s="28">
        <v>46106</v>
      </c>
      <c r="B224" s="34" t="s">
        <v>79</v>
      </c>
      <c r="C224" s="37">
        <f t="shared" si="0"/>
        <v>12.79</v>
      </c>
      <c r="D224" s="39">
        <v>7.9</v>
      </c>
      <c r="E224" s="39">
        <v>1.71</v>
      </c>
      <c r="F224" s="39">
        <v>3.18</v>
      </c>
      <c r="G224" s="39"/>
      <c r="H224" s="39"/>
      <c r="I224" s="39"/>
      <c r="J224" s="39"/>
    </row>
    <row r="225" spans="1:10">
      <c r="A225" s="28">
        <v>46107</v>
      </c>
      <c r="B225" s="34" t="s">
        <v>83</v>
      </c>
      <c r="C225" s="37">
        <f t="shared" si="0"/>
        <v>9.9700000000000006</v>
      </c>
      <c r="D225" s="39">
        <v>6.19</v>
      </c>
      <c r="E225" s="39">
        <v>2.4700000000000002</v>
      </c>
      <c r="F225" s="39">
        <v>0.41</v>
      </c>
      <c r="G225" s="39">
        <v>0.9</v>
      </c>
      <c r="H225" s="39"/>
      <c r="I225" s="39"/>
      <c r="J225" s="39"/>
    </row>
    <row r="226" spans="1:10">
      <c r="A226" s="28">
        <v>46108</v>
      </c>
      <c r="B226" s="34" t="s">
        <v>34</v>
      </c>
      <c r="C226" s="37">
        <f t="shared" si="0"/>
        <v>0.82</v>
      </c>
      <c r="D226" s="39">
        <v>0.82</v>
      </c>
      <c r="E226" s="39"/>
      <c r="F226" s="39"/>
      <c r="G226" s="39"/>
      <c r="H226" s="39"/>
      <c r="I226" s="39"/>
      <c r="J226" s="39"/>
    </row>
    <row r="227" spans="1:10">
      <c r="A227" s="28">
        <v>46109</v>
      </c>
      <c r="B227" s="34" t="s">
        <v>31</v>
      </c>
      <c r="C227" s="37">
        <f t="shared" si="0"/>
        <v>17.540000000000003</v>
      </c>
      <c r="D227" s="39">
        <v>11.73</v>
      </c>
      <c r="E227" s="39">
        <v>4.03</v>
      </c>
      <c r="F227" s="39">
        <v>1.78</v>
      </c>
      <c r="G227" s="39"/>
      <c r="H227" s="39"/>
      <c r="I227" s="39"/>
      <c r="J227" s="39"/>
    </row>
    <row r="228" spans="1:10">
      <c r="A228" s="28">
        <v>46110</v>
      </c>
      <c r="B228" s="34" t="s">
        <v>49</v>
      </c>
      <c r="C228" s="37">
        <f t="shared" si="0"/>
        <v>0</v>
      </c>
      <c r="D228" s="39"/>
      <c r="E228" s="39"/>
      <c r="F228" s="39"/>
      <c r="G228" s="39"/>
      <c r="H228" s="39"/>
      <c r="I228" s="39"/>
      <c r="J228" s="39"/>
    </row>
    <row r="229" spans="1:10">
      <c r="A229" s="28">
        <v>46111</v>
      </c>
      <c r="B229" s="34" t="s">
        <v>69</v>
      </c>
      <c r="C229" s="37">
        <f t="shared" si="0"/>
        <v>18.03</v>
      </c>
      <c r="D229" s="39">
        <v>10.49</v>
      </c>
      <c r="E229" s="39">
        <v>2.75</v>
      </c>
      <c r="F229" s="39">
        <v>0.23</v>
      </c>
      <c r="G229" s="39">
        <v>4.5599999999999996</v>
      </c>
      <c r="H229" s="39"/>
      <c r="I229" s="39"/>
      <c r="J229" s="39"/>
    </row>
    <row r="230" spans="1:10">
      <c r="A230" s="28">
        <v>46112</v>
      </c>
      <c r="B230" s="34" t="s">
        <v>72</v>
      </c>
      <c r="C230" s="37">
        <f t="shared" si="0"/>
        <v>0</v>
      </c>
      <c r="D230" s="39"/>
      <c r="E230" s="39"/>
      <c r="F230" s="39"/>
      <c r="G230" s="39"/>
      <c r="H230" s="39"/>
      <c r="I230" s="39"/>
      <c r="J230" s="39"/>
    </row>
    <row r="231" spans="1:10">
      <c r="A231" s="28">
        <v>46113</v>
      </c>
      <c r="B231" s="34" t="s">
        <v>79</v>
      </c>
      <c r="C231" s="37">
        <f t="shared" si="0"/>
        <v>0</v>
      </c>
      <c r="D231" s="39"/>
      <c r="E231" s="39"/>
      <c r="F231" s="39"/>
      <c r="G231" s="39"/>
      <c r="H231" s="39"/>
      <c r="I231" s="39"/>
      <c r="J231" s="39"/>
    </row>
    <row r="232" spans="1:10">
      <c r="A232" s="28">
        <v>46114</v>
      </c>
      <c r="B232" s="34" t="s">
        <v>83</v>
      </c>
      <c r="C232" s="37">
        <f t="shared" si="0"/>
        <v>53.413831999999999</v>
      </c>
      <c r="D232" s="39">
        <v>47.49</v>
      </c>
      <c r="E232" s="39">
        <v>1.51</v>
      </c>
      <c r="F232" s="52">
        <v>4.4138320000000002</v>
      </c>
      <c r="G232" s="39"/>
      <c r="H232" s="39"/>
      <c r="I232" s="39"/>
      <c r="J232" s="39"/>
    </row>
    <row r="233" spans="1:10">
      <c r="A233" s="28">
        <v>46115</v>
      </c>
      <c r="B233" s="34" t="s">
        <v>34</v>
      </c>
      <c r="C233" s="37">
        <f t="shared" si="0"/>
        <v>12.58</v>
      </c>
      <c r="D233" s="39">
        <v>7.78</v>
      </c>
      <c r="E233" s="39">
        <v>2.29</v>
      </c>
      <c r="F233" s="39">
        <v>2.5099999999999998</v>
      </c>
      <c r="G233" s="39"/>
      <c r="H233" s="39"/>
      <c r="I233" s="39"/>
      <c r="J233" s="39"/>
    </row>
    <row r="234" spans="1:10">
      <c r="A234" s="28">
        <v>46116</v>
      </c>
      <c r="B234" s="34" t="s">
        <v>31</v>
      </c>
      <c r="C234" s="37">
        <f t="shared" si="0"/>
        <v>19</v>
      </c>
      <c r="D234" s="39">
        <v>9.26</v>
      </c>
      <c r="E234" s="39">
        <v>3.95</v>
      </c>
      <c r="F234" s="39">
        <v>0.82</v>
      </c>
      <c r="G234" s="39">
        <v>4.97</v>
      </c>
      <c r="H234" s="39"/>
      <c r="I234" s="39"/>
      <c r="J234" s="39"/>
    </row>
    <row r="235" spans="1:10">
      <c r="A235" s="28">
        <v>46117</v>
      </c>
      <c r="B235" s="34" t="s">
        <v>49</v>
      </c>
      <c r="C235" s="37">
        <f t="shared" si="0"/>
        <v>0</v>
      </c>
      <c r="D235" s="39"/>
      <c r="E235" s="39"/>
      <c r="F235" s="39"/>
      <c r="G235" s="39"/>
      <c r="H235" s="39"/>
      <c r="I235" s="39"/>
      <c r="J235" s="39"/>
    </row>
    <row r="236" spans="1:10">
      <c r="A236" s="28">
        <v>46118</v>
      </c>
      <c r="B236" s="34" t="s">
        <v>69</v>
      </c>
      <c r="C236" s="37">
        <f t="shared" si="0"/>
        <v>37.01</v>
      </c>
      <c r="D236" s="39">
        <v>18.32</v>
      </c>
      <c r="E236" s="39">
        <v>6.86</v>
      </c>
      <c r="F236" s="39">
        <v>2.31</v>
      </c>
      <c r="G236" s="39">
        <v>9.52</v>
      </c>
      <c r="H236" s="39"/>
      <c r="I236" s="39"/>
      <c r="J236" s="39"/>
    </row>
    <row r="237" spans="1:10">
      <c r="A237" s="28">
        <v>46119</v>
      </c>
      <c r="B237" s="34" t="s">
        <v>72</v>
      </c>
      <c r="C237" s="37">
        <f t="shared" si="0"/>
        <v>16.009999999999998</v>
      </c>
      <c r="D237" s="39">
        <v>10.199999999999999</v>
      </c>
      <c r="E237" s="39">
        <v>1.3</v>
      </c>
      <c r="F237" s="39">
        <v>4.51</v>
      </c>
      <c r="G237" s="39"/>
      <c r="H237" s="39"/>
      <c r="I237" s="39"/>
      <c r="J237" s="39"/>
    </row>
    <row r="238" spans="1:10">
      <c r="A238" s="28">
        <v>46120</v>
      </c>
      <c r="B238" s="34" t="s">
        <v>79</v>
      </c>
      <c r="C238" s="37">
        <f t="shared" si="0"/>
        <v>17.71</v>
      </c>
      <c r="D238" s="39">
        <v>10.85</v>
      </c>
      <c r="E238" s="39">
        <v>2.72</v>
      </c>
      <c r="F238" s="39">
        <v>1.4</v>
      </c>
      <c r="G238" s="39">
        <v>2.74</v>
      </c>
      <c r="H238" s="39"/>
      <c r="I238" s="39"/>
      <c r="J238" s="39"/>
    </row>
    <row r="239" spans="1:10">
      <c r="A239" s="28">
        <v>46121</v>
      </c>
      <c r="B239" s="34" t="s">
        <v>83</v>
      </c>
      <c r="C239" s="37">
        <f t="shared" si="0"/>
        <v>16.84</v>
      </c>
      <c r="D239" s="39">
        <v>10.06</v>
      </c>
      <c r="E239" s="39">
        <v>3.55</v>
      </c>
      <c r="F239" s="39">
        <v>3.23</v>
      </c>
      <c r="G239" s="39"/>
      <c r="H239" s="39"/>
      <c r="I239" s="39"/>
      <c r="J239" s="39"/>
    </row>
    <row r="240" spans="1:10">
      <c r="A240" s="28">
        <v>46122</v>
      </c>
      <c r="B240" s="34" t="s">
        <v>34</v>
      </c>
      <c r="C240" s="37">
        <f t="shared" si="0"/>
        <v>15.09</v>
      </c>
      <c r="D240" s="39">
        <v>6.47</v>
      </c>
      <c r="E240" s="39">
        <v>6.04</v>
      </c>
      <c r="F240" s="39">
        <v>2.58</v>
      </c>
      <c r="G240" s="39"/>
      <c r="H240" s="39"/>
      <c r="I240" s="39"/>
      <c r="J240" s="39">
        <v>50000</v>
      </c>
    </row>
    <row r="241" spans="1:10">
      <c r="A241" s="28">
        <v>46123</v>
      </c>
      <c r="B241" s="34" t="s">
        <v>31</v>
      </c>
      <c r="C241" s="37">
        <f t="shared" si="0"/>
        <v>17.62</v>
      </c>
      <c r="D241" s="39">
        <v>9.74</v>
      </c>
      <c r="E241" s="39">
        <v>2.59</v>
      </c>
      <c r="F241" s="39">
        <v>5.29</v>
      </c>
      <c r="G241" s="39"/>
      <c r="H241" s="39"/>
      <c r="I241" s="39"/>
      <c r="J241" s="39"/>
    </row>
    <row r="242" spans="1:10">
      <c r="A242" s="28">
        <v>46124</v>
      </c>
      <c r="B242" s="34" t="s">
        <v>49</v>
      </c>
      <c r="C242" s="37">
        <f t="shared" si="0"/>
        <v>0</v>
      </c>
      <c r="D242" s="34"/>
      <c r="E242" s="34"/>
      <c r="F242" s="34"/>
      <c r="G242" s="34"/>
      <c r="H242" s="34"/>
      <c r="I242" s="34"/>
      <c r="J242" s="34"/>
    </row>
    <row r="243" spans="1:10">
      <c r="A243" s="28">
        <v>46125</v>
      </c>
      <c r="B243" s="34" t="s">
        <v>69</v>
      </c>
      <c r="C243" s="37">
        <f t="shared" si="0"/>
        <v>35.83</v>
      </c>
      <c r="D243" s="34">
        <v>21.71</v>
      </c>
      <c r="E243" s="34">
        <v>7.52</v>
      </c>
      <c r="F243" s="34">
        <v>6.6</v>
      </c>
      <c r="G243" s="34"/>
      <c r="H243" s="34"/>
      <c r="I243" s="34"/>
      <c r="J243" s="34"/>
    </row>
    <row r="244" spans="1:10">
      <c r="A244" s="28">
        <v>46126</v>
      </c>
      <c r="B244" s="34" t="s">
        <v>72</v>
      </c>
      <c r="C244" s="37">
        <f t="shared" si="0"/>
        <v>10.33</v>
      </c>
      <c r="D244" s="34">
        <v>4.9400000000000004</v>
      </c>
      <c r="E244" s="34">
        <v>2.16</v>
      </c>
      <c r="F244" s="34">
        <v>3.23</v>
      </c>
      <c r="G244" s="34"/>
      <c r="H244" s="34"/>
      <c r="I244" s="34"/>
      <c r="J244" s="34"/>
    </row>
    <row r="245" spans="1:10">
      <c r="A245" s="28">
        <v>46127</v>
      </c>
      <c r="B245" s="34" t="s">
        <v>79</v>
      </c>
      <c r="C245" s="37">
        <f t="shared" si="0"/>
        <v>15.16</v>
      </c>
      <c r="D245" s="34">
        <v>8.17</v>
      </c>
      <c r="E245" s="34">
        <v>3.76</v>
      </c>
      <c r="F245" s="34">
        <v>3.23</v>
      </c>
      <c r="G245" s="34"/>
      <c r="H245" s="34"/>
      <c r="I245" s="34"/>
      <c r="J245" s="34"/>
    </row>
    <row r="246" spans="1:10">
      <c r="A246" s="28">
        <v>46128</v>
      </c>
      <c r="B246" s="34" t="s">
        <v>83</v>
      </c>
      <c r="C246" s="37">
        <f t="shared" si="0"/>
        <v>13.62</v>
      </c>
      <c r="D246" s="34">
        <v>6.52</v>
      </c>
      <c r="E246" s="34">
        <v>3.43</v>
      </c>
      <c r="F246" s="34">
        <v>3.67</v>
      </c>
      <c r="G246" s="34"/>
      <c r="H246" s="34"/>
      <c r="I246" s="34"/>
      <c r="J246" s="34"/>
    </row>
    <row r="247" spans="1:10">
      <c r="A247" s="28">
        <v>46129</v>
      </c>
      <c r="B247" s="34" t="s">
        <v>34</v>
      </c>
      <c r="C247" s="37">
        <f t="shared" si="0"/>
        <v>10.199999999999999</v>
      </c>
      <c r="D247" s="34">
        <v>10.199999999999999</v>
      </c>
      <c r="E247" s="34"/>
      <c r="F247" s="34"/>
      <c r="G247" s="34"/>
      <c r="H247" s="34"/>
      <c r="I247" s="34"/>
      <c r="J247" s="34"/>
    </row>
    <row r="248" spans="1:10">
      <c r="A248" s="28">
        <v>46130</v>
      </c>
      <c r="B248" s="34" t="s">
        <v>31</v>
      </c>
      <c r="C248" s="37">
        <f t="shared" si="0"/>
        <v>9.5599999999999987</v>
      </c>
      <c r="D248" s="34">
        <v>6.05</v>
      </c>
      <c r="E248" s="34">
        <v>3.51</v>
      </c>
      <c r="F248" s="34"/>
      <c r="G248" s="34"/>
      <c r="H248" s="34"/>
      <c r="I248" s="34"/>
      <c r="J248" s="34"/>
    </row>
    <row r="249" spans="1:10">
      <c r="A249" s="28">
        <v>46131</v>
      </c>
      <c r="B249" s="34" t="s">
        <v>49</v>
      </c>
      <c r="C249" s="37">
        <f t="shared" si="0"/>
        <v>0</v>
      </c>
      <c r="D249" s="34"/>
      <c r="E249" s="34"/>
      <c r="F249" s="34"/>
      <c r="G249" s="34"/>
      <c r="H249" s="34"/>
      <c r="I249" s="34"/>
      <c r="J249" s="34"/>
    </row>
    <row r="250" spans="1:10">
      <c r="A250" s="28">
        <v>46132</v>
      </c>
      <c r="B250" s="34" t="s">
        <v>69</v>
      </c>
      <c r="C250" s="37">
        <f t="shared" si="0"/>
        <v>21.42</v>
      </c>
      <c r="D250" s="34">
        <v>18.170000000000002</v>
      </c>
      <c r="E250" s="34">
        <v>3.25</v>
      </c>
      <c r="F250" s="34"/>
      <c r="G250" s="34"/>
      <c r="H250" s="34"/>
      <c r="I250" s="34"/>
      <c r="J250" s="34"/>
    </row>
    <row r="251" spans="1:10">
      <c r="A251" s="28">
        <v>46133</v>
      </c>
      <c r="B251" s="34" t="s">
        <v>72</v>
      </c>
      <c r="C251" s="37">
        <f t="shared" si="0"/>
        <v>7.46</v>
      </c>
      <c r="D251" s="34">
        <v>5.64</v>
      </c>
      <c r="E251" s="34">
        <v>1.82</v>
      </c>
      <c r="F251" s="34"/>
      <c r="G251" s="34"/>
      <c r="H251" s="34"/>
      <c r="I251" s="34"/>
      <c r="J251" s="34"/>
    </row>
    <row r="252" spans="1:10">
      <c r="A252" s="28">
        <v>46134</v>
      </c>
      <c r="B252" s="34" t="s">
        <v>79</v>
      </c>
      <c r="C252" s="37">
        <f t="shared" si="0"/>
        <v>7.3</v>
      </c>
      <c r="D252" s="34">
        <v>6.25</v>
      </c>
      <c r="E252" s="34">
        <v>1.05</v>
      </c>
      <c r="F252" s="34"/>
      <c r="G252" s="34"/>
      <c r="H252" s="34"/>
      <c r="I252" s="34"/>
      <c r="J252" s="34"/>
    </row>
    <row r="253" spans="1:10">
      <c r="A253" s="28">
        <v>46135</v>
      </c>
      <c r="B253" s="34" t="s">
        <v>83</v>
      </c>
      <c r="C253" s="37">
        <f t="shared" si="0"/>
        <v>8.84</v>
      </c>
      <c r="D253" s="34">
        <v>6.73</v>
      </c>
      <c r="E253" s="34">
        <v>2.11</v>
      </c>
      <c r="F253" s="34"/>
      <c r="G253" s="34"/>
      <c r="H253" s="34"/>
      <c r="I253" s="34"/>
      <c r="J253" s="34"/>
    </row>
    <row r="254" spans="1:10">
      <c r="A254" s="28">
        <v>46136</v>
      </c>
      <c r="B254" s="34" t="s">
        <v>34</v>
      </c>
      <c r="C254" s="37">
        <f t="shared" si="0"/>
        <v>6.6199999999999992</v>
      </c>
      <c r="D254" s="34">
        <v>3.86</v>
      </c>
      <c r="E254" s="34">
        <v>2.76</v>
      </c>
      <c r="F254" s="34"/>
      <c r="G254" s="34"/>
      <c r="H254" s="34"/>
      <c r="I254" s="34"/>
      <c r="J254" s="34"/>
    </row>
    <row r="255" spans="1:10">
      <c r="A255" s="28">
        <v>46137</v>
      </c>
      <c r="B255" s="34" t="s">
        <v>31</v>
      </c>
      <c r="C255" s="37">
        <f t="shared" si="0"/>
        <v>7.51</v>
      </c>
      <c r="D255" s="34">
        <v>3.73</v>
      </c>
      <c r="E255" s="34">
        <v>3.78</v>
      </c>
      <c r="F255" s="34"/>
      <c r="G255" s="34"/>
      <c r="H255" s="34"/>
      <c r="I255" s="34"/>
      <c r="J255" s="34"/>
    </row>
    <row r="256" spans="1:10">
      <c r="A256" s="28">
        <v>46138</v>
      </c>
      <c r="B256" s="34" t="s">
        <v>49</v>
      </c>
      <c r="C256" s="37">
        <f t="shared" si="0"/>
        <v>0</v>
      </c>
      <c r="D256" s="34"/>
      <c r="E256" s="34"/>
      <c r="F256" s="34"/>
      <c r="G256" s="34"/>
      <c r="H256" s="34"/>
      <c r="I256" s="34"/>
      <c r="J256" s="34"/>
    </row>
    <row r="257" spans="1:10">
      <c r="A257" s="28">
        <v>46139</v>
      </c>
      <c r="B257" s="34" t="s">
        <v>69</v>
      </c>
      <c r="C257" s="37">
        <f t="shared" ref="C257:C417" si="1">SUM(D257:I257)</f>
        <v>23.42</v>
      </c>
      <c r="D257" s="34">
        <v>15</v>
      </c>
      <c r="E257" s="34">
        <v>5.44</v>
      </c>
      <c r="F257" s="34">
        <v>2.98</v>
      </c>
      <c r="G257" s="34"/>
      <c r="H257" s="34"/>
      <c r="I257" s="34"/>
      <c r="J257" s="34"/>
    </row>
    <row r="258" spans="1:10">
      <c r="A258" s="28">
        <v>46140</v>
      </c>
      <c r="B258" s="34" t="s">
        <v>72</v>
      </c>
      <c r="C258" s="37">
        <f t="shared" si="1"/>
        <v>7.57</v>
      </c>
      <c r="D258" s="34">
        <v>5.12</v>
      </c>
      <c r="E258" s="34">
        <v>1.25</v>
      </c>
      <c r="F258" s="34">
        <v>1.2</v>
      </c>
      <c r="G258" s="34"/>
      <c r="H258" s="34"/>
      <c r="I258" s="34"/>
      <c r="J258" s="34"/>
    </row>
    <row r="259" spans="1:10">
      <c r="A259" s="28">
        <v>46141</v>
      </c>
      <c r="B259" s="34" t="s">
        <v>79</v>
      </c>
      <c r="C259" s="37">
        <f t="shared" si="1"/>
        <v>7.2100000000000009</v>
      </c>
      <c r="D259" s="34">
        <v>3.6</v>
      </c>
      <c r="E259" s="34">
        <v>2.13</v>
      </c>
      <c r="F259" s="34">
        <v>1.48</v>
      </c>
      <c r="G259" s="34"/>
      <c r="H259" s="34"/>
      <c r="I259" s="34"/>
      <c r="J259" s="34"/>
    </row>
    <row r="260" spans="1:10">
      <c r="A260" s="28">
        <v>46142</v>
      </c>
      <c r="B260" s="34" t="s">
        <v>83</v>
      </c>
      <c r="C260" s="37">
        <f t="shared" si="1"/>
        <v>3.51</v>
      </c>
      <c r="D260" s="34">
        <v>1.48</v>
      </c>
      <c r="E260" s="34">
        <v>2.0299999999999998</v>
      </c>
      <c r="F260" s="34"/>
      <c r="G260" s="34"/>
      <c r="H260" s="34"/>
      <c r="I260" s="34"/>
      <c r="J260" s="34"/>
    </row>
    <row r="261" spans="1:10">
      <c r="A261" s="28">
        <v>46143</v>
      </c>
      <c r="B261" s="34" t="s">
        <v>34</v>
      </c>
      <c r="C261" s="37">
        <f t="shared" si="1"/>
        <v>12.75</v>
      </c>
      <c r="D261" s="34">
        <v>4.47</v>
      </c>
      <c r="E261" s="34">
        <v>1.74</v>
      </c>
      <c r="F261" s="34">
        <v>6.54</v>
      </c>
      <c r="G261" s="34"/>
      <c r="H261" s="34"/>
      <c r="I261" s="34"/>
      <c r="J261" s="34"/>
    </row>
    <row r="262" spans="1:10">
      <c r="A262" s="28">
        <v>46144</v>
      </c>
      <c r="B262" s="34" t="s">
        <v>31</v>
      </c>
      <c r="C262" s="37">
        <f t="shared" si="1"/>
        <v>13.39</v>
      </c>
      <c r="D262" s="34">
        <v>9.42</v>
      </c>
      <c r="E262" s="34">
        <v>3.97</v>
      </c>
      <c r="F262" s="34"/>
      <c r="G262" s="34"/>
      <c r="H262" s="34"/>
      <c r="I262" s="34"/>
      <c r="J262" s="34"/>
    </row>
    <row r="263" spans="1:10">
      <c r="A263" s="28">
        <v>46145</v>
      </c>
      <c r="B263" s="34" t="s">
        <v>49</v>
      </c>
      <c r="C263" s="37">
        <f t="shared" si="1"/>
        <v>0</v>
      </c>
      <c r="D263" s="34"/>
      <c r="E263" s="34"/>
      <c r="F263" s="34"/>
      <c r="G263" s="34"/>
      <c r="H263" s="34"/>
      <c r="I263" s="34"/>
      <c r="J263" s="34"/>
    </row>
    <row r="264" spans="1:10">
      <c r="A264" s="28">
        <v>46146</v>
      </c>
      <c r="B264" s="34" t="s">
        <v>69</v>
      </c>
      <c r="C264" s="37">
        <f t="shared" si="1"/>
        <v>22.939999999999998</v>
      </c>
      <c r="D264" s="34">
        <v>16.16</v>
      </c>
      <c r="E264" s="34">
        <v>5.35</v>
      </c>
      <c r="F264" s="34">
        <v>1.43</v>
      </c>
      <c r="G264" s="34"/>
      <c r="H264" s="34"/>
      <c r="I264" s="34"/>
      <c r="J264" s="34"/>
    </row>
    <row r="265" spans="1:10">
      <c r="A265" s="28">
        <v>46147</v>
      </c>
      <c r="B265" s="34" t="s">
        <v>72</v>
      </c>
      <c r="C265" s="37">
        <f t="shared" si="1"/>
        <v>7.76</v>
      </c>
      <c r="D265" s="34">
        <v>5.42</v>
      </c>
      <c r="E265" s="34">
        <v>1.71</v>
      </c>
      <c r="F265" s="34">
        <v>0.63</v>
      </c>
      <c r="G265" s="34"/>
      <c r="H265" s="34"/>
      <c r="I265" s="34"/>
      <c r="J265" s="34"/>
    </row>
    <row r="266" spans="1:10">
      <c r="A266" s="28">
        <v>46148</v>
      </c>
      <c r="B266" s="34" t="s">
        <v>79</v>
      </c>
      <c r="C266" s="37">
        <f t="shared" si="1"/>
        <v>10.65</v>
      </c>
      <c r="D266" s="34">
        <v>8.07</v>
      </c>
      <c r="E266" s="34">
        <v>2.58</v>
      </c>
      <c r="F266" s="34"/>
      <c r="G266" s="34"/>
      <c r="H266" s="34"/>
      <c r="I266" s="34"/>
      <c r="J266" s="34"/>
    </row>
    <row r="267" spans="1:10">
      <c r="A267" s="28">
        <v>46149</v>
      </c>
      <c r="B267" s="34" t="s">
        <v>83</v>
      </c>
      <c r="C267" s="37">
        <f t="shared" si="1"/>
        <v>5.7</v>
      </c>
      <c r="D267" s="34">
        <v>2.37</v>
      </c>
      <c r="E267" s="34">
        <v>1.71</v>
      </c>
      <c r="F267" s="34">
        <v>1.62</v>
      </c>
      <c r="G267" s="34"/>
      <c r="H267" s="34"/>
      <c r="I267" s="34"/>
      <c r="J267" s="34"/>
    </row>
    <row r="268" spans="1:10">
      <c r="A268" s="28">
        <v>46150</v>
      </c>
      <c r="B268" s="34" t="s">
        <v>34</v>
      </c>
      <c r="C268" s="37">
        <f t="shared" si="1"/>
        <v>11.760000000000002</v>
      </c>
      <c r="D268" s="34">
        <v>5.53</v>
      </c>
      <c r="E268" s="34">
        <v>6.23</v>
      </c>
      <c r="F268" s="34"/>
      <c r="G268" s="34"/>
      <c r="H268" s="34"/>
      <c r="I268" s="34"/>
      <c r="J268" s="34">
        <v>50000</v>
      </c>
    </row>
    <row r="269" spans="1:10">
      <c r="A269" s="28">
        <v>46151</v>
      </c>
      <c r="B269" s="34" t="s">
        <v>31</v>
      </c>
      <c r="C269" s="37">
        <f t="shared" si="1"/>
        <v>16.190000000000001</v>
      </c>
      <c r="D269" s="34">
        <v>9.31</v>
      </c>
      <c r="E269" s="34">
        <v>6.88</v>
      </c>
      <c r="F269" s="34"/>
      <c r="G269" s="34"/>
      <c r="H269" s="34"/>
      <c r="I269" s="34"/>
      <c r="J269" s="34"/>
    </row>
    <row r="270" spans="1:10">
      <c r="A270" s="28">
        <v>46152</v>
      </c>
      <c r="B270" s="34" t="s">
        <v>49</v>
      </c>
      <c r="C270" s="37">
        <f t="shared" si="1"/>
        <v>0</v>
      </c>
      <c r="D270" s="34"/>
      <c r="E270" s="34"/>
      <c r="F270" s="34"/>
      <c r="G270" s="34"/>
      <c r="H270" s="34"/>
      <c r="I270" s="34"/>
      <c r="J270" s="34"/>
    </row>
    <row r="271" spans="1:10">
      <c r="A271" s="28">
        <v>46153</v>
      </c>
      <c r="B271" s="34" t="s">
        <v>69</v>
      </c>
      <c r="C271" s="37">
        <f t="shared" si="1"/>
        <v>23.8</v>
      </c>
      <c r="D271" s="34">
        <v>10.81</v>
      </c>
      <c r="E271" s="34">
        <v>9.36</v>
      </c>
      <c r="F271" s="34">
        <v>3.18</v>
      </c>
      <c r="G271" s="34">
        <v>0.45</v>
      </c>
      <c r="H271" s="34"/>
      <c r="I271" s="34"/>
      <c r="J271" s="34"/>
    </row>
    <row r="272" spans="1:10">
      <c r="A272" s="28">
        <v>46154</v>
      </c>
      <c r="B272" s="34" t="s">
        <v>72</v>
      </c>
      <c r="C272" s="37">
        <f t="shared" si="1"/>
        <v>5.0199999999999996</v>
      </c>
      <c r="D272" s="34">
        <v>2.65</v>
      </c>
      <c r="E272" s="34">
        <v>2.37</v>
      </c>
      <c r="F272" s="34"/>
      <c r="G272" s="34"/>
      <c r="H272" s="34"/>
      <c r="I272" s="34"/>
      <c r="J272" s="34"/>
    </row>
    <row r="273" spans="1:10">
      <c r="A273" s="28">
        <v>46155</v>
      </c>
      <c r="B273" s="34" t="s">
        <v>79</v>
      </c>
      <c r="C273" s="37">
        <f t="shared" si="1"/>
        <v>18.86</v>
      </c>
      <c r="D273" s="34">
        <v>13.54</v>
      </c>
      <c r="E273" s="34">
        <v>5.32</v>
      </c>
      <c r="F273" s="34"/>
      <c r="G273" s="34"/>
      <c r="H273" s="34"/>
      <c r="I273" s="34"/>
      <c r="J273" s="34"/>
    </row>
    <row r="274" spans="1:10">
      <c r="A274" s="28">
        <v>46156</v>
      </c>
      <c r="B274" s="34" t="s">
        <v>83</v>
      </c>
      <c r="C274" s="37">
        <f t="shared" si="1"/>
        <v>15.45</v>
      </c>
      <c r="D274" s="34">
        <v>11.52</v>
      </c>
      <c r="E274" s="34">
        <v>3.93</v>
      </c>
      <c r="F274" s="34"/>
      <c r="G274" s="34"/>
      <c r="H274" s="34"/>
      <c r="I274" s="34"/>
      <c r="J274" s="34"/>
    </row>
    <row r="275" spans="1:10">
      <c r="A275" s="28">
        <v>46157</v>
      </c>
      <c r="B275" s="34" t="s">
        <v>34</v>
      </c>
      <c r="C275" s="37">
        <f t="shared" si="1"/>
        <v>12.44</v>
      </c>
      <c r="D275" s="34">
        <v>8.43</v>
      </c>
      <c r="E275" s="34">
        <v>4.01</v>
      </c>
      <c r="F275" s="34"/>
      <c r="G275" s="34"/>
      <c r="H275" s="34"/>
      <c r="I275" s="34"/>
      <c r="J275" s="34"/>
    </row>
    <row r="276" spans="1:10">
      <c r="A276" s="28">
        <v>46158</v>
      </c>
      <c r="B276" s="34" t="s">
        <v>31</v>
      </c>
      <c r="C276" s="37">
        <f t="shared" si="1"/>
        <v>0</v>
      </c>
      <c r="D276" s="34"/>
      <c r="E276" s="34"/>
      <c r="F276" s="34"/>
      <c r="G276" s="34"/>
      <c r="H276" s="34"/>
      <c r="I276" s="34"/>
      <c r="J276" s="34"/>
    </row>
    <row r="277" spans="1:10">
      <c r="A277" s="28">
        <v>46159</v>
      </c>
      <c r="B277" s="34" t="s">
        <v>49</v>
      </c>
      <c r="C277" s="37">
        <f t="shared" si="1"/>
        <v>13.54</v>
      </c>
      <c r="D277" s="34">
        <v>13.54</v>
      </c>
      <c r="E277" s="34"/>
      <c r="F277" s="34"/>
      <c r="G277" s="34"/>
      <c r="H277" s="34"/>
      <c r="I277" s="34"/>
      <c r="J277" s="34"/>
    </row>
    <row r="278" spans="1:10">
      <c r="A278" s="28">
        <v>46160</v>
      </c>
      <c r="B278" s="34" t="s">
        <v>69</v>
      </c>
      <c r="C278" s="37">
        <f t="shared" si="1"/>
        <v>68.36999999999999</v>
      </c>
      <c r="D278" s="34">
        <v>62.16</v>
      </c>
      <c r="E278" s="34">
        <v>6.21</v>
      </c>
      <c r="F278" s="34"/>
      <c r="G278" s="34"/>
      <c r="H278" s="34"/>
      <c r="I278" s="34"/>
      <c r="J278" s="34"/>
    </row>
    <row r="279" spans="1:10">
      <c r="A279" s="28">
        <v>46161</v>
      </c>
      <c r="B279" s="34" t="s">
        <v>72</v>
      </c>
      <c r="C279" s="37">
        <f t="shared" si="1"/>
        <v>17.34</v>
      </c>
      <c r="D279" s="34">
        <v>13.32</v>
      </c>
      <c r="E279" s="34">
        <v>4.0199999999999996</v>
      </c>
      <c r="F279" s="34"/>
      <c r="G279" s="34"/>
      <c r="H279" s="34"/>
      <c r="I279" s="34"/>
      <c r="J279" s="34"/>
    </row>
    <row r="280" spans="1:10">
      <c r="A280" s="28">
        <v>46162</v>
      </c>
      <c r="B280" s="34" t="s">
        <v>79</v>
      </c>
      <c r="C280" s="37">
        <f t="shared" si="1"/>
        <v>15.66</v>
      </c>
      <c r="D280" s="34">
        <v>5.97</v>
      </c>
      <c r="E280" s="34">
        <v>3.33</v>
      </c>
      <c r="F280" s="34">
        <v>0.59</v>
      </c>
      <c r="G280" s="34">
        <v>5.77</v>
      </c>
      <c r="H280" s="34"/>
      <c r="I280" s="34"/>
      <c r="J280" s="34"/>
    </row>
    <row r="281" spans="1:10">
      <c r="A281" s="28">
        <v>46163</v>
      </c>
      <c r="B281" s="34" t="s">
        <v>83</v>
      </c>
      <c r="C281" s="37">
        <f t="shared" si="1"/>
        <v>10.97</v>
      </c>
      <c r="D281" s="34">
        <v>10.56</v>
      </c>
      <c r="E281" s="34">
        <v>0.41</v>
      </c>
      <c r="F281" s="34"/>
      <c r="G281" s="34"/>
      <c r="H281" s="34"/>
      <c r="I281" s="34"/>
      <c r="J281" s="34"/>
    </row>
    <row r="282" spans="1:10">
      <c r="A282" s="28">
        <v>46164</v>
      </c>
      <c r="B282" s="34" t="s">
        <v>34</v>
      </c>
      <c r="C282" s="37">
        <f t="shared" si="1"/>
        <v>9.3999999999999986</v>
      </c>
      <c r="D282" s="34">
        <v>5.56</v>
      </c>
      <c r="E282" s="34">
        <v>3.84</v>
      </c>
      <c r="F282" s="34"/>
      <c r="G282" s="34"/>
      <c r="H282" s="34"/>
      <c r="I282" s="34"/>
      <c r="J282" s="34"/>
    </row>
    <row r="283" spans="1:10">
      <c r="A283" s="28">
        <v>46165</v>
      </c>
      <c r="B283" s="34" t="s">
        <v>31</v>
      </c>
      <c r="C283" s="37">
        <f t="shared" si="1"/>
        <v>10.74</v>
      </c>
      <c r="D283" s="34">
        <v>6.96</v>
      </c>
      <c r="E283" s="34">
        <v>3.78</v>
      </c>
      <c r="F283" s="34"/>
      <c r="G283" s="34"/>
      <c r="H283" s="34"/>
      <c r="I283" s="34"/>
      <c r="J283" s="34"/>
    </row>
    <row r="284" spans="1:10">
      <c r="A284" s="28">
        <v>46166</v>
      </c>
      <c r="B284" s="34" t="s">
        <v>49</v>
      </c>
      <c r="C284" s="37">
        <f t="shared" si="1"/>
        <v>0</v>
      </c>
      <c r="D284" s="34"/>
      <c r="E284" s="34"/>
      <c r="F284" s="34"/>
      <c r="G284" s="34"/>
      <c r="H284" s="34"/>
      <c r="I284" s="34"/>
      <c r="J284" s="34"/>
    </row>
    <row r="285" spans="1:10">
      <c r="A285" s="28">
        <v>46167</v>
      </c>
      <c r="B285" s="34" t="s">
        <v>69</v>
      </c>
      <c r="C285" s="37">
        <f t="shared" si="1"/>
        <v>26.86</v>
      </c>
      <c r="D285" s="34">
        <v>20.100000000000001</v>
      </c>
      <c r="E285" s="34">
        <v>5.79</v>
      </c>
      <c r="F285" s="34">
        <v>0.97</v>
      </c>
      <c r="G285" s="34"/>
      <c r="H285" s="34"/>
      <c r="I285" s="34"/>
      <c r="J285" s="34"/>
    </row>
    <row r="286" spans="1:10">
      <c r="A286" s="28">
        <v>46168</v>
      </c>
      <c r="B286" s="34" t="s">
        <v>72</v>
      </c>
      <c r="C286" s="37">
        <f t="shared" si="1"/>
        <v>10.280000000000001</v>
      </c>
      <c r="D286" s="34">
        <v>7.37</v>
      </c>
      <c r="E286" s="34">
        <v>2.91</v>
      </c>
      <c r="F286" s="34"/>
      <c r="G286" s="34"/>
      <c r="H286" s="34"/>
      <c r="I286" s="34"/>
      <c r="J286" s="34"/>
    </row>
    <row r="287" spans="1:10">
      <c r="A287" s="28">
        <v>46169</v>
      </c>
      <c r="B287" s="34" t="s">
        <v>79</v>
      </c>
      <c r="C287" s="37">
        <f t="shared" si="1"/>
        <v>12.290000000000001</v>
      </c>
      <c r="D287" s="34">
        <v>9.57</v>
      </c>
      <c r="E287" s="34">
        <v>2.72</v>
      </c>
      <c r="F287" s="34"/>
      <c r="G287" s="34"/>
      <c r="H287" s="34"/>
      <c r="I287" s="34"/>
      <c r="J287" s="34"/>
    </row>
    <row r="288" spans="1:10">
      <c r="A288" s="28">
        <v>46170</v>
      </c>
      <c r="B288" s="34" t="s">
        <v>83</v>
      </c>
      <c r="C288" s="37">
        <f t="shared" si="1"/>
        <v>12.205475000000003</v>
      </c>
      <c r="D288" s="178">
        <v>12.205475000000003</v>
      </c>
      <c r="E288" s="34"/>
      <c r="F288" s="34"/>
      <c r="G288" s="34"/>
      <c r="H288" s="34"/>
      <c r="I288" s="34"/>
      <c r="J288" s="34"/>
    </row>
    <row r="289" spans="1:10">
      <c r="A289" s="28">
        <v>46171</v>
      </c>
      <c r="B289" s="34" t="s">
        <v>34</v>
      </c>
      <c r="C289" s="37">
        <f t="shared" si="1"/>
        <v>20.66</v>
      </c>
      <c r="D289" s="52">
        <v>16.850000000000001</v>
      </c>
      <c r="E289" s="34">
        <v>3.81</v>
      </c>
      <c r="F289" s="34"/>
      <c r="G289" s="34"/>
      <c r="H289" s="34"/>
      <c r="I289" s="34"/>
      <c r="J289" s="34"/>
    </row>
    <row r="290" spans="1:10">
      <c r="A290" s="28">
        <v>46172</v>
      </c>
      <c r="B290" s="34" t="s">
        <v>31</v>
      </c>
      <c r="C290" s="37">
        <f t="shared" si="1"/>
        <v>35.78</v>
      </c>
      <c r="D290" s="34">
        <v>24.93</v>
      </c>
      <c r="E290" s="52">
        <v>3.86</v>
      </c>
      <c r="F290" s="34">
        <v>1.06</v>
      </c>
      <c r="G290" s="34">
        <v>5.93</v>
      </c>
      <c r="H290" s="34"/>
      <c r="I290" s="34"/>
      <c r="J290" s="34"/>
    </row>
    <row r="291" spans="1:10">
      <c r="A291" s="28">
        <v>46173</v>
      </c>
      <c r="B291" s="34" t="s">
        <v>49</v>
      </c>
      <c r="C291" s="37">
        <f t="shared" si="1"/>
        <v>0</v>
      </c>
      <c r="D291" s="34"/>
      <c r="E291" s="34"/>
      <c r="F291" s="34"/>
      <c r="G291" s="34"/>
      <c r="H291" s="34"/>
      <c r="I291" s="34"/>
      <c r="J291" s="34"/>
    </row>
    <row r="292" spans="1:10">
      <c r="A292" s="28">
        <v>46174</v>
      </c>
      <c r="B292" s="34" t="s">
        <v>69</v>
      </c>
      <c r="C292" s="37">
        <f t="shared" si="1"/>
        <v>46.89</v>
      </c>
      <c r="D292" s="34">
        <v>46.89</v>
      </c>
      <c r="E292" s="34"/>
      <c r="F292" s="34"/>
      <c r="G292" s="34"/>
      <c r="H292" s="34"/>
      <c r="I292" s="34"/>
      <c r="J292" s="34"/>
    </row>
    <row r="293" spans="1:10">
      <c r="A293" s="28">
        <v>46175</v>
      </c>
      <c r="B293" s="34" t="s">
        <v>72</v>
      </c>
      <c r="C293" s="37">
        <f t="shared" si="1"/>
        <v>36.770000000000003</v>
      </c>
      <c r="D293" s="34">
        <v>29.87</v>
      </c>
      <c r="E293" s="34">
        <v>3.91</v>
      </c>
      <c r="F293" s="34">
        <v>2.99</v>
      </c>
      <c r="G293" s="34"/>
      <c r="H293" s="34"/>
      <c r="I293" s="34"/>
      <c r="J293" s="34"/>
    </row>
    <row r="294" spans="1:10">
      <c r="A294" s="28">
        <v>46176</v>
      </c>
      <c r="B294" s="34" t="s">
        <v>79</v>
      </c>
      <c r="C294" s="37">
        <f t="shared" si="1"/>
        <v>22.990000000000002</v>
      </c>
      <c r="D294" s="34">
        <v>16.09</v>
      </c>
      <c r="E294" s="34">
        <v>2.75</v>
      </c>
      <c r="F294" s="34">
        <v>4.1500000000000004</v>
      </c>
      <c r="G294" s="34"/>
      <c r="H294" s="34"/>
      <c r="I294" s="34"/>
      <c r="J294" s="34"/>
    </row>
    <row r="295" spans="1:10">
      <c r="A295" s="28">
        <v>46177</v>
      </c>
      <c r="B295" s="34" t="s">
        <v>83</v>
      </c>
      <c r="C295" s="37">
        <f t="shared" si="1"/>
        <v>33.879999999999995</v>
      </c>
      <c r="D295" s="34">
        <v>21.77</v>
      </c>
      <c r="E295" s="34">
        <v>10.78</v>
      </c>
      <c r="F295" s="34">
        <v>1.33</v>
      </c>
      <c r="G295" s="34"/>
      <c r="H295" s="34"/>
      <c r="I295" s="34"/>
      <c r="J295" s="34"/>
    </row>
    <row r="296" spans="1:10">
      <c r="A296" s="28">
        <v>46178</v>
      </c>
      <c r="B296" s="34" t="s">
        <v>34</v>
      </c>
      <c r="C296" s="37">
        <f t="shared" si="1"/>
        <v>23.53</v>
      </c>
      <c r="D296" s="34">
        <v>16.75</v>
      </c>
      <c r="E296" s="34">
        <v>6.78</v>
      </c>
      <c r="F296" s="34"/>
      <c r="G296" s="34"/>
      <c r="H296" s="34"/>
      <c r="I296" s="34"/>
      <c r="J296" s="34"/>
    </row>
    <row r="297" spans="1:10">
      <c r="A297" s="28">
        <v>46179</v>
      </c>
      <c r="B297" s="34" t="s">
        <v>31</v>
      </c>
      <c r="C297" s="37">
        <f t="shared" si="1"/>
        <v>29.439999999999998</v>
      </c>
      <c r="D297" s="34">
        <v>22.63</v>
      </c>
      <c r="E297" s="34">
        <v>4.82</v>
      </c>
      <c r="F297" s="34">
        <v>1.99</v>
      </c>
      <c r="G297" s="34"/>
      <c r="H297" s="34"/>
      <c r="I297" s="34"/>
      <c r="J297" s="34">
        <v>80000</v>
      </c>
    </row>
    <row r="298" spans="1:10">
      <c r="A298" s="28">
        <v>46180</v>
      </c>
      <c r="B298" s="34" t="s">
        <v>49</v>
      </c>
      <c r="C298" s="37">
        <f t="shared" si="1"/>
        <v>0</v>
      </c>
      <c r="D298" s="34"/>
      <c r="E298" s="34"/>
      <c r="F298" s="34"/>
      <c r="G298" s="34"/>
      <c r="H298" s="34"/>
      <c r="I298" s="34"/>
      <c r="J298" s="34"/>
    </row>
    <row r="299" spans="1:10">
      <c r="A299" s="28">
        <v>46181</v>
      </c>
      <c r="B299" s="34" t="s">
        <v>69</v>
      </c>
      <c r="C299" s="37">
        <f t="shared" si="1"/>
        <v>63.36</v>
      </c>
      <c r="D299" s="34">
        <v>51.06</v>
      </c>
      <c r="E299" s="34">
        <v>12.3</v>
      </c>
      <c r="F299" s="34"/>
      <c r="G299" s="34"/>
      <c r="H299" s="34"/>
      <c r="I299" s="34"/>
      <c r="J299" s="34"/>
    </row>
    <row r="300" spans="1:10">
      <c r="A300" s="28">
        <v>46182</v>
      </c>
      <c r="B300" s="34" t="s">
        <v>72</v>
      </c>
      <c r="C300" s="37">
        <f t="shared" si="1"/>
        <v>23.37</v>
      </c>
      <c r="D300" s="34">
        <v>19.05</v>
      </c>
      <c r="E300" s="34">
        <v>4.32</v>
      </c>
      <c r="F300" s="34"/>
      <c r="G300" s="34"/>
      <c r="H300" s="34"/>
      <c r="I300" s="34"/>
      <c r="J300" s="34"/>
    </row>
    <row r="301" spans="1:10">
      <c r="A301" s="28">
        <v>46183</v>
      </c>
      <c r="B301" s="34" t="s">
        <v>79</v>
      </c>
      <c r="C301" s="37">
        <f t="shared" si="1"/>
        <v>20.04</v>
      </c>
      <c r="D301" s="34">
        <v>13.92</v>
      </c>
      <c r="E301" s="34">
        <v>2</v>
      </c>
      <c r="F301" s="34">
        <v>4.12</v>
      </c>
      <c r="G301" s="34"/>
      <c r="H301" s="34"/>
      <c r="I301" s="34"/>
      <c r="J301" s="34"/>
    </row>
    <row r="302" spans="1:10">
      <c r="A302" s="28">
        <v>46184</v>
      </c>
      <c r="B302" s="34" t="s">
        <v>83</v>
      </c>
      <c r="C302" s="37">
        <f t="shared" si="1"/>
        <v>25.23</v>
      </c>
      <c r="D302" s="183">
        <v>15.98</v>
      </c>
      <c r="E302" s="34">
        <v>9.25</v>
      </c>
      <c r="F302" s="34"/>
      <c r="G302" s="34"/>
      <c r="H302" s="34"/>
      <c r="I302" s="34"/>
      <c r="J302" s="34"/>
    </row>
    <row r="303" spans="1:10">
      <c r="A303" s="28">
        <v>46185</v>
      </c>
      <c r="B303" s="34" t="s">
        <v>34</v>
      </c>
      <c r="C303" s="37">
        <f t="shared" si="1"/>
        <v>29.209999999999997</v>
      </c>
      <c r="D303" s="34">
        <v>16.29</v>
      </c>
      <c r="E303" s="34">
        <v>10.36</v>
      </c>
      <c r="F303" s="52">
        <v>2.56</v>
      </c>
      <c r="G303" s="34"/>
      <c r="H303" s="34"/>
      <c r="I303" s="34"/>
      <c r="J303" s="34"/>
    </row>
    <row r="304" spans="1:10">
      <c r="A304" s="28">
        <v>46186</v>
      </c>
      <c r="B304" s="34" t="s">
        <v>31</v>
      </c>
      <c r="C304" s="37">
        <f t="shared" si="1"/>
        <v>18.93</v>
      </c>
      <c r="D304" s="34">
        <v>12.39</v>
      </c>
      <c r="E304" s="34">
        <v>6.54</v>
      </c>
      <c r="F304" s="34"/>
      <c r="G304" s="34"/>
      <c r="H304" s="34"/>
      <c r="I304" s="34"/>
      <c r="J304" s="34"/>
    </row>
    <row r="305" spans="1:10">
      <c r="A305" s="28">
        <v>46187</v>
      </c>
      <c r="B305" s="34" t="s">
        <v>49</v>
      </c>
      <c r="C305" s="37">
        <f t="shared" si="1"/>
        <v>0</v>
      </c>
      <c r="D305" s="34"/>
      <c r="E305" s="34"/>
      <c r="F305" s="34"/>
      <c r="G305" s="34"/>
      <c r="H305" s="34"/>
      <c r="I305" s="34"/>
      <c r="J305" s="34"/>
    </row>
    <row r="306" spans="1:10">
      <c r="A306" s="28">
        <v>46188</v>
      </c>
      <c r="B306" s="34" t="s">
        <v>69</v>
      </c>
      <c r="C306" s="37">
        <f t="shared" si="1"/>
        <v>56.04</v>
      </c>
      <c r="D306" s="52">
        <v>45.4</v>
      </c>
      <c r="E306" s="34">
        <v>10.64</v>
      </c>
      <c r="F306" s="34"/>
      <c r="G306" s="34"/>
      <c r="H306" s="34"/>
      <c r="I306" s="34"/>
      <c r="J306" s="34"/>
    </row>
    <row r="307" spans="1:10">
      <c r="A307" s="28">
        <v>46189</v>
      </c>
      <c r="B307" s="34" t="s">
        <v>72</v>
      </c>
      <c r="C307" s="37">
        <f t="shared" si="1"/>
        <v>19.16</v>
      </c>
      <c r="D307" s="52">
        <v>11.68</v>
      </c>
      <c r="E307" s="52">
        <v>7.48</v>
      </c>
      <c r="F307" s="34"/>
      <c r="G307" s="34"/>
      <c r="H307" s="34"/>
      <c r="I307" s="34"/>
      <c r="J307" s="34"/>
    </row>
    <row r="308" spans="1:10">
      <c r="A308" s="28">
        <v>46190</v>
      </c>
      <c r="B308" s="34" t="s">
        <v>79</v>
      </c>
      <c r="C308" s="37">
        <f t="shared" si="1"/>
        <v>23.14</v>
      </c>
      <c r="D308" s="52">
        <v>12.54</v>
      </c>
      <c r="E308" s="52">
        <v>9.16</v>
      </c>
      <c r="F308" s="178">
        <v>1.44</v>
      </c>
      <c r="G308" s="34"/>
      <c r="H308" s="34"/>
      <c r="I308" s="34"/>
      <c r="J308" s="34"/>
    </row>
    <row r="309" spans="1:10">
      <c r="A309" s="28">
        <v>46191</v>
      </c>
      <c r="B309" s="34" t="s">
        <v>83</v>
      </c>
      <c r="C309" s="37">
        <f t="shared" si="1"/>
        <v>7.95</v>
      </c>
      <c r="D309" s="52">
        <v>7.95</v>
      </c>
      <c r="E309" s="34"/>
      <c r="F309" s="34"/>
      <c r="G309" s="34"/>
      <c r="H309" s="34"/>
      <c r="I309" s="34"/>
      <c r="J309" s="34"/>
    </row>
    <row r="310" spans="1:10">
      <c r="A310" s="28">
        <v>46192</v>
      </c>
      <c r="B310" s="34" t="s">
        <v>34</v>
      </c>
      <c r="C310" s="37">
        <f t="shared" si="1"/>
        <v>4.92</v>
      </c>
      <c r="D310" s="52">
        <v>4.92</v>
      </c>
      <c r="E310" s="52"/>
      <c r="F310" s="34"/>
      <c r="G310" s="34"/>
      <c r="H310" s="34"/>
      <c r="I310" s="34"/>
      <c r="J310" s="34"/>
    </row>
    <row r="311" spans="1:10">
      <c r="A311" s="28">
        <v>46193</v>
      </c>
      <c r="B311" s="34" t="s">
        <v>31</v>
      </c>
      <c r="C311" s="37">
        <f t="shared" si="1"/>
        <v>5.6</v>
      </c>
      <c r="D311" s="52">
        <v>5.6</v>
      </c>
      <c r="E311" s="34"/>
      <c r="F311" s="34"/>
      <c r="G311" s="34"/>
      <c r="H311" s="34"/>
      <c r="I311" s="34"/>
      <c r="J311" s="34"/>
    </row>
    <row r="312" spans="1:10">
      <c r="A312" s="28">
        <v>46194</v>
      </c>
      <c r="B312" s="34" t="s">
        <v>49</v>
      </c>
      <c r="C312" s="37">
        <f t="shared" si="1"/>
        <v>0</v>
      </c>
      <c r="D312" s="52"/>
      <c r="E312" s="34"/>
      <c r="F312" s="34"/>
      <c r="G312" s="34"/>
      <c r="H312" s="34"/>
      <c r="I312" s="34"/>
      <c r="J312" s="34"/>
    </row>
    <row r="313" spans="1:10">
      <c r="A313" s="28">
        <v>46195</v>
      </c>
      <c r="B313" s="34" t="s">
        <v>69</v>
      </c>
      <c r="C313" s="37">
        <f t="shared" si="1"/>
        <v>24.3</v>
      </c>
      <c r="D313" s="52">
        <v>20.170000000000002</v>
      </c>
      <c r="E313" s="34">
        <v>1.08</v>
      </c>
      <c r="F313" s="34">
        <v>3.05</v>
      </c>
      <c r="G313" s="34"/>
      <c r="H313" s="34"/>
      <c r="I313" s="34"/>
      <c r="J313" s="34"/>
    </row>
    <row r="314" spans="1:10">
      <c r="A314" s="28">
        <v>46196</v>
      </c>
      <c r="B314" s="34" t="s">
        <v>72</v>
      </c>
      <c r="C314" s="37">
        <f t="shared" si="1"/>
        <v>11.59</v>
      </c>
      <c r="D314" s="52">
        <v>8.4700000000000006</v>
      </c>
      <c r="E314" s="34">
        <v>3.12</v>
      </c>
      <c r="F314" s="34"/>
      <c r="G314" s="34"/>
      <c r="H314" s="34"/>
      <c r="I314" s="34"/>
      <c r="J314" s="34"/>
    </row>
    <row r="315" spans="1:10">
      <c r="A315" s="28">
        <v>46197</v>
      </c>
      <c r="B315" s="34" t="s">
        <v>79</v>
      </c>
      <c r="C315" s="37">
        <f t="shared" si="1"/>
        <v>8.3699999999999992</v>
      </c>
      <c r="D315" s="52">
        <v>8.3699999999999992</v>
      </c>
      <c r="E315" s="34"/>
      <c r="F315" s="34"/>
      <c r="G315" s="34"/>
      <c r="H315" s="34"/>
      <c r="I315" s="34"/>
      <c r="J315" s="34"/>
    </row>
    <row r="316" spans="1:10">
      <c r="A316" s="28">
        <v>46198</v>
      </c>
      <c r="B316" s="34" t="s">
        <v>83</v>
      </c>
      <c r="C316" s="37">
        <f t="shared" si="1"/>
        <v>13.996456000000002</v>
      </c>
      <c r="D316" s="52">
        <v>13.996456000000002</v>
      </c>
      <c r="E316" s="34"/>
      <c r="F316" s="34"/>
      <c r="G316" s="34"/>
      <c r="H316" s="34"/>
      <c r="I316" s="34"/>
      <c r="J316" s="34"/>
    </row>
    <row r="317" spans="1:10">
      <c r="A317" s="28">
        <v>46199</v>
      </c>
      <c r="B317" s="34" t="s">
        <v>34</v>
      </c>
      <c r="C317" s="37">
        <f t="shared" si="1"/>
        <v>5.71</v>
      </c>
      <c r="D317" s="52">
        <v>5.71</v>
      </c>
      <c r="E317" s="34"/>
      <c r="F317" s="34"/>
      <c r="G317" s="34"/>
      <c r="H317" s="34"/>
      <c r="I317" s="34"/>
      <c r="J317" s="34"/>
    </row>
    <row r="318" spans="1:10">
      <c r="A318" s="28">
        <v>46200</v>
      </c>
      <c r="B318" s="34" t="s">
        <v>31</v>
      </c>
      <c r="C318" s="37">
        <f t="shared" si="1"/>
        <v>7.51</v>
      </c>
      <c r="D318" s="29">
        <v>7.51</v>
      </c>
      <c r="E318" s="34"/>
      <c r="F318" s="34"/>
      <c r="G318" s="34"/>
      <c r="H318" s="34"/>
      <c r="I318" s="34"/>
      <c r="J318" s="34"/>
    </row>
    <row r="319" spans="1:10">
      <c r="A319" s="28">
        <v>46201</v>
      </c>
      <c r="B319" s="34" t="s">
        <v>49</v>
      </c>
      <c r="C319" s="37">
        <f t="shared" si="1"/>
        <v>0</v>
      </c>
      <c r="D319" s="52"/>
      <c r="E319" s="34"/>
      <c r="F319" s="34"/>
      <c r="G319" s="34"/>
      <c r="H319" s="34"/>
      <c r="I319" s="34"/>
      <c r="J319" s="34"/>
    </row>
    <row r="320" spans="1:10">
      <c r="A320" s="28">
        <v>46202</v>
      </c>
      <c r="B320" s="34" t="s">
        <v>69</v>
      </c>
      <c r="C320" s="37">
        <f t="shared" si="1"/>
        <v>29.310000000000002</v>
      </c>
      <c r="D320" s="52">
        <v>20.350000000000001</v>
      </c>
      <c r="E320" s="178">
        <v>6.57</v>
      </c>
      <c r="F320" s="34">
        <v>2.39</v>
      </c>
      <c r="G320" s="34"/>
      <c r="H320" s="34"/>
      <c r="I320" s="34"/>
      <c r="J320" s="34"/>
    </row>
    <row r="321" spans="1:14">
      <c r="A321" s="28">
        <v>46203</v>
      </c>
      <c r="B321" s="34" t="s">
        <v>72</v>
      </c>
      <c r="C321" s="37">
        <f t="shared" si="1"/>
        <v>7.05</v>
      </c>
      <c r="D321" s="52">
        <v>5.84</v>
      </c>
      <c r="E321" s="178">
        <v>1.21</v>
      </c>
      <c r="F321" s="34"/>
      <c r="G321" s="34"/>
      <c r="H321" s="34"/>
      <c r="I321" s="34"/>
      <c r="J321" s="34"/>
    </row>
    <row r="322" spans="1:14">
      <c r="A322" s="28">
        <v>46204</v>
      </c>
      <c r="B322" s="34" t="s">
        <v>79</v>
      </c>
      <c r="C322" s="37">
        <f t="shared" si="1"/>
        <v>0</v>
      </c>
      <c r="D322" s="52"/>
      <c r="E322" s="34"/>
      <c r="F322" s="34"/>
      <c r="G322" s="34"/>
      <c r="H322" s="34"/>
      <c r="I322" s="34"/>
      <c r="J322" s="34"/>
    </row>
    <row r="323" spans="1:14">
      <c r="A323" s="28">
        <v>46205</v>
      </c>
      <c r="B323" s="34" t="s">
        <v>83</v>
      </c>
      <c r="C323" s="37">
        <f t="shared" si="1"/>
        <v>9.879999999999999</v>
      </c>
      <c r="D323" s="52">
        <v>8.35</v>
      </c>
      <c r="E323" s="34">
        <v>1.53</v>
      </c>
      <c r="F323" s="34"/>
      <c r="G323" s="34"/>
      <c r="H323" s="34"/>
      <c r="I323" s="34"/>
      <c r="J323" s="34"/>
    </row>
    <row r="324" spans="1:14">
      <c r="A324" s="28">
        <v>46206</v>
      </c>
      <c r="B324" s="34" t="s">
        <v>34</v>
      </c>
      <c r="C324" s="37">
        <f t="shared" si="1"/>
        <v>8.07</v>
      </c>
      <c r="D324" s="34">
        <v>8.07</v>
      </c>
      <c r="E324" s="34"/>
      <c r="F324" s="34"/>
      <c r="G324" s="34"/>
      <c r="H324" s="34"/>
      <c r="I324" s="34"/>
      <c r="J324" s="34"/>
    </row>
    <row r="325" spans="1:14">
      <c r="A325" s="28">
        <v>46207</v>
      </c>
      <c r="B325" s="34" t="s">
        <v>31</v>
      </c>
      <c r="C325" s="37">
        <f t="shared" si="1"/>
        <v>5.17</v>
      </c>
      <c r="D325" s="93">
        <v>3.39</v>
      </c>
      <c r="E325" s="34">
        <v>1.78</v>
      </c>
      <c r="F325" s="34"/>
      <c r="G325" s="34"/>
      <c r="H325" s="34"/>
      <c r="I325" s="34"/>
      <c r="J325" s="34"/>
    </row>
    <row r="326" spans="1:14">
      <c r="A326" s="28">
        <v>46208</v>
      </c>
      <c r="B326" s="34" t="s">
        <v>49</v>
      </c>
      <c r="C326" s="37">
        <f t="shared" si="1"/>
        <v>0</v>
      </c>
      <c r="D326" s="34"/>
      <c r="E326" s="34"/>
      <c r="F326" s="34"/>
      <c r="G326" s="34"/>
      <c r="H326" s="34"/>
      <c r="I326" s="34"/>
      <c r="J326" s="34"/>
    </row>
    <row r="327" spans="1:14">
      <c r="A327" s="28">
        <v>46209</v>
      </c>
      <c r="B327" s="34" t="s">
        <v>69</v>
      </c>
      <c r="C327" s="37">
        <f t="shared" si="1"/>
        <v>19.7</v>
      </c>
      <c r="D327" s="93">
        <v>19.7</v>
      </c>
      <c r="E327" s="34"/>
      <c r="F327" s="34"/>
      <c r="G327" s="34"/>
      <c r="H327" s="34"/>
      <c r="I327" s="34"/>
      <c r="J327" s="34">
        <v>65000</v>
      </c>
    </row>
    <row r="328" spans="1:14">
      <c r="A328" s="28">
        <v>46210</v>
      </c>
      <c r="B328" s="34" t="s">
        <v>72</v>
      </c>
      <c r="C328" s="37">
        <f t="shared" si="1"/>
        <v>0</v>
      </c>
      <c r="D328" s="34"/>
      <c r="E328" s="34"/>
      <c r="F328" s="34"/>
      <c r="G328" s="34"/>
      <c r="H328" s="34"/>
      <c r="I328" s="34"/>
      <c r="J328" s="34"/>
    </row>
    <row r="329" spans="1:14">
      <c r="A329" s="28">
        <v>46211</v>
      </c>
      <c r="B329" s="34" t="s">
        <v>79</v>
      </c>
      <c r="C329" s="37">
        <f t="shared" si="1"/>
        <v>21.88</v>
      </c>
      <c r="D329" s="34">
        <v>21.88</v>
      </c>
      <c r="E329" s="34"/>
      <c r="F329" s="34"/>
      <c r="G329" s="34"/>
      <c r="H329" s="34"/>
      <c r="I329" s="34"/>
      <c r="J329" s="34"/>
    </row>
    <row r="330" spans="1:14">
      <c r="A330" s="28">
        <v>46212</v>
      </c>
      <c r="B330" s="34" t="s">
        <v>83</v>
      </c>
      <c r="C330" s="37">
        <f t="shared" si="1"/>
        <v>32.800000000000004</v>
      </c>
      <c r="D330" s="17">
        <v>0.69</v>
      </c>
      <c r="E330" s="34">
        <v>16.850000000000001</v>
      </c>
      <c r="F330" s="34">
        <v>15.260000000000002</v>
      </c>
      <c r="G330" s="34"/>
      <c r="H330" s="34"/>
      <c r="I330" s="34"/>
      <c r="J330" s="34"/>
    </row>
    <row r="331" spans="1:14">
      <c r="A331" s="28">
        <v>46213</v>
      </c>
      <c r="B331" s="34" t="s">
        <v>34</v>
      </c>
      <c r="C331" s="37">
        <f t="shared" si="1"/>
        <v>0</v>
      </c>
      <c r="D331" s="34"/>
      <c r="E331" s="34"/>
      <c r="F331" s="34"/>
      <c r="G331" s="34"/>
      <c r="H331" s="34"/>
      <c r="I331" s="34"/>
      <c r="J331" s="34"/>
    </row>
    <row r="332" spans="1:14">
      <c r="A332" s="28">
        <v>46214</v>
      </c>
      <c r="B332" s="34" t="s">
        <v>31</v>
      </c>
      <c r="C332" s="37">
        <f t="shared" si="1"/>
        <v>0</v>
      </c>
      <c r="D332" s="34"/>
      <c r="E332" s="34"/>
      <c r="F332" s="34"/>
      <c r="G332" s="34"/>
      <c r="H332" s="34"/>
      <c r="I332" s="34"/>
      <c r="J332" s="34"/>
      <c r="N332" s="34"/>
    </row>
    <row r="333" spans="1:14">
      <c r="A333" s="28">
        <v>46215</v>
      </c>
      <c r="B333" s="34" t="s">
        <v>49</v>
      </c>
      <c r="C333" s="37">
        <f t="shared" si="1"/>
        <v>0</v>
      </c>
      <c r="D333" s="34"/>
      <c r="E333" s="34"/>
      <c r="F333" s="34"/>
      <c r="G333" s="34"/>
      <c r="H333" s="34"/>
      <c r="I333" s="34"/>
      <c r="J333" s="34"/>
    </row>
    <row r="334" spans="1:14">
      <c r="A334" s="28">
        <v>46216</v>
      </c>
      <c r="B334" s="34" t="s">
        <v>69</v>
      </c>
      <c r="C334" s="37">
        <f t="shared" si="1"/>
        <v>19.71</v>
      </c>
      <c r="D334" s="34">
        <v>19.71</v>
      </c>
      <c r="E334" s="34"/>
      <c r="F334" s="34"/>
      <c r="G334" s="34"/>
      <c r="H334" s="34"/>
      <c r="I334" s="34"/>
      <c r="J334" s="34"/>
    </row>
    <row r="335" spans="1:14">
      <c r="A335" s="28">
        <v>46217</v>
      </c>
      <c r="B335" s="34" t="s">
        <v>72</v>
      </c>
      <c r="C335" s="37">
        <f t="shared" si="1"/>
        <v>0</v>
      </c>
      <c r="D335" s="34"/>
      <c r="E335" s="34"/>
      <c r="F335" s="34"/>
      <c r="G335" s="34"/>
      <c r="H335" s="34"/>
      <c r="I335" s="34"/>
      <c r="J335" s="34"/>
    </row>
    <row r="336" spans="1:14">
      <c r="A336" s="28">
        <v>46218</v>
      </c>
      <c r="B336" s="34" t="s">
        <v>79</v>
      </c>
      <c r="C336" s="37">
        <f t="shared" si="1"/>
        <v>0</v>
      </c>
      <c r="D336" s="34"/>
      <c r="E336" s="34"/>
      <c r="F336" s="34"/>
      <c r="G336" s="34"/>
      <c r="H336" s="34"/>
      <c r="I336" s="34"/>
      <c r="J336" s="34"/>
    </row>
    <row r="337" spans="1:10">
      <c r="A337" s="28">
        <v>46219</v>
      </c>
      <c r="B337" s="34" t="s">
        <v>83</v>
      </c>
      <c r="C337" s="37">
        <f t="shared" si="1"/>
        <v>0</v>
      </c>
      <c r="D337" s="34"/>
      <c r="E337" s="34"/>
      <c r="F337" s="34"/>
      <c r="G337" s="34"/>
      <c r="H337" s="34"/>
      <c r="I337" s="34"/>
      <c r="J337" s="34"/>
    </row>
    <row r="338" spans="1:10">
      <c r="A338" s="28">
        <v>46220</v>
      </c>
      <c r="B338" s="34" t="s">
        <v>34</v>
      </c>
      <c r="C338" s="37">
        <f t="shared" si="1"/>
        <v>0</v>
      </c>
      <c r="D338" s="34"/>
      <c r="E338" s="34"/>
      <c r="F338" s="34"/>
      <c r="G338" s="34"/>
      <c r="H338" s="34"/>
      <c r="I338" s="34"/>
      <c r="J338" s="34"/>
    </row>
    <row r="339" spans="1:10">
      <c r="A339" s="28">
        <v>46221</v>
      </c>
      <c r="B339" s="34" t="s">
        <v>31</v>
      </c>
      <c r="C339" s="37">
        <f t="shared" si="1"/>
        <v>14.89</v>
      </c>
      <c r="D339" s="34">
        <v>14.89</v>
      </c>
      <c r="E339" s="34"/>
      <c r="F339" s="34"/>
      <c r="G339" s="34"/>
      <c r="H339" s="34"/>
      <c r="I339" s="34"/>
      <c r="J339" s="34"/>
    </row>
    <row r="340" spans="1:10">
      <c r="A340" s="28">
        <v>46222</v>
      </c>
      <c r="B340" s="34" t="s">
        <v>49</v>
      </c>
      <c r="C340" s="37">
        <f t="shared" si="1"/>
        <v>0</v>
      </c>
      <c r="D340" s="34"/>
      <c r="E340" s="34"/>
      <c r="F340" s="34"/>
      <c r="G340" s="34"/>
      <c r="H340" s="34"/>
      <c r="I340" s="34"/>
      <c r="J340" s="34"/>
    </row>
    <row r="341" spans="1:10">
      <c r="A341" s="28">
        <v>46223</v>
      </c>
      <c r="B341" s="34" t="s">
        <v>69</v>
      </c>
      <c r="C341" s="37">
        <f t="shared" si="1"/>
        <v>15.53</v>
      </c>
      <c r="D341" s="34">
        <v>15.53</v>
      </c>
      <c r="E341" s="34"/>
      <c r="F341" s="34"/>
      <c r="G341" s="34"/>
      <c r="H341" s="34"/>
      <c r="I341" s="34"/>
      <c r="J341" s="34"/>
    </row>
    <row r="342" spans="1:10">
      <c r="A342" s="28">
        <v>46224</v>
      </c>
      <c r="B342" s="34" t="s">
        <v>72</v>
      </c>
      <c r="C342" s="37">
        <f t="shared" si="1"/>
        <v>8.51</v>
      </c>
      <c r="D342" s="34">
        <v>5.75</v>
      </c>
      <c r="E342" s="34">
        <v>2.76</v>
      </c>
      <c r="F342" s="34"/>
      <c r="G342" s="34"/>
      <c r="H342" s="34"/>
      <c r="I342" s="34"/>
      <c r="J342" s="34"/>
    </row>
    <row r="343" spans="1:10">
      <c r="A343" s="28">
        <v>46225</v>
      </c>
      <c r="B343" s="34" t="s">
        <v>79</v>
      </c>
      <c r="C343" s="37">
        <f t="shared" si="1"/>
        <v>5.98</v>
      </c>
      <c r="D343" s="34">
        <v>5.98</v>
      </c>
      <c r="E343" s="34"/>
      <c r="F343" s="34"/>
      <c r="G343" s="34"/>
      <c r="H343" s="34"/>
      <c r="I343" s="34"/>
      <c r="J343" s="34"/>
    </row>
    <row r="344" spans="1:10">
      <c r="A344" s="28">
        <v>46226</v>
      </c>
      <c r="B344" s="34" t="s">
        <v>83</v>
      </c>
      <c r="C344" s="37">
        <f t="shared" si="1"/>
        <v>8.9700000000000006</v>
      </c>
      <c r="D344" s="34">
        <v>8.9700000000000006</v>
      </c>
      <c r="E344" s="34"/>
      <c r="F344" s="34"/>
      <c r="G344" s="34"/>
      <c r="H344" s="34"/>
      <c r="I344" s="34"/>
      <c r="J344" s="34"/>
    </row>
    <row r="345" spans="1:10">
      <c r="A345" s="28">
        <v>46227</v>
      </c>
      <c r="B345" s="34" t="s">
        <v>34</v>
      </c>
      <c r="C345" s="37">
        <f t="shared" si="1"/>
        <v>11.51</v>
      </c>
      <c r="D345" s="34">
        <v>11.51</v>
      </c>
      <c r="E345" s="34"/>
      <c r="F345" s="34"/>
      <c r="G345" s="34"/>
      <c r="H345" s="34"/>
      <c r="I345" s="34"/>
      <c r="J345" s="34"/>
    </row>
    <row r="346" spans="1:10">
      <c r="A346" s="28">
        <v>46228</v>
      </c>
      <c r="B346" s="34" t="s">
        <v>31</v>
      </c>
      <c r="C346" s="37">
        <f t="shared" si="1"/>
        <v>8.09</v>
      </c>
      <c r="D346" s="34">
        <v>8.09</v>
      </c>
      <c r="E346" s="34"/>
      <c r="F346" s="34"/>
      <c r="G346" s="34"/>
      <c r="H346" s="34"/>
      <c r="I346" s="34"/>
      <c r="J346" s="34"/>
    </row>
    <row r="347" spans="1:10">
      <c r="A347" s="28">
        <v>46229</v>
      </c>
      <c r="B347" s="34" t="s">
        <v>49</v>
      </c>
      <c r="C347" s="37">
        <f t="shared" si="1"/>
        <v>0</v>
      </c>
      <c r="D347" s="34"/>
      <c r="E347" s="34"/>
      <c r="F347" s="34"/>
      <c r="G347" s="34"/>
      <c r="H347" s="34"/>
      <c r="I347" s="34"/>
      <c r="J347" s="34"/>
    </row>
    <row r="348" spans="1:10">
      <c r="A348" s="28">
        <v>46230</v>
      </c>
      <c r="B348" s="34" t="s">
        <v>69</v>
      </c>
      <c r="C348" s="37">
        <f t="shared" si="1"/>
        <v>17.649999999999999</v>
      </c>
      <c r="D348" s="34">
        <v>17.649999999999999</v>
      </c>
      <c r="E348" s="34"/>
      <c r="F348" s="34"/>
      <c r="G348" s="34"/>
      <c r="H348" s="34"/>
      <c r="I348" s="34"/>
      <c r="J348" s="34"/>
    </row>
    <row r="349" spans="1:10">
      <c r="A349" s="28">
        <v>46231</v>
      </c>
      <c r="B349" s="34" t="s">
        <v>72</v>
      </c>
      <c r="C349" s="37">
        <f t="shared" si="1"/>
        <v>18.071198000000003</v>
      </c>
      <c r="D349" s="34">
        <v>15.3</v>
      </c>
      <c r="E349" s="178">
        <v>2.7711980000000001</v>
      </c>
      <c r="F349" s="34"/>
      <c r="G349" s="34"/>
      <c r="H349" s="34"/>
      <c r="I349" s="34"/>
      <c r="J349" s="34"/>
    </row>
    <row r="350" spans="1:10">
      <c r="A350" s="28">
        <v>46232</v>
      </c>
      <c r="B350" s="34" t="s">
        <v>79</v>
      </c>
      <c r="C350" s="37">
        <f t="shared" si="1"/>
        <v>10.88</v>
      </c>
      <c r="D350" s="34">
        <v>9.4600000000000009</v>
      </c>
      <c r="E350" s="178">
        <v>0.2</v>
      </c>
      <c r="F350" s="34">
        <v>1.22</v>
      </c>
      <c r="G350" s="34"/>
      <c r="H350" s="34"/>
      <c r="I350" s="34"/>
      <c r="J350" s="34"/>
    </row>
    <row r="351" spans="1:10">
      <c r="A351" s="28">
        <v>46233</v>
      </c>
      <c r="B351" s="34" t="s">
        <v>83</v>
      </c>
      <c r="C351" s="37">
        <f t="shared" si="1"/>
        <v>4.2200000000000006</v>
      </c>
      <c r="D351" s="34">
        <v>2</v>
      </c>
      <c r="E351" s="34">
        <v>2.2200000000000002</v>
      </c>
      <c r="F351" s="34"/>
      <c r="G351" s="34"/>
      <c r="H351" s="34"/>
      <c r="I351" s="34"/>
      <c r="J351" s="34"/>
    </row>
    <row r="352" spans="1:10">
      <c r="A352" s="28">
        <v>46234</v>
      </c>
      <c r="B352" s="34" t="s">
        <v>34</v>
      </c>
      <c r="C352" s="37">
        <f t="shared" si="1"/>
        <v>40.35</v>
      </c>
      <c r="D352" s="34">
        <v>23.68</v>
      </c>
      <c r="E352" s="34">
        <v>16.670000000000002</v>
      </c>
      <c r="F352" s="34"/>
      <c r="G352" s="34"/>
      <c r="H352" s="34"/>
      <c r="I352" s="34"/>
      <c r="J352" s="34"/>
    </row>
    <row r="353" spans="1:10">
      <c r="A353" s="28">
        <v>46235</v>
      </c>
      <c r="B353" s="34" t="s">
        <v>31</v>
      </c>
      <c r="C353" s="37">
        <f t="shared" si="1"/>
        <v>0</v>
      </c>
      <c r="D353" s="34"/>
      <c r="E353" s="34"/>
      <c r="F353" s="34"/>
      <c r="G353" s="34"/>
      <c r="H353" s="34"/>
      <c r="I353" s="34"/>
      <c r="J353" s="34"/>
    </row>
    <row r="354" spans="1:10">
      <c r="A354" s="28">
        <v>46236</v>
      </c>
      <c r="B354" s="34" t="s">
        <v>49</v>
      </c>
      <c r="C354" s="37">
        <f t="shared" si="1"/>
        <v>0</v>
      </c>
      <c r="D354" s="34"/>
      <c r="E354" s="34"/>
      <c r="F354" s="34"/>
      <c r="G354" s="34"/>
      <c r="H354" s="34"/>
      <c r="I354" s="34"/>
      <c r="J354" s="34"/>
    </row>
    <row r="355" spans="1:10">
      <c r="A355" s="28">
        <v>46237</v>
      </c>
      <c r="B355" s="34" t="s">
        <v>69</v>
      </c>
      <c r="C355" s="37">
        <f t="shared" si="1"/>
        <v>0</v>
      </c>
      <c r="D355" s="34"/>
      <c r="E355" s="34"/>
      <c r="F355" s="34"/>
      <c r="G355" s="34"/>
      <c r="H355" s="34"/>
      <c r="I355" s="34"/>
      <c r="J355" s="34"/>
    </row>
    <row r="356" spans="1:10">
      <c r="A356" s="28">
        <v>46238</v>
      </c>
      <c r="B356" s="34" t="s">
        <v>72</v>
      </c>
      <c r="C356" s="37">
        <f t="shared" si="1"/>
        <v>39.736708</v>
      </c>
      <c r="D356" s="178">
        <v>39.736708</v>
      </c>
      <c r="E356" s="34"/>
      <c r="F356" s="34"/>
      <c r="G356" s="34"/>
      <c r="H356" s="34"/>
      <c r="I356" s="34"/>
      <c r="J356" s="34"/>
    </row>
    <row r="357" spans="1:10">
      <c r="A357" s="28">
        <v>46239</v>
      </c>
      <c r="B357" s="34" t="s">
        <v>79</v>
      </c>
      <c r="C357" s="37">
        <f t="shared" si="1"/>
        <v>0</v>
      </c>
      <c r="D357" s="34"/>
      <c r="E357" s="34"/>
      <c r="F357" s="34"/>
      <c r="G357" s="34"/>
      <c r="H357" s="34"/>
      <c r="I357" s="34"/>
      <c r="J357" s="34"/>
    </row>
    <row r="358" spans="1:10">
      <c r="A358" s="28">
        <v>46240</v>
      </c>
      <c r="B358" s="34" t="s">
        <v>83</v>
      </c>
      <c r="C358" s="37">
        <f t="shared" si="1"/>
        <v>45.68</v>
      </c>
      <c r="D358" s="29">
        <v>39.65</v>
      </c>
      <c r="E358" s="34">
        <v>6.03</v>
      </c>
      <c r="F358" s="34"/>
      <c r="G358" s="34"/>
      <c r="H358" s="34"/>
      <c r="I358" s="34"/>
      <c r="J358" s="34"/>
    </row>
    <row r="359" spans="1:10">
      <c r="A359" s="28">
        <v>46241</v>
      </c>
      <c r="B359" s="34" t="s">
        <v>34</v>
      </c>
      <c r="C359" s="37">
        <f t="shared" si="1"/>
        <v>17.32</v>
      </c>
      <c r="D359" s="29">
        <v>17.32</v>
      </c>
      <c r="E359" s="34"/>
      <c r="F359" s="34"/>
      <c r="G359" s="34"/>
      <c r="H359" s="34"/>
      <c r="I359" s="34"/>
      <c r="J359" s="34"/>
    </row>
    <row r="360" spans="1:10">
      <c r="A360" s="28">
        <v>46242</v>
      </c>
      <c r="B360" s="34" t="s">
        <v>31</v>
      </c>
      <c r="C360" s="37">
        <f t="shared" si="1"/>
        <v>13.68</v>
      </c>
      <c r="D360" s="34">
        <v>13.68</v>
      </c>
      <c r="E360" s="34"/>
      <c r="F360" s="34"/>
      <c r="G360" s="34"/>
      <c r="H360" s="34"/>
      <c r="I360" s="34"/>
      <c r="J360" s="34"/>
    </row>
    <row r="361" spans="1:10">
      <c r="A361" s="28">
        <v>46243</v>
      </c>
      <c r="B361" s="34" t="s">
        <v>49</v>
      </c>
      <c r="C361" s="37">
        <f t="shared" si="1"/>
        <v>0</v>
      </c>
      <c r="D361" s="34"/>
      <c r="E361" s="34"/>
      <c r="F361" s="34"/>
      <c r="G361" s="34"/>
      <c r="H361" s="34"/>
      <c r="I361" s="34"/>
      <c r="J361" s="34"/>
    </row>
    <row r="362" spans="1:10">
      <c r="A362" s="28">
        <v>46244</v>
      </c>
      <c r="B362" s="34" t="s">
        <v>69</v>
      </c>
      <c r="C362" s="37">
        <f t="shared" si="1"/>
        <v>29.07</v>
      </c>
      <c r="D362" s="34">
        <v>23.47</v>
      </c>
      <c r="E362" s="34">
        <v>5.6</v>
      </c>
      <c r="F362" s="34"/>
      <c r="G362" s="34"/>
      <c r="H362" s="34"/>
      <c r="I362" s="34"/>
      <c r="J362" s="34"/>
    </row>
    <row r="363" spans="1:10">
      <c r="A363" s="28">
        <v>46245</v>
      </c>
      <c r="B363" s="34" t="s">
        <v>72</v>
      </c>
      <c r="C363" s="37">
        <f t="shared" si="1"/>
        <v>9.98</v>
      </c>
      <c r="D363" s="34">
        <v>9.98</v>
      </c>
      <c r="E363" s="34"/>
      <c r="F363" s="34"/>
      <c r="G363" s="34"/>
      <c r="H363" s="34"/>
      <c r="I363" s="34"/>
      <c r="J363" s="34"/>
    </row>
    <row r="364" spans="1:10">
      <c r="A364" s="28">
        <v>46246</v>
      </c>
      <c r="B364" s="34" t="s">
        <v>79</v>
      </c>
      <c r="C364" s="37">
        <f t="shared" si="1"/>
        <v>36.663788999999994</v>
      </c>
      <c r="D364" s="178">
        <v>36.663788999999994</v>
      </c>
      <c r="E364" s="34"/>
      <c r="F364" s="34"/>
      <c r="G364" s="34"/>
      <c r="H364" s="34"/>
      <c r="I364" s="34"/>
      <c r="J364" s="34"/>
    </row>
    <row r="365" spans="1:10">
      <c r="A365" s="28">
        <v>46247</v>
      </c>
      <c r="B365" s="34" t="s">
        <v>83</v>
      </c>
      <c r="C365" s="37">
        <f t="shared" si="1"/>
        <v>5.59</v>
      </c>
      <c r="D365" s="34">
        <v>5.59</v>
      </c>
      <c r="E365" s="34"/>
      <c r="F365" s="34"/>
      <c r="G365" s="34"/>
      <c r="H365" s="34"/>
      <c r="I365" s="34"/>
      <c r="J365" s="34"/>
    </row>
    <row r="366" spans="1:10">
      <c r="A366" s="28">
        <v>46248</v>
      </c>
      <c r="B366" s="34" t="s">
        <v>34</v>
      </c>
      <c r="C366" s="37">
        <f t="shared" si="1"/>
        <v>5.5200000000000005</v>
      </c>
      <c r="D366" s="34">
        <v>4.4800000000000004</v>
      </c>
      <c r="E366" s="34">
        <v>1.04</v>
      </c>
      <c r="F366" s="34"/>
      <c r="G366" s="34"/>
      <c r="H366" s="34"/>
      <c r="I366" s="34"/>
      <c r="J366" s="34"/>
    </row>
    <row r="367" spans="1:10">
      <c r="A367" s="28">
        <v>46249</v>
      </c>
      <c r="B367" s="34" t="s">
        <v>31</v>
      </c>
      <c r="C367" s="37">
        <f t="shared" si="1"/>
        <v>5.37</v>
      </c>
      <c r="D367" s="34">
        <v>3.33</v>
      </c>
      <c r="E367" s="34">
        <v>2.04</v>
      </c>
      <c r="F367" s="34"/>
      <c r="G367" s="34"/>
      <c r="H367" s="34"/>
      <c r="I367" s="34"/>
      <c r="J367" s="34"/>
    </row>
    <row r="368" spans="1:10">
      <c r="A368" s="28">
        <v>46250</v>
      </c>
      <c r="B368" s="34" t="s">
        <v>49</v>
      </c>
      <c r="C368" s="37">
        <f t="shared" si="1"/>
        <v>0</v>
      </c>
      <c r="D368" s="34"/>
      <c r="E368" s="34"/>
      <c r="F368" s="34"/>
      <c r="G368" s="34"/>
      <c r="H368" s="34"/>
      <c r="I368" s="34"/>
      <c r="J368" s="34"/>
    </row>
    <row r="369" spans="1:10">
      <c r="A369" s="28">
        <v>46251</v>
      </c>
      <c r="B369" s="34" t="s">
        <v>69</v>
      </c>
      <c r="C369" s="37">
        <f t="shared" si="1"/>
        <v>18.170000000000002</v>
      </c>
      <c r="D369" s="34">
        <v>18.170000000000002</v>
      </c>
      <c r="E369" s="34"/>
      <c r="F369" s="34"/>
      <c r="G369" s="34"/>
      <c r="H369" s="34"/>
      <c r="I369" s="34"/>
      <c r="J369" s="34"/>
    </row>
    <row r="370" spans="1:10">
      <c r="A370" s="28">
        <v>46252</v>
      </c>
      <c r="B370" s="34" t="s">
        <v>72</v>
      </c>
      <c r="C370" s="37">
        <f t="shared" si="1"/>
        <v>14.36</v>
      </c>
      <c r="D370" s="34">
        <v>14.36</v>
      </c>
      <c r="E370" s="34"/>
      <c r="F370" s="34"/>
      <c r="G370" s="34"/>
      <c r="H370" s="34"/>
      <c r="I370" s="34"/>
      <c r="J370" s="34"/>
    </row>
    <row r="371" spans="1:10">
      <c r="A371" s="28">
        <v>46253</v>
      </c>
      <c r="B371" s="34" t="s">
        <v>79</v>
      </c>
      <c r="C371" s="37">
        <f t="shared" si="1"/>
        <v>8.6</v>
      </c>
      <c r="D371" s="34">
        <v>8.6</v>
      </c>
      <c r="E371" s="34"/>
      <c r="F371" s="34"/>
      <c r="G371" s="34"/>
      <c r="H371" s="34"/>
      <c r="I371" s="34"/>
      <c r="J371" s="34"/>
    </row>
    <row r="372" spans="1:10">
      <c r="A372" s="28">
        <v>46254</v>
      </c>
      <c r="B372" s="34" t="s">
        <v>83</v>
      </c>
      <c r="C372" s="37">
        <f t="shared" si="1"/>
        <v>9.17</v>
      </c>
      <c r="D372" s="34">
        <v>6.77</v>
      </c>
      <c r="E372" s="34">
        <v>2.4</v>
      </c>
      <c r="F372" s="34"/>
      <c r="G372" s="34"/>
      <c r="H372" s="34"/>
      <c r="I372" s="34"/>
      <c r="J372" s="34"/>
    </row>
    <row r="373" spans="1:10">
      <c r="A373" s="28">
        <v>46255</v>
      </c>
      <c r="B373" s="34" t="s">
        <v>34</v>
      </c>
      <c r="C373" s="37">
        <f t="shared" si="1"/>
        <v>6.34</v>
      </c>
      <c r="D373" s="34">
        <v>6.34</v>
      </c>
      <c r="E373" s="34"/>
      <c r="F373" s="34"/>
      <c r="G373" s="34"/>
      <c r="H373" s="34"/>
      <c r="I373" s="34"/>
      <c r="J373" s="34"/>
    </row>
    <row r="374" spans="1:10">
      <c r="A374" s="28">
        <v>46256</v>
      </c>
      <c r="B374" s="34" t="s">
        <v>31</v>
      </c>
      <c r="C374" s="37">
        <f t="shared" si="1"/>
        <v>8.870000000000001</v>
      </c>
      <c r="D374" s="34">
        <v>4.63</v>
      </c>
      <c r="E374" s="34">
        <v>4.24</v>
      </c>
      <c r="F374" s="34"/>
      <c r="G374" s="34"/>
      <c r="H374" s="34"/>
      <c r="I374" s="34"/>
      <c r="J374" s="34"/>
    </row>
    <row r="375" spans="1:10">
      <c r="A375" s="28">
        <v>46257</v>
      </c>
      <c r="B375" s="34" t="s">
        <v>49</v>
      </c>
      <c r="C375" s="37">
        <f t="shared" si="1"/>
        <v>0</v>
      </c>
      <c r="D375" s="34"/>
      <c r="E375" s="34"/>
      <c r="F375" s="34"/>
      <c r="G375" s="34"/>
      <c r="H375" s="34"/>
      <c r="I375" s="34"/>
      <c r="J375" s="34"/>
    </row>
    <row r="376" spans="1:10">
      <c r="A376" s="28">
        <v>46258</v>
      </c>
      <c r="B376" s="34" t="s">
        <v>69</v>
      </c>
      <c r="C376" s="37">
        <f t="shared" si="1"/>
        <v>14.9</v>
      </c>
      <c r="D376" s="34">
        <v>14.9</v>
      </c>
      <c r="E376" s="34"/>
      <c r="F376" s="34"/>
      <c r="G376" s="34"/>
      <c r="H376" s="34"/>
      <c r="I376" s="34"/>
      <c r="J376" s="34"/>
    </row>
    <row r="377" spans="1:10">
      <c r="A377" s="28">
        <v>46259</v>
      </c>
      <c r="B377" s="34" t="s">
        <v>72</v>
      </c>
      <c r="C377" s="37">
        <f t="shared" si="1"/>
        <v>10.09</v>
      </c>
      <c r="D377" s="34">
        <v>5.88</v>
      </c>
      <c r="E377" s="34">
        <v>4.21</v>
      </c>
      <c r="F377" s="34"/>
      <c r="G377" s="34"/>
      <c r="H377" s="34"/>
      <c r="I377" s="34"/>
      <c r="J377" s="34"/>
    </row>
    <row r="378" spans="1:10">
      <c r="A378" s="28">
        <v>46260</v>
      </c>
      <c r="B378" s="34" t="s">
        <v>79</v>
      </c>
      <c r="C378" s="37">
        <f t="shared" si="1"/>
        <v>5.6800000000000006</v>
      </c>
      <c r="D378" s="34">
        <v>4.6100000000000003</v>
      </c>
      <c r="E378" s="34">
        <v>1.07</v>
      </c>
      <c r="F378" s="34"/>
      <c r="G378" s="34"/>
      <c r="H378" s="34"/>
      <c r="I378" s="34"/>
      <c r="J378" s="34"/>
    </row>
    <row r="379" spans="1:10">
      <c r="A379" s="28">
        <v>46261</v>
      </c>
      <c r="B379" s="34" t="s">
        <v>83</v>
      </c>
      <c r="C379" s="37">
        <f t="shared" si="1"/>
        <v>7.17</v>
      </c>
      <c r="D379" s="34">
        <v>3.36</v>
      </c>
      <c r="E379" s="34">
        <v>3.81</v>
      </c>
      <c r="F379" s="34"/>
      <c r="G379" s="34"/>
      <c r="H379" s="34"/>
      <c r="I379" s="34"/>
      <c r="J379" s="34"/>
    </row>
    <row r="380" spans="1:10">
      <c r="A380" s="28">
        <v>46262</v>
      </c>
      <c r="B380" s="34" t="s">
        <v>34</v>
      </c>
      <c r="C380" s="37">
        <f t="shared" si="1"/>
        <v>0</v>
      </c>
      <c r="D380" s="34"/>
      <c r="E380" s="34"/>
      <c r="F380" s="34"/>
      <c r="G380" s="34"/>
      <c r="H380" s="34"/>
      <c r="I380" s="34"/>
      <c r="J380" s="34"/>
    </row>
    <row r="381" spans="1:10">
      <c r="A381" s="28">
        <v>46263</v>
      </c>
      <c r="B381" s="34" t="s">
        <v>31</v>
      </c>
      <c r="C381" s="37">
        <f t="shared" si="1"/>
        <v>0</v>
      </c>
      <c r="D381" s="34"/>
      <c r="E381" s="34"/>
      <c r="F381" s="34"/>
      <c r="G381" s="34"/>
      <c r="H381" s="34"/>
      <c r="I381" s="34"/>
      <c r="J381" s="34"/>
    </row>
    <row r="382" spans="1:10">
      <c r="A382" s="28">
        <v>46264</v>
      </c>
      <c r="B382" s="34" t="s">
        <v>49</v>
      </c>
      <c r="C382" s="37">
        <f t="shared" si="1"/>
        <v>0</v>
      </c>
      <c r="D382" s="34"/>
      <c r="E382" s="34"/>
      <c r="F382" s="34"/>
      <c r="G382" s="34"/>
      <c r="H382" s="34"/>
      <c r="I382" s="34"/>
      <c r="J382" s="34"/>
    </row>
    <row r="383" spans="1:10">
      <c r="A383" s="28">
        <v>46265</v>
      </c>
      <c r="B383" s="34" t="s">
        <v>69</v>
      </c>
      <c r="C383" s="37">
        <f t="shared" si="1"/>
        <v>0</v>
      </c>
      <c r="D383" s="34"/>
      <c r="E383" s="34"/>
      <c r="F383" s="34"/>
      <c r="G383" s="34"/>
      <c r="H383" s="34"/>
      <c r="I383" s="34"/>
      <c r="J383" s="34"/>
    </row>
    <row r="384" spans="1:10">
      <c r="A384" s="28">
        <v>46266</v>
      </c>
      <c r="B384" s="34" t="s">
        <v>72</v>
      </c>
      <c r="C384" s="37">
        <f t="shared" si="1"/>
        <v>0</v>
      </c>
      <c r="D384" s="34"/>
      <c r="E384" s="34"/>
      <c r="F384" s="34"/>
      <c r="G384" s="34"/>
      <c r="H384" s="34"/>
      <c r="I384" s="34"/>
      <c r="J384" s="34"/>
    </row>
    <row r="385" spans="1:10">
      <c r="A385" s="28">
        <v>46267</v>
      </c>
      <c r="B385" s="34" t="s">
        <v>79</v>
      </c>
      <c r="C385" s="37">
        <f t="shared" si="1"/>
        <v>0</v>
      </c>
      <c r="D385" s="34"/>
      <c r="E385" s="34"/>
      <c r="F385" s="34"/>
      <c r="G385" s="34"/>
      <c r="H385" s="34"/>
      <c r="I385" s="34"/>
      <c r="J385" s="34"/>
    </row>
    <row r="386" spans="1:10">
      <c r="A386" s="28">
        <v>46268</v>
      </c>
      <c r="B386" s="34" t="s">
        <v>83</v>
      </c>
      <c r="C386" s="37">
        <f t="shared" si="1"/>
        <v>0</v>
      </c>
      <c r="D386" s="34"/>
      <c r="E386" s="34"/>
      <c r="F386" s="34"/>
      <c r="G386" s="34"/>
      <c r="H386" s="34"/>
      <c r="I386" s="34"/>
      <c r="J386" s="34"/>
    </row>
    <row r="387" spans="1:10">
      <c r="A387" s="28">
        <v>46269</v>
      </c>
      <c r="B387" s="34" t="s">
        <v>34</v>
      </c>
      <c r="C387" s="37">
        <f t="shared" si="1"/>
        <v>0</v>
      </c>
      <c r="D387" s="34"/>
      <c r="E387" s="34"/>
      <c r="F387" s="34"/>
      <c r="G387" s="34"/>
      <c r="H387" s="34"/>
      <c r="I387" s="34"/>
      <c r="J387" s="34"/>
    </row>
    <row r="388" spans="1:10">
      <c r="A388" s="28">
        <v>46270</v>
      </c>
      <c r="B388" s="34" t="s">
        <v>31</v>
      </c>
      <c r="C388" s="37">
        <f t="shared" si="1"/>
        <v>0</v>
      </c>
      <c r="D388" s="34"/>
      <c r="E388" s="34"/>
      <c r="F388" s="34"/>
      <c r="G388" s="34"/>
      <c r="H388" s="34"/>
      <c r="I388" s="34"/>
      <c r="J388" s="34"/>
    </row>
    <row r="389" spans="1:10">
      <c r="A389" s="28">
        <v>46271</v>
      </c>
      <c r="B389" s="34" t="s">
        <v>49</v>
      </c>
      <c r="C389" s="37">
        <f t="shared" si="1"/>
        <v>0</v>
      </c>
      <c r="D389" s="34"/>
      <c r="E389" s="34"/>
      <c r="F389" s="34"/>
      <c r="G389" s="34"/>
      <c r="H389" s="34"/>
      <c r="I389" s="34"/>
      <c r="J389" s="34"/>
    </row>
    <row r="390" spans="1:10">
      <c r="A390" s="28">
        <v>46272</v>
      </c>
      <c r="B390" s="34" t="s">
        <v>69</v>
      </c>
      <c r="C390" s="37">
        <f t="shared" si="1"/>
        <v>0</v>
      </c>
      <c r="D390" s="34"/>
      <c r="E390" s="34"/>
      <c r="F390" s="34"/>
      <c r="G390" s="34"/>
      <c r="H390" s="34"/>
      <c r="I390" s="34"/>
      <c r="J390" s="34"/>
    </row>
    <row r="391" spans="1:10">
      <c r="A391" s="28">
        <v>46273</v>
      </c>
      <c r="B391" s="34" t="s">
        <v>72</v>
      </c>
      <c r="C391" s="37">
        <f t="shared" si="1"/>
        <v>0</v>
      </c>
      <c r="D391" s="34"/>
      <c r="E391" s="34"/>
      <c r="F391" s="34"/>
      <c r="G391" s="34"/>
      <c r="H391" s="34"/>
      <c r="I391" s="34"/>
      <c r="J391" s="34"/>
    </row>
    <row r="392" spans="1:10">
      <c r="A392" s="28">
        <v>46274</v>
      </c>
      <c r="B392" s="34" t="s">
        <v>79</v>
      </c>
      <c r="C392" s="37">
        <f t="shared" si="1"/>
        <v>0</v>
      </c>
      <c r="D392" s="34"/>
      <c r="E392" s="34"/>
      <c r="F392" s="34"/>
      <c r="G392" s="34"/>
      <c r="H392" s="34"/>
      <c r="I392" s="34"/>
      <c r="J392" s="34"/>
    </row>
    <row r="393" spans="1:10">
      <c r="A393" s="28">
        <v>46275</v>
      </c>
      <c r="B393" s="34" t="s">
        <v>83</v>
      </c>
      <c r="C393" s="37">
        <f t="shared" si="1"/>
        <v>0</v>
      </c>
      <c r="D393" s="34"/>
      <c r="E393" s="34"/>
      <c r="F393" s="34"/>
      <c r="G393" s="34"/>
      <c r="H393" s="34"/>
      <c r="I393" s="34"/>
      <c r="J393" s="34"/>
    </row>
    <row r="394" spans="1:10">
      <c r="A394" s="28">
        <v>46276</v>
      </c>
      <c r="B394" s="34" t="s">
        <v>34</v>
      </c>
      <c r="C394" s="37">
        <f t="shared" si="1"/>
        <v>0</v>
      </c>
      <c r="D394" s="34"/>
      <c r="E394" s="34"/>
      <c r="F394" s="34"/>
      <c r="G394" s="34"/>
      <c r="H394" s="34"/>
      <c r="I394" s="34"/>
      <c r="J394" s="34"/>
    </row>
    <row r="395" spans="1:10">
      <c r="A395" s="28">
        <v>46277</v>
      </c>
      <c r="B395" s="34" t="s">
        <v>31</v>
      </c>
      <c r="C395" s="37">
        <f t="shared" si="1"/>
        <v>0</v>
      </c>
      <c r="D395" s="34"/>
      <c r="E395" s="34"/>
      <c r="F395" s="34"/>
      <c r="G395" s="34"/>
      <c r="H395" s="34"/>
      <c r="I395" s="34"/>
      <c r="J395" s="34"/>
    </row>
    <row r="396" spans="1:10">
      <c r="A396" s="28">
        <v>46278</v>
      </c>
      <c r="B396" s="34" t="s">
        <v>49</v>
      </c>
      <c r="C396" s="37">
        <f t="shared" si="1"/>
        <v>0</v>
      </c>
      <c r="D396" s="34"/>
      <c r="E396" s="34"/>
      <c r="F396" s="34"/>
      <c r="G396" s="34"/>
      <c r="H396" s="34"/>
      <c r="I396" s="34"/>
      <c r="J396" s="34"/>
    </row>
    <row r="397" spans="1:10">
      <c r="A397" s="28">
        <v>46279</v>
      </c>
      <c r="B397" s="34" t="s">
        <v>69</v>
      </c>
      <c r="C397" s="37">
        <f t="shared" si="1"/>
        <v>0</v>
      </c>
      <c r="D397" s="34"/>
      <c r="E397" s="34"/>
      <c r="F397" s="34"/>
      <c r="G397" s="34"/>
      <c r="H397" s="34"/>
      <c r="I397" s="34"/>
      <c r="J397" s="34"/>
    </row>
    <row r="398" spans="1:10">
      <c r="A398" s="28">
        <v>46280</v>
      </c>
      <c r="B398" s="34" t="s">
        <v>72</v>
      </c>
      <c r="C398" s="37">
        <f t="shared" si="1"/>
        <v>0</v>
      </c>
      <c r="D398" s="34"/>
      <c r="E398" s="34"/>
      <c r="F398" s="34"/>
      <c r="G398" s="34"/>
      <c r="H398" s="34"/>
      <c r="I398" s="34"/>
      <c r="J398" s="34"/>
    </row>
    <row r="399" spans="1:10">
      <c r="A399" s="28">
        <v>46281</v>
      </c>
      <c r="B399" s="34" t="s">
        <v>79</v>
      </c>
      <c r="C399" s="37">
        <f t="shared" si="1"/>
        <v>0</v>
      </c>
      <c r="D399" s="34"/>
      <c r="E399" s="34"/>
      <c r="F399" s="34"/>
      <c r="G399" s="34"/>
      <c r="H399" s="34"/>
      <c r="I399" s="34"/>
      <c r="J399" s="34"/>
    </row>
    <row r="400" spans="1:10">
      <c r="A400" s="28">
        <v>46282</v>
      </c>
      <c r="B400" s="34" t="s">
        <v>83</v>
      </c>
      <c r="C400" s="37">
        <f t="shared" si="1"/>
        <v>0</v>
      </c>
      <c r="D400" s="34"/>
      <c r="E400" s="34"/>
      <c r="F400" s="34"/>
      <c r="G400" s="34"/>
      <c r="H400" s="34"/>
      <c r="I400" s="34"/>
      <c r="J400" s="34"/>
    </row>
    <row r="401" spans="1:10">
      <c r="A401" s="28">
        <v>46283</v>
      </c>
      <c r="B401" s="34" t="s">
        <v>34</v>
      </c>
      <c r="C401" s="37">
        <f t="shared" si="1"/>
        <v>0</v>
      </c>
      <c r="D401" s="34"/>
      <c r="E401" s="34"/>
      <c r="F401" s="34"/>
      <c r="G401" s="34"/>
      <c r="H401" s="34"/>
      <c r="I401" s="34"/>
      <c r="J401" s="34"/>
    </row>
    <row r="402" spans="1:10">
      <c r="A402" s="28">
        <v>46284</v>
      </c>
      <c r="B402" s="34" t="s">
        <v>31</v>
      </c>
      <c r="C402" s="37">
        <f t="shared" si="1"/>
        <v>0</v>
      </c>
      <c r="D402" s="34"/>
      <c r="E402" s="34"/>
      <c r="F402" s="34"/>
      <c r="G402" s="34"/>
      <c r="H402" s="34"/>
      <c r="I402" s="34"/>
      <c r="J402" s="34"/>
    </row>
    <row r="403" spans="1:10">
      <c r="A403" s="28">
        <v>46285</v>
      </c>
      <c r="B403" s="34" t="s">
        <v>49</v>
      </c>
      <c r="C403" s="37">
        <f t="shared" si="1"/>
        <v>0</v>
      </c>
      <c r="D403" s="34"/>
      <c r="E403" s="34"/>
      <c r="F403" s="34"/>
      <c r="G403" s="34"/>
      <c r="H403" s="34"/>
      <c r="I403" s="34"/>
      <c r="J403" s="34"/>
    </row>
    <row r="404" spans="1:10">
      <c r="A404" s="28">
        <v>46286</v>
      </c>
      <c r="B404" s="34" t="s">
        <v>69</v>
      </c>
      <c r="C404" s="37">
        <f t="shared" si="1"/>
        <v>0</v>
      </c>
      <c r="D404" s="34"/>
      <c r="E404" s="34"/>
      <c r="F404" s="34"/>
      <c r="G404" s="34"/>
      <c r="H404" s="34"/>
      <c r="I404" s="34"/>
      <c r="J404" s="34"/>
    </row>
    <row r="405" spans="1:10">
      <c r="A405" s="28">
        <v>46287</v>
      </c>
      <c r="B405" s="34" t="s">
        <v>72</v>
      </c>
      <c r="C405" s="37">
        <f t="shared" si="1"/>
        <v>0</v>
      </c>
      <c r="D405" s="34"/>
      <c r="E405" s="34"/>
      <c r="F405" s="34"/>
      <c r="G405" s="34"/>
      <c r="H405" s="34"/>
      <c r="I405" s="34"/>
      <c r="J405" s="34"/>
    </row>
    <row r="406" spans="1:10">
      <c r="A406" s="28">
        <v>46288</v>
      </c>
      <c r="B406" s="34" t="s">
        <v>79</v>
      </c>
      <c r="C406" s="37">
        <f t="shared" si="1"/>
        <v>0</v>
      </c>
      <c r="D406" s="34"/>
      <c r="E406" s="34"/>
      <c r="F406" s="34"/>
      <c r="G406" s="34"/>
      <c r="H406" s="34"/>
      <c r="I406" s="34"/>
      <c r="J406" s="34"/>
    </row>
    <row r="407" spans="1:10">
      <c r="A407" s="28">
        <v>46289</v>
      </c>
      <c r="B407" s="34" t="s">
        <v>83</v>
      </c>
      <c r="C407" s="37">
        <f t="shared" si="1"/>
        <v>0</v>
      </c>
      <c r="D407" s="34"/>
      <c r="E407" s="34"/>
      <c r="F407" s="34"/>
      <c r="G407" s="34"/>
      <c r="H407" s="34"/>
      <c r="I407" s="34"/>
      <c r="J407" s="34"/>
    </row>
    <row r="408" spans="1:10">
      <c r="A408" s="28">
        <v>46290</v>
      </c>
      <c r="B408" s="34" t="s">
        <v>34</v>
      </c>
      <c r="C408" s="37">
        <f t="shared" si="1"/>
        <v>0</v>
      </c>
      <c r="D408" s="34"/>
      <c r="E408" s="34"/>
      <c r="F408" s="34"/>
      <c r="G408" s="34"/>
      <c r="H408" s="34"/>
      <c r="I408" s="34"/>
      <c r="J408" s="34"/>
    </row>
    <row r="409" spans="1:10">
      <c r="A409" s="28">
        <v>46291</v>
      </c>
      <c r="B409" s="34" t="s">
        <v>31</v>
      </c>
      <c r="C409" s="37">
        <f t="shared" si="1"/>
        <v>0</v>
      </c>
      <c r="D409" s="34"/>
      <c r="E409" s="34"/>
      <c r="F409" s="34"/>
      <c r="G409" s="34"/>
      <c r="H409" s="34"/>
      <c r="I409" s="34"/>
      <c r="J409" s="34"/>
    </row>
    <row r="410" spans="1:10">
      <c r="A410" s="28">
        <v>46292</v>
      </c>
      <c r="B410" s="34" t="s">
        <v>49</v>
      </c>
      <c r="C410" s="37">
        <f t="shared" si="1"/>
        <v>0</v>
      </c>
      <c r="D410" s="34"/>
      <c r="E410" s="34"/>
      <c r="F410" s="34"/>
      <c r="G410" s="34"/>
      <c r="H410" s="34"/>
      <c r="I410" s="34"/>
      <c r="J410" s="34"/>
    </row>
    <row r="411" spans="1:10">
      <c r="A411" s="28">
        <v>46293</v>
      </c>
      <c r="B411" s="34" t="s">
        <v>69</v>
      </c>
      <c r="C411" s="37">
        <f t="shared" si="1"/>
        <v>0</v>
      </c>
      <c r="D411" s="34"/>
      <c r="E411" s="34"/>
      <c r="F411" s="34"/>
      <c r="G411" s="34"/>
      <c r="H411" s="34"/>
      <c r="I411" s="34"/>
      <c r="J411" s="34"/>
    </row>
    <row r="412" spans="1:10">
      <c r="A412" s="28">
        <v>46294</v>
      </c>
      <c r="B412" s="34" t="s">
        <v>72</v>
      </c>
      <c r="C412" s="37">
        <f t="shared" si="1"/>
        <v>0</v>
      </c>
      <c r="D412" s="34"/>
      <c r="E412" s="34"/>
      <c r="F412" s="34"/>
      <c r="G412" s="34"/>
      <c r="H412" s="34"/>
      <c r="I412" s="34"/>
      <c r="J412" s="34"/>
    </row>
    <row r="413" spans="1:10">
      <c r="A413" s="28">
        <v>46295</v>
      </c>
      <c r="B413" s="34" t="s">
        <v>79</v>
      </c>
      <c r="C413" s="37">
        <f t="shared" si="1"/>
        <v>0</v>
      </c>
      <c r="D413" s="34"/>
      <c r="E413" s="34"/>
      <c r="F413" s="34"/>
      <c r="G413" s="34"/>
      <c r="H413" s="34"/>
      <c r="I413" s="34"/>
      <c r="J413" s="34"/>
    </row>
    <row r="414" spans="1:10">
      <c r="A414" s="28">
        <v>46296</v>
      </c>
      <c r="B414" s="34" t="s">
        <v>83</v>
      </c>
      <c r="C414" s="37">
        <f t="shared" si="1"/>
        <v>0</v>
      </c>
      <c r="D414" s="34"/>
      <c r="E414" s="34"/>
      <c r="F414" s="34"/>
      <c r="G414" s="34"/>
      <c r="H414" s="34"/>
      <c r="I414" s="34"/>
      <c r="J414" s="34"/>
    </row>
    <row r="415" spans="1:10">
      <c r="A415" s="28">
        <v>46297</v>
      </c>
      <c r="B415" s="34" t="s">
        <v>34</v>
      </c>
      <c r="C415" s="37">
        <f t="shared" si="1"/>
        <v>0</v>
      </c>
      <c r="D415" s="34"/>
      <c r="E415" s="34"/>
      <c r="F415" s="34"/>
      <c r="G415" s="34"/>
      <c r="H415" s="34"/>
      <c r="I415" s="34"/>
      <c r="J415" s="34"/>
    </row>
    <row r="416" spans="1:10">
      <c r="A416" s="28">
        <v>46298</v>
      </c>
      <c r="B416" s="34" t="s">
        <v>31</v>
      </c>
      <c r="C416" s="37">
        <f t="shared" si="1"/>
        <v>0</v>
      </c>
      <c r="D416" s="34"/>
      <c r="E416" s="34"/>
      <c r="F416" s="34"/>
      <c r="G416" s="34"/>
      <c r="H416" s="34"/>
      <c r="I416" s="34"/>
      <c r="J416" s="34"/>
    </row>
    <row r="417" spans="1:10">
      <c r="A417" s="28">
        <v>46299</v>
      </c>
      <c r="B417" s="34" t="s">
        <v>49</v>
      </c>
      <c r="C417" s="37">
        <f t="shared" si="1"/>
        <v>0</v>
      </c>
      <c r="D417" s="34"/>
      <c r="E417" s="34"/>
      <c r="F417" s="34"/>
      <c r="G417" s="34"/>
      <c r="H417" s="34"/>
      <c r="I417" s="34"/>
      <c r="J417" s="34"/>
    </row>
    <row r="418" spans="1:10">
      <c r="C418" s="156"/>
    </row>
    <row r="419" spans="1:10">
      <c r="C419" s="156"/>
    </row>
    <row r="420" spans="1:10">
      <c r="C420" s="156"/>
    </row>
    <row r="421" spans="1:10">
      <c r="C421" s="156"/>
    </row>
    <row r="422" spans="1:10">
      <c r="C422" s="156"/>
    </row>
    <row r="423" spans="1:10">
      <c r="C423" s="156"/>
    </row>
    <row r="424" spans="1:10">
      <c r="C424" s="156"/>
    </row>
    <row r="425" spans="1:10">
      <c r="C425" s="156"/>
    </row>
    <row r="426" spans="1:10">
      <c r="C426" s="156"/>
    </row>
    <row r="427" spans="1:10">
      <c r="C427" s="156"/>
    </row>
    <row r="428" spans="1:10">
      <c r="C428" s="156"/>
    </row>
    <row r="429" spans="1:10">
      <c r="C429" s="156"/>
    </row>
    <row r="430" spans="1:10">
      <c r="C430" s="156"/>
    </row>
    <row r="431" spans="1:10">
      <c r="C431" s="156"/>
    </row>
    <row r="432" spans="1:10">
      <c r="C432" s="156"/>
    </row>
    <row r="433" spans="3:3">
      <c r="C433" s="156"/>
    </row>
    <row r="434" spans="3:3">
      <c r="C434" s="156"/>
    </row>
    <row r="435" spans="3:3">
      <c r="C435" s="156"/>
    </row>
    <row r="436" spans="3:3">
      <c r="C436" s="156"/>
    </row>
    <row r="437" spans="3:3">
      <c r="C437" s="156"/>
    </row>
    <row r="438" spans="3:3">
      <c r="C438" s="156"/>
    </row>
    <row r="439" spans="3:3">
      <c r="C439" s="156"/>
    </row>
    <row r="440" spans="3:3">
      <c r="C440" s="156"/>
    </row>
    <row r="441" spans="3:3">
      <c r="C441" s="156"/>
    </row>
    <row r="442" spans="3:3">
      <c r="C442" s="156"/>
    </row>
    <row r="443" spans="3:3">
      <c r="C443" s="156"/>
    </row>
    <row r="444" spans="3:3">
      <c r="C444" s="156"/>
    </row>
    <row r="445" spans="3:3">
      <c r="C445" s="156"/>
    </row>
    <row r="446" spans="3:3">
      <c r="C446" s="156"/>
    </row>
    <row r="447" spans="3:3">
      <c r="C447" s="156"/>
    </row>
    <row r="448" spans="3:3">
      <c r="C448" s="156"/>
    </row>
    <row r="449" spans="3:3">
      <c r="C449" s="156"/>
    </row>
    <row r="450" spans="3:3">
      <c r="C450" s="156"/>
    </row>
    <row r="451" spans="3:3">
      <c r="C451" s="156"/>
    </row>
    <row r="452" spans="3:3">
      <c r="C452" s="156"/>
    </row>
    <row r="453" spans="3:3">
      <c r="C453" s="156"/>
    </row>
    <row r="454" spans="3:3">
      <c r="C454" s="156"/>
    </row>
    <row r="455" spans="3:3">
      <c r="C455" s="156"/>
    </row>
    <row r="456" spans="3:3">
      <c r="C456" s="156"/>
    </row>
    <row r="457" spans="3:3">
      <c r="C457" s="156"/>
    </row>
    <row r="458" spans="3:3">
      <c r="C458" s="156"/>
    </row>
    <row r="459" spans="3:3">
      <c r="C459" s="156"/>
    </row>
    <row r="460" spans="3:3">
      <c r="C460" s="156"/>
    </row>
    <row r="461" spans="3:3">
      <c r="C461" s="156"/>
    </row>
    <row r="462" spans="3:3">
      <c r="C462" s="156"/>
    </row>
    <row r="463" spans="3:3">
      <c r="C463" s="156"/>
    </row>
    <row r="464" spans="3:3">
      <c r="C464" s="156"/>
    </row>
    <row r="465" spans="3:3">
      <c r="C465" s="156"/>
    </row>
    <row r="466" spans="3:3">
      <c r="C466" s="156"/>
    </row>
    <row r="467" spans="3:3">
      <c r="C467" s="156"/>
    </row>
    <row r="468" spans="3:3">
      <c r="C468" s="156"/>
    </row>
    <row r="469" spans="3:3">
      <c r="C469" s="156"/>
    </row>
    <row r="470" spans="3:3">
      <c r="C470" s="156"/>
    </row>
    <row r="471" spans="3:3">
      <c r="C471" s="156"/>
    </row>
    <row r="472" spans="3:3">
      <c r="C472" s="156"/>
    </row>
    <row r="473" spans="3:3">
      <c r="C473" s="156"/>
    </row>
    <row r="474" spans="3:3">
      <c r="C474" s="156"/>
    </row>
    <row r="475" spans="3:3">
      <c r="C475" s="156"/>
    </row>
    <row r="476" spans="3:3">
      <c r="C476" s="156"/>
    </row>
    <row r="477" spans="3:3">
      <c r="C477" s="156"/>
    </row>
    <row r="478" spans="3:3">
      <c r="C478" s="156"/>
    </row>
    <row r="479" spans="3:3">
      <c r="C479" s="156"/>
    </row>
    <row r="480" spans="3:3">
      <c r="C480" s="156"/>
    </row>
    <row r="481" spans="3:3">
      <c r="C481" s="156"/>
    </row>
    <row r="482" spans="3:3">
      <c r="C482" s="156"/>
    </row>
    <row r="483" spans="3:3">
      <c r="C483" s="156"/>
    </row>
    <row r="484" spans="3:3">
      <c r="C484" s="156"/>
    </row>
    <row r="485" spans="3:3">
      <c r="C485" s="156"/>
    </row>
    <row r="486" spans="3:3">
      <c r="C486" s="156"/>
    </row>
    <row r="487" spans="3:3">
      <c r="C487" s="156"/>
    </row>
    <row r="488" spans="3:3">
      <c r="C488" s="156"/>
    </row>
    <row r="489" spans="3:3">
      <c r="C489" s="156"/>
    </row>
    <row r="490" spans="3:3">
      <c r="C490" s="156"/>
    </row>
    <row r="491" spans="3:3">
      <c r="C491" s="156"/>
    </row>
    <row r="492" spans="3:3">
      <c r="C492" s="156"/>
    </row>
    <row r="493" spans="3:3">
      <c r="C493" s="156"/>
    </row>
    <row r="494" spans="3:3">
      <c r="C494" s="156"/>
    </row>
    <row r="495" spans="3:3">
      <c r="C495" s="156"/>
    </row>
    <row r="496" spans="3:3">
      <c r="C496" s="156"/>
    </row>
    <row r="497" spans="3:3">
      <c r="C497" s="156"/>
    </row>
    <row r="498" spans="3:3">
      <c r="C498" s="156"/>
    </row>
    <row r="499" spans="3:3">
      <c r="C499" s="156"/>
    </row>
    <row r="500" spans="3:3">
      <c r="C500" s="156"/>
    </row>
    <row r="501" spans="3:3">
      <c r="C501" s="156"/>
    </row>
    <row r="502" spans="3:3">
      <c r="C502" s="156"/>
    </row>
    <row r="503" spans="3:3">
      <c r="C503" s="156"/>
    </row>
    <row r="504" spans="3:3">
      <c r="C504" s="156"/>
    </row>
    <row r="505" spans="3:3">
      <c r="C505" s="156"/>
    </row>
    <row r="506" spans="3:3">
      <c r="C506" s="156"/>
    </row>
    <row r="507" spans="3:3">
      <c r="C507" s="156"/>
    </row>
    <row r="508" spans="3:3">
      <c r="C508" s="156"/>
    </row>
    <row r="509" spans="3:3">
      <c r="C509" s="156"/>
    </row>
    <row r="510" spans="3:3">
      <c r="C510" s="156"/>
    </row>
    <row r="511" spans="3:3">
      <c r="C511" s="156"/>
    </row>
    <row r="512" spans="3:3">
      <c r="C512" s="156"/>
    </row>
    <row r="513" spans="3:3">
      <c r="C513" s="156"/>
    </row>
    <row r="514" spans="3:3">
      <c r="C514" s="156"/>
    </row>
    <row r="515" spans="3:3">
      <c r="C515" s="156"/>
    </row>
    <row r="516" spans="3:3">
      <c r="C516" s="156"/>
    </row>
    <row r="517" spans="3:3">
      <c r="C517" s="156"/>
    </row>
    <row r="518" spans="3:3">
      <c r="C518" s="156"/>
    </row>
    <row r="519" spans="3:3">
      <c r="C519" s="156"/>
    </row>
    <row r="520" spans="3:3">
      <c r="C520" s="156"/>
    </row>
    <row r="521" spans="3:3">
      <c r="C521" s="156"/>
    </row>
    <row r="522" spans="3:3">
      <c r="C522" s="156"/>
    </row>
    <row r="523" spans="3:3">
      <c r="C523" s="156"/>
    </row>
    <row r="524" spans="3:3">
      <c r="C524" s="156"/>
    </row>
    <row r="525" spans="3:3">
      <c r="C525" s="156"/>
    </row>
    <row r="526" spans="3:3">
      <c r="C526" s="156"/>
    </row>
    <row r="527" spans="3:3">
      <c r="C527" s="156"/>
    </row>
    <row r="528" spans="3:3">
      <c r="C528" s="156"/>
    </row>
    <row r="529" spans="3:3">
      <c r="C529" s="156"/>
    </row>
    <row r="530" spans="3:3">
      <c r="C530" s="156"/>
    </row>
    <row r="531" spans="3:3">
      <c r="C531" s="156"/>
    </row>
    <row r="532" spans="3:3">
      <c r="C532" s="156"/>
    </row>
    <row r="533" spans="3:3">
      <c r="C533" s="156"/>
    </row>
    <row r="534" spans="3:3">
      <c r="C534" s="156"/>
    </row>
    <row r="535" spans="3:3">
      <c r="C535" s="156"/>
    </row>
    <row r="536" spans="3:3">
      <c r="C536" s="156"/>
    </row>
    <row r="537" spans="3:3">
      <c r="C537" s="156"/>
    </row>
    <row r="538" spans="3:3">
      <c r="C538" s="156"/>
    </row>
    <row r="539" spans="3:3">
      <c r="C539" s="156"/>
    </row>
    <row r="540" spans="3:3">
      <c r="C540" s="156"/>
    </row>
    <row r="541" spans="3:3">
      <c r="C541" s="156"/>
    </row>
    <row r="542" spans="3:3">
      <c r="C542" s="156"/>
    </row>
    <row r="543" spans="3:3">
      <c r="C543" s="156"/>
    </row>
    <row r="544" spans="3:3">
      <c r="C544" s="156"/>
    </row>
    <row r="545" spans="3:3">
      <c r="C545" s="156"/>
    </row>
    <row r="546" spans="3:3">
      <c r="C546" s="156"/>
    </row>
    <row r="547" spans="3:3">
      <c r="C547" s="156"/>
    </row>
    <row r="548" spans="3:3">
      <c r="C548" s="156"/>
    </row>
    <row r="549" spans="3:3">
      <c r="C549" s="156"/>
    </row>
    <row r="550" spans="3:3">
      <c r="C550" s="156"/>
    </row>
    <row r="551" spans="3:3">
      <c r="C551" s="156"/>
    </row>
    <row r="552" spans="3:3">
      <c r="C552" s="156"/>
    </row>
    <row r="553" spans="3:3">
      <c r="C553" s="156"/>
    </row>
    <row r="554" spans="3:3">
      <c r="C554" s="156"/>
    </row>
    <row r="555" spans="3:3">
      <c r="C555" s="156"/>
    </row>
    <row r="556" spans="3:3">
      <c r="C556" s="156"/>
    </row>
    <row r="557" spans="3:3">
      <c r="C557" s="156"/>
    </row>
    <row r="558" spans="3:3">
      <c r="C558" s="156"/>
    </row>
    <row r="559" spans="3:3">
      <c r="C559" s="156"/>
    </row>
    <row r="560" spans="3:3">
      <c r="C560" s="156"/>
    </row>
    <row r="561" spans="3:3">
      <c r="C561" s="156"/>
    </row>
    <row r="562" spans="3:3">
      <c r="C562" s="156"/>
    </row>
    <row r="563" spans="3:3">
      <c r="C563" s="156"/>
    </row>
    <row r="564" spans="3:3">
      <c r="C564" s="156"/>
    </row>
    <row r="565" spans="3:3">
      <c r="C565" s="156"/>
    </row>
    <row r="566" spans="3:3">
      <c r="C566" s="156"/>
    </row>
    <row r="567" spans="3:3">
      <c r="C567" s="156"/>
    </row>
    <row r="568" spans="3:3">
      <c r="C568" s="156"/>
    </row>
    <row r="569" spans="3:3">
      <c r="C569" s="156"/>
    </row>
    <row r="570" spans="3:3">
      <c r="C570" s="156"/>
    </row>
    <row r="571" spans="3:3">
      <c r="C571" s="156"/>
    </row>
    <row r="572" spans="3:3">
      <c r="C572" s="156"/>
    </row>
    <row r="573" spans="3:3">
      <c r="C573" s="156"/>
    </row>
    <row r="574" spans="3:3">
      <c r="C574" s="156"/>
    </row>
    <row r="575" spans="3:3">
      <c r="C575" s="156"/>
    </row>
    <row r="576" spans="3:3">
      <c r="C576" s="156"/>
    </row>
    <row r="577" spans="3:3">
      <c r="C577" s="156"/>
    </row>
    <row r="578" spans="3:3">
      <c r="C578" s="156"/>
    </row>
    <row r="579" spans="3:3">
      <c r="C579" s="156"/>
    </row>
    <row r="580" spans="3:3">
      <c r="C580" s="156"/>
    </row>
    <row r="581" spans="3:3">
      <c r="C581" s="156"/>
    </row>
    <row r="582" spans="3:3">
      <c r="C582" s="156"/>
    </row>
    <row r="583" spans="3:3">
      <c r="C583" s="156"/>
    </row>
    <row r="584" spans="3:3">
      <c r="C584" s="156"/>
    </row>
    <row r="585" spans="3:3">
      <c r="C585" s="156"/>
    </row>
    <row r="586" spans="3:3">
      <c r="C586" s="156"/>
    </row>
    <row r="587" spans="3:3">
      <c r="C587" s="156"/>
    </row>
    <row r="588" spans="3:3">
      <c r="C588" s="156"/>
    </row>
    <row r="589" spans="3:3">
      <c r="C589" s="156"/>
    </row>
    <row r="590" spans="3:3">
      <c r="C590" s="156"/>
    </row>
    <row r="591" spans="3:3">
      <c r="C591" s="156"/>
    </row>
    <row r="592" spans="3:3">
      <c r="C592" s="156"/>
    </row>
    <row r="593" spans="3:3">
      <c r="C593" s="156"/>
    </row>
    <row r="594" spans="3:3">
      <c r="C594" s="156"/>
    </row>
    <row r="595" spans="3:3">
      <c r="C595" s="156"/>
    </row>
    <row r="596" spans="3:3">
      <c r="C596" s="156"/>
    </row>
    <row r="597" spans="3:3">
      <c r="C597" s="156"/>
    </row>
    <row r="598" spans="3:3">
      <c r="C598" s="156"/>
    </row>
    <row r="599" spans="3:3">
      <c r="C599" s="156"/>
    </row>
    <row r="600" spans="3:3">
      <c r="C600" s="156"/>
    </row>
    <row r="601" spans="3:3">
      <c r="C601" s="156"/>
    </row>
    <row r="602" spans="3:3">
      <c r="C602" s="156"/>
    </row>
    <row r="603" spans="3:3">
      <c r="C603" s="156"/>
    </row>
    <row r="604" spans="3:3">
      <c r="C604" s="156"/>
    </row>
    <row r="605" spans="3:3">
      <c r="C605" s="156"/>
    </row>
    <row r="606" spans="3:3">
      <c r="C606" s="156"/>
    </row>
    <row r="607" spans="3:3">
      <c r="C607" s="156"/>
    </row>
    <row r="608" spans="3:3">
      <c r="C608" s="156"/>
    </row>
    <row r="609" spans="3:3">
      <c r="C609" s="156"/>
    </row>
    <row r="610" spans="3:3">
      <c r="C610" s="156"/>
    </row>
    <row r="611" spans="3:3">
      <c r="C611" s="156"/>
    </row>
    <row r="612" spans="3:3">
      <c r="C612" s="156"/>
    </row>
    <row r="613" spans="3:3">
      <c r="C613" s="156"/>
    </row>
    <row r="614" spans="3:3">
      <c r="C614" s="156"/>
    </row>
    <row r="615" spans="3:3">
      <c r="C615" s="156"/>
    </row>
    <row r="616" spans="3:3">
      <c r="C616" s="156"/>
    </row>
    <row r="617" spans="3:3">
      <c r="C617" s="156"/>
    </row>
    <row r="618" spans="3:3">
      <c r="C618" s="156"/>
    </row>
    <row r="619" spans="3:3">
      <c r="C619" s="156"/>
    </row>
    <row r="620" spans="3:3">
      <c r="C620" s="156"/>
    </row>
    <row r="621" spans="3:3">
      <c r="C621" s="156"/>
    </row>
    <row r="622" spans="3:3">
      <c r="C622" s="156"/>
    </row>
    <row r="623" spans="3:3">
      <c r="C623" s="156"/>
    </row>
    <row r="624" spans="3:3">
      <c r="C624" s="156"/>
    </row>
    <row r="625" spans="3:3">
      <c r="C625" s="156"/>
    </row>
    <row r="626" spans="3:3">
      <c r="C626" s="156"/>
    </row>
    <row r="627" spans="3:3">
      <c r="C627" s="156"/>
    </row>
    <row r="628" spans="3:3">
      <c r="C628" s="156"/>
    </row>
    <row r="629" spans="3:3">
      <c r="C629" s="156"/>
    </row>
    <row r="630" spans="3:3">
      <c r="C630" s="156"/>
    </row>
    <row r="631" spans="3:3">
      <c r="C631" s="156"/>
    </row>
    <row r="632" spans="3:3">
      <c r="C632" s="156"/>
    </row>
    <row r="633" spans="3:3">
      <c r="C633" s="156"/>
    </row>
    <row r="634" spans="3:3">
      <c r="C634" s="156"/>
    </row>
    <row r="635" spans="3:3">
      <c r="C635" s="156"/>
    </row>
    <row r="636" spans="3:3">
      <c r="C636" s="156"/>
    </row>
    <row r="637" spans="3:3">
      <c r="C637" s="156"/>
    </row>
    <row r="638" spans="3:3">
      <c r="C638" s="156"/>
    </row>
    <row r="639" spans="3:3">
      <c r="C639" s="156"/>
    </row>
    <row r="640" spans="3:3">
      <c r="C640" s="156"/>
    </row>
    <row r="641" spans="3:3">
      <c r="C641" s="156"/>
    </row>
    <row r="642" spans="3:3">
      <c r="C642" s="156"/>
    </row>
    <row r="643" spans="3:3">
      <c r="C643" s="156"/>
    </row>
    <row r="644" spans="3:3">
      <c r="C644" s="156"/>
    </row>
    <row r="645" spans="3:3">
      <c r="C645" s="156"/>
    </row>
    <row r="646" spans="3:3">
      <c r="C646" s="156"/>
    </row>
    <row r="647" spans="3:3">
      <c r="C647" s="156"/>
    </row>
    <row r="648" spans="3:3">
      <c r="C648" s="156"/>
    </row>
    <row r="649" spans="3:3">
      <c r="C649" s="156"/>
    </row>
    <row r="650" spans="3:3">
      <c r="C650" s="156"/>
    </row>
    <row r="651" spans="3:3">
      <c r="C651" s="156"/>
    </row>
    <row r="652" spans="3:3">
      <c r="C652" s="156"/>
    </row>
    <row r="653" spans="3:3">
      <c r="C653" s="156"/>
    </row>
    <row r="654" spans="3:3">
      <c r="C654" s="156"/>
    </row>
    <row r="655" spans="3:3">
      <c r="C655" s="156"/>
    </row>
    <row r="656" spans="3:3">
      <c r="C656" s="156"/>
    </row>
    <row r="657" spans="3:3">
      <c r="C657" s="156"/>
    </row>
    <row r="658" spans="3:3">
      <c r="C658" s="156"/>
    </row>
    <row r="659" spans="3:3">
      <c r="C659" s="156"/>
    </row>
    <row r="660" spans="3:3">
      <c r="C660" s="156"/>
    </row>
    <row r="661" spans="3:3">
      <c r="C661" s="156"/>
    </row>
    <row r="662" spans="3:3">
      <c r="C662" s="156"/>
    </row>
    <row r="663" spans="3:3">
      <c r="C663" s="156"/>
    </row>
    <row r="664" spans="3:3">
      <c r="C664" s="156"/>
    </row>
    <row r="665" spans="3:3">
      <c r="C665" s="156"/>
    </row>
    <row r="666" spans="3:3">
      <c r="C666" s="156"/>
    </row>
    <row r="667" spans="3:3">
      <c r="C667" s="156"/>
    </row>
    <row r="668" spans="3:3">
      <c r="C668" s="156"/>
    </row>
    <row r="669" spans="3:3">
      <c r="C669" s="156"/>
    </row>
    <row r="670" spans="3:3">
      <c r="C670" s="156"/>
    </row>
    <row r="671" spans="3:3">
      <c r="C671" s="156"/>
    </row>
    <row r="672" spans="3:3">
      <c r="C672" s="156"/>
    </row>
    <row r="673" spans="3:3">
      <c r="C673" s="156"/>
    </row>
    <row r="674" spans="3:3">
      <c r="C674" s="156"/>
    </row>
    <row r="675" spans="3:3">
      <c r="C675" s="156"/>
    </row>
    <row r="676" spans="3:3">
      <c r="C676" s="156"/>
    </row>
    <row r="677" spans="3:3">
      <c r="C677" s="156"/>
    </row>
    <row r="678" spans="3:3">
      <c r="C678" s="156"/>
    </row>
    <row r="679" spans="3:3">
      <c r="C679" s="156"/>
    </row>
    <row r="680" spans="3:3">
      <c r="C680" s="156"/>
    </row>
    <row r="681" spans="3:3">
      <c r="C681" s="156"/>
    </row>
    <row r="682" spans="3:3">
      <c r="C682" s="156"/>
    </row>
    <row r="683" spans="3:3">
      <c r="C683" s="156"/>
    </row>
    <row r="684" spans="3:3">
      <c r="C684" s="156"/>
    </row>
    <row r="685" spans="3:3">
      <c r="C685" s="156"/>
    </row>
    <row r="686" spans="3:3">
      <c r="C686" s="156"/>
    </row>
    <row r="687" spans="3:3">
      <c r="C687" s="156"/>
    </row>
    <row r="688" spans="3:3">
      <c r="C688" s="156"/>
    </row>
    <row r="689" spans="3:3">
      <c r="C689" s="156"/>
    </row>
    <row r="690" spans="3:3">
      <c r="C690" s="156"/>
    </row>
    <row r="691" spans="3:3">
      <c r="C691" s="156"/>
    </row>
    <row r="692" spans="3:3">
      <c r="C692" s="156"/>
    </row>
    <row r="693" spans="3:3">
      <c r="C693" s="156"/>
    </row>
    <row r="694" spans="3:3">
      <c r="C694" s="156"/>
    </row>
    <row r="695" spans="3:3">
      <c r="C695" s="156"/>
    </row>
    <row r="696" spans="3:3">
      <c r="C696" s="156"/>
    </row>
    <row r="697" spans="3:3">
      <c r="C697" s="156"/>
    </row>
    <row r="698" spans="3:3">
      <c r="C698" s="156"/>
    </row>
    <row r="699" spans="3:3">
      <c r="C699" s="156"/>
    </row>
    <row r="700" spans="3:3">
      <c r="C700" s="156"/>
    </row>
    <row r="701" spans="3:3">
      <c r="C701" s="156"/>
    </row>
    <row r="702" spans="3:3">
      <c r="C702" s="156"/>
    </row>
    <row r="703" spans="3:3">
      <c r="C703" s="156"/>
    </row>
    <row r="704" spans="3:3">
      <c r="C704" s="156"/>
    </row>
    <row r="705" spans="3:3">
      <c r="C705" s="156"/>
    </row>
    <row r="706" spans="3:3">
      <c r="C706" s="156"/>
    </row>
    <row r="707" spans="3:3">
      <c r="C707" s="156"/>
    </row>
    <row r="708" spans="3:3">
      <c r="C708" s="156"/>
    </row>
    <row r="709" spans="3:3">
      <c r="C709" s="156"/>
    </row>
    <row r="710" spans="3:3">
      <c r="C710" s="156"/>
    </row>
    <row r="711" spans="3:3">
      <c r="C711" s="156"/>
    </row>
    <row r="712" spans="3:3">
      <c r="C712" s="156"/>
    </row>
    <row r="713" spans="3:3">
      <c r="C713" s="156"/>
    </row>
    <row r="714" spans="3:3">
      <c r="C714" s="156"/>
    </row>
    <row r="715" spans="3:3">
      <c r="C715" s="156"/>
    </row>
    <row r="716" spans="3:3">
      <c r="C716" s="156"/>
    </row>
    <row r="717" spans="3:3">
      <c r="C717" s="156"/>
    </row>
    <row r="718" spans="3:3">
      <c r="C718" s="156"/>
    </row>
    <row r="719" spans="3:3">
      <c r="C719" s="156"/>
    </row>
    <row r="720" spans="3:3">
      <c r="C720" s="156"/>
    </row>
    <row r="721" spans="3:3">
      <c r="C721" s="156"/>
    </row>
    <row r="722" spans="3:3">
      <c r="C722" s="156"/>
    </row>
    <row r="723" spans="3:3">
      <c r="C723" s="156"/>
    </row>
    <row r="724" spans="3:3">
      <c r="C724" s="156"/>
    </row>
    <row r="725" spans="3:3">
      <c r="C725" s="156"/>
    </row>
    <row r="726" spans="3:3">
      <c r="C726" s="156"/>
    </row>
    <row r="727" spans="3:3">
      <c r="C727" s="156"/>
    </row>
    <row r="728" spans="3:3">
      <c r="C728" s="156"/>
    </row>
    <row r="729" spans="3:3">
      <c r="C729" s="156"/>
    </row>
    <row r="730" spans="3:3">
      <c r="C730" s="156"/>
    </row>
    <row r="731" spans="3:3">
      <c r="C731" s="156"/>
    </row>
    <row r="732" spans="3:3">
      <c r="C732" s="156"/>
    </row>
    <row r="733" spans="3:3">
      <c r="C733" s="156"/>
    </row>
    <row r="734" spans="3:3">
      <c r="C734" s="156"/>
    </row>
    <row r="735" spans="3:3">
      <c r="C735" s="156"/>
    </row>
    <row r="736" spans="3:3">
      <c r="C736" s="156"/>
    </row>
    <row r="737" spans="3:3">
      <c r="C737" s="156"/>
    </row>
    <row r="738" spans="3:3">
      <c r="C738" s="156"/>
    </row>
    <row r="739" spans="3:3">
      <c r="C739" s="156"/>
    </row>
    <row r="740" spans="3:3">
      <c r="C740" s="156"/>
    </row>
    <row r="741" spans="3:3">
      <c r="C741" s="156"/>
    </row>
    <row r="742" spans="3:3">
      <c r="C742" s="156"/>
    </row>
    <row r="743" spans="3:3">
      <c r="C743" s="156"/>
    </row>
    <row r="744" spans="3:3">
      <c r="C744" s="156"/>
    </row>
    <row r="745" spans="3:3">
      <c r="C745" s="156"/>
    </row>
    <row r="746" spans="3:3">
      <c r="C746" s="156"/>
    </row>
    <row r="747" spans="3:3">
      <c r="C747" s="156"/>
    </row>
    <row r="748" spans="3:3">
      <c r="C748" s="156"/>
    </row>
    <row r="749" spans="3:3">
      <c r="C749" s="156"/>
    </row>
    <row r="750" spans="3:3">
      <c r="C750" s="156"/>
    </row>
    <row r="751" spans="3:3">
      <c r="C751" s="156"/>
    </row>
    <row r="752" spans="3:3">
      <c r="C752" s="156"/>
    </row>
    <row r="753" spans="3:3">
      <c r="C753" s="156"/>
    </row>
    <row r="754" spans="3:3">
      <c r="C754" s="156"/>
    </row>
    <row r="755" spans="3:3">
      <c r="C755" s="156"/>
    </row>
    <row r="756" spans="3:3">
      <c r="C756" s="156"/>
    </row>
    <row r="757" spans="3:3">
      <c r="C757" s="156"/>
    </row>
    <row r="758" spans="3:3">
      <c r="C758" s="156"/>
    </row>
    <row r="759" spans="3:3">
      <c r="C759" s="156"/>
    </row>
    <row r="760" spans="3:3">
      <c r="C760" s="156"/>
    </row>
    <row r="761" spans="3:3">
      <c r="C761" s="156"/>
    </row>
    <row r="762" spans="3:3">
      <c r="C762" s="156"/>
    </row>
    <row r="763" spans="3:3">
      <c r="C763" s="156"/>
    </row>
    <row r="764" spans="3:3">
      <c r="C764" s="156"/>
    </row>
    <row r="765" spans="3:3">
      <c r="C765" s="156"/>
    </row>
    <row r="766" spans="3:3">
      <c r="C766" s="156"/>
    </row>
    <row r="767" spans="3:3">
      <c r="C767" s="156"/>
    </row>
    <row r="768" spans="3:3">
      <c r="C768" s="156"/>
    </row>
    <row r="769" spans="3:3">
      <c r="C769" s="156"/>
    </row>
    <row r="770" spans="3:3">
      <c r="C770" s="156"/>
    </row>
    <row r="771" spans="3:3">
      <c r="C771" s="156"/>
    </row>
    <row r="772" spans="3:3">
      <c r="C772" s="156"/>
    </row>
    <row r="773" spans="3:3">
      <c r="C773" s="156"/>
    </row>
    <row r="774" spans="3:3">
      <c r="C774" s="156"/>
    </row>
    <row r="775" spans="3:3">
      <c r="C775" s="156"/>
    </row>
    <row r="776" spans="3:3">
      <c r="C776" s="156"/>
    </row>
    <row r="777" spans="3:3">
      <c r="C777" s="156"/>
    </row>
    <row r="778" spans="3:3">
      <c r="C778" s="156"/>
    </row>
    <row r="779" spans="3:3">
      <c r="C779" s="156"/>
    </row>
    <row r="780" spans="3:3">
      <c r="C780" s="156"/>
    </row>
    <row r="781" spans="3:3">
      <c r="C781" s="156"/>
    </row>
    <row r="782" spans="3:3">
      <c r="C782" s="156"/>
    </row>
    <row r="783" spans="3:3">
      <c r="C783" s="156"/>
    </row>
    <row r="784" spans="3:3">
      <c r="C784" s="156"/>
    </row>
    <row r="785" spans="3:3">
      <c r="C785" s="156"/>
    </row>
    <row r="786" spans="3:3">
      <c r="C786" s="156"/>
    </row>
    <row r="787" spans="3:3">
      <c r="C787" s="156"/>
    </row>
    <row r="788" spans="3:3">
      <c r="C788" s="156"/>
    </row>
    <row r="789" spans="3:3">
      <c r="C789" s="156"/>
    </row>
    <row r="790" spans="3:3">
      <c r="C790" s="156"/>
    </row>
    <row r="791" spans="3:3">
      <c r="C791" s="156"/>
    </row>
    <row r="792" spans="3:3">
      <c r="C792" s="156"/>
    </row>
    <row r="793" spans="3:3">
      <c r="C793" s="156"/>
    </row>
    <row r="794" spans="3:3">
      <c r="C794" s="156"/>
    </row>
    <row r="795" spans="3:3">
      <c r="C795" s="156"/>
    </row>
    <row r="796" spans="3:3">
      <c r="C796" s="156"/>
    </row>
    <row r="797" spans="3:3">
      <c r="C797" s="156"/>
    </row>
    <row r="798" spans="3:3">
      <c r="C798" s="156"/>
    </row>
    <row r="799" spans="3:3">
      <c r="C799" s="156"/>
    </row>
    <row r="800" spans="3:3">
      <c r="C800" s="156"/>
    </row>
    <row r="801" spans="3:3">
      <c r="C801" s="156"/>
    </row>
    <row r="802" spans="3:3">
      <c r="C802" s="156"/>
    </row>
    <row r="803" spans="3:3">
      <c r="C803" s="156"/>
    </row>
    <row r="804" spans="3:3">
      <c r="C804" s="156"/>
    </row>
    <row r="805" spans="3:3">
      <c r="C805" s="156"/>
    </row>
    <row r="806" spans="3:3">
      <c r="C806" s="156"/>
    </row>
    <row r="807" spans="3:3">
      <c r="C807" s="156"/>
    </row>
    <row r="808" spans="3:3">
      <c r="C808" s="156"/>
    </row>
    <row r="809" spans="3:3">
      <c r="C809" s="156"/>
    </row>
    <row r="810" spans="3:3">
      <c r="C810" s="156"/>
    </row>
    <row r="811" spans="3:3">
      <c r="C811" s="156"/>
    </row>
    <row r="812" spans="3:3">
      <c r="C812" s="156"/>
    </row>
    <row r="813" spans="3:3">
      <c r="C813" s="156"/>
    </row>
    <row r="814" spans="3:3">
      <c r="C814" s="156"/>
    </row>
    <row r="815" spans="3:3">
      <c r="C815" s="156"/>
    </row>
    <row r="816" spans="3:3">
      <c r="C816" s="156"/>
    </row>
    <row r="817" spans="3:3">
      <c r="C817" s="156"/>
    </row>
    <row r="818" spans="3:3">
      <c r="C818" s="156"/>
    </row>
    <row r="819" spans="3:3">
      <c r="C819" s="156"/>
    </row>
    <row r="820" spans="3:3">
      <c r="C820" s="156"/>
    </row>
    <row r="821" spans="3:3">
      <c r="C821" s="156"/>
    </row>
    <row r="822" spans="3:3">
      <c r="C822" s="156"/>
    </row>
    <row r="823" spans="3:3">
      <c r="C823" s="156"/>
    </row>
    <row r="824" spans="3:3">
      <c r="C824" s="156"/>
    </row>
    <row r="825" spans="3:3">
      <c r="C825" s="156"/>
    </row>
    <row r="826" spans="3:3">
      <c r="C826" s="156"/>
    </row>
    <row r="827" spans="3:3">
      <c r="C827" s="156"/>
    </row>
    <row r="828" spans="3:3">
      <c r="C828" s="156"/>
    </row>
    <row r="829" spans="3:3">
      <c r="C829" s="156"/>
    </row>
    <row r="830" spans="3:3">
      <c r="C830" s="156"/>
    </row>
    <row r="831" spans="3:3">
      <c r="C831" s="156"/>
    </row>
    <row r="832" spans="3:3">
      <c r="C832" s="156"/>
    </row>
    <row r="833" spans="3:3">
      <c r="C833" s="156"/>
    </row>
    <row r="834" spans="3:3">
      <c r="C834" s="156"/>
    </row>
    <row r="835" spans="3:3">
      <c r="C835" s="156"/>
    </row>
    <row r="836" spans="3:3">
      <c r="C836" s="156"/>
    </row>
    <row r="837" spans="3:3">
      <c r="C837" s="156"/>
    </row>
    <row r="838" spans="3:3">
      <c r="C838" s="156"/>
    </row>
    <row r="839" spans="3:3">
      <c r="C839" s="156"/>
    </row>
    <row r="840" spans="3:3">
      <c r="C840" s="156"/>
    </row>
    <row r="841" spans="3:3">
      <c r="C841" s="156"/>
    </row>
    <row r="842" spans="3:3">
      <c r="C842" s="156"/>
    </row>
    <row r="843" spans="3:3">
      <c r="C843" s="156"/>
    </row>
    <row r="844" spans="3:3">
      <c r="C844" s="156"/>
    </row>
    <row r="845" spans="3:3">
      <c r="C845" s="156"/>
    </row>
    <row r="846" spans="3:3">
      <c r="C846" s="156"/>
    </row>
    <row r="847" spans="3:3">
      <c r="C847" s="156"/>
    </row>
    <row r="848" spans="3:3">
      <c r="C848" s="156"/>
    </row>
    <row r="849" spans="3:3">
      <c r="C849" s="156"/>
    </row>
    <row r="850" spans="3:3">
      <c r="C850" s="156"/>
    </row>
    <row r="851" spans="3:3">
      <c r="C851" s="156"/>
    </row>
    <row r="852" spans="3:3">
      <c r="C852" s="156"/>
    </row>
    <row r="853" spans="3:3">
      <c r="C853" s="156"/>
    </row>
    <row r="854" spans="3:3">
      <c r="C854" s="156"/>
    </row>
    <row r="855" spans="3:3">
      <c r="C855" s="156"/>
    </row>
    <row r="856" spans="3:3">
      <c r="C856" s="156"/>
    </row>
    <row r="857" spans="3:3">
      <c r="C857" s="156"/>
    </row>
    <row r="858" spans="3:3">
      <c r="C858" s="156"/>
    </row>
    <row r="859" spans="3:3">
      <c r="C859" s="156"/>
    </row>
    <row r="860" spans="3:3">
      <c r="C860" s="156"/>
    </row>
    <row r="861" spans="3:3">
      <c r="C861" s="156"/>
    </row>
    <row r="862" spans="3:3">
      <c r="C862" s="156"/>
    </row>
    <row r="863" spans="3:3">
      <c r="C863" s="156"/>
    </row>
    <row r="864" spans="3:3">
      <c r="C864" s="156"/>
    </row>
    <row r="865" spans="3:3">
      <c r="C865" s="156"/>
    </row>
    <row r="866" spans="3:3">
      <c r="C866" s="156"/>
    </row>
    <row r="867" spans="3:3">
      <c r="C867" s="156"/>
    </row>
    <row r="868" spans="3:3">
      <c r="C868" s="156"/>
    </row>
    <row r="869" spans="3:3">
      <c r="C869" s="156"/>
    </row>
    <row r="870" spans="3:3">
      <c r="C870" s="156"/>
    </row>
    <row r="871" spans="3:3">
      <c r="C871" s="156"/>
    </row>
    <row r="872" spans="3:3">
      <c r="C872" s="156"/>
    </row>
    <row r="873" spans="3:3">
      <c r="C873" s="156"/>
    </row>
    <row r="874" spans="3:3">
      <c r="C874" s="156"/>
    </row>
    <row r="875" spans="3:3">
      <c r="C875" s="156"/>
    </row>
    <row r="876" spans="3:3">
      <c r="C876" s="156"/>
    </row>
    <row r="877" spans="3:3">
      <c r="C877" s="156"/>
    </row>
    <row r="878" spans="3:3">
      <c r="C878" s="156"/>
    </row>
    <row r="879" spans="3:3">
      <c r="C879" s="156"/>
    </row>
    <row r="880" spans="3:3">
      <c r="C880" s="156"/>
    </row>
    <row r="881" spans="3:3">
      <c r="C881" s="156"/>
    </row>
    <row r="882" spans="3:3">
      <c r="C882" s="156"/>
    </row>
    <row r="883" spans="3:3">
      <c r="C883" s="156"/>
    </row>
    <row r="884" spans="3:3">
      <c r="C884" s="156"/>
    </row>
    <row r="885" spans="3:3">
      <c r="C885" s="156"/>
    </row>
    <row r="886" spans="3:3">
      <c r="C886" s="156"/>
    </row>
    <row r="887" spans="3:3">
      <c r="C887" s="156"/>
    </row>
    <row r="888" spans="3:3">
      <c r="C888" s="156"/>
    </row>
    <row r="889" spans="3:3">
      <c r="C889" s="156"/>
    </row>
    <row r="890" spans="3:3">
      <c r="C890" s="156"/>
    </row>
    <row r="891" spans="3:3">
      <c r="C891" s="156"/>
    </row>
    <row r="892" spans="3:3">
      <c r="C892" s="156"/>
    </row>
    <row r="893" spans="3:3">
      <c r="C893" s="156"/>
    </row>
    <row r="894" spans="3:3">
      <c r="C894" s="156"/>
    </row>
    <row r="895" spans="3:3">
      <c r="C895" s="156"/>
    </row>
    <row r="896" spans="3:3">
      <c r="C896" s="156"/>
    </row>
    <row r="897" spans="3:3">
      <c r="C897" s="156"/>
    </row>
    <row r="898" spans="3:3">
      <c r="C898" s="156"/>
    </row>
    <row r="899" spans="3:3">
      <c r="C899" s="156"/>
    </row>
    <row r="900" spans="3:3">
      <c r="C900" s="156"/>
    </row>
    <row r="901" spans="3:3">
      <c r="C901" s="156"/>
    </row>
    <row r="902" spans="3:3">
      <c r="C902" s="156"/>
    </row>
    <row r="903" spans="3:3">
      <c r="C903" s="156"/>
    </row>
    <row r="904" spans="3:3">
      <c r="C904" s="156"/>
    </row>
    <row r="905" spans="3:3">
      <c r="C905" s="156"/>
    </row>
    <row r="906" spans="3:3">
      <c r="C906" s="156"/>
    </row>
    <row r="907" spans="3:3">
      <c r="C907" s="156"/>
    </row>
    <row r="908" spans="3:3">
      <c r="C908" s="156"/>
    </row>
    <row r="909" spans="3:3">
      <c r="C909" s="156"/>
    </row>
    <row r="910" spans="3:3">
      <c r="C910" s="156"/>
    </row>
    <row r="911" spans="3:3">
      <c r="C911" s="156"/>
    </row>
    <row r="912" spans="3:3">
      <c r="C912" s="156"/>
    </row>
    <row r="913" spans="3:3">
      <c r="C913" s="156"/>
    </row>
    <row r="914" spans="3:3">
      <c r="C914" s="156"/>
    </row>
    <row r="915" spans="3:3">
      <c r="C915" s="156"/>
    </row>
    <row r="916" spans="3:3">
      <c r="C916" s="156"/>
    </row>
    <row r="917" spans="3:3">
      <c r="C917" s="156"/>
    </row>
    <row r="918" spans="3:3">
      <c r="C918" s="156"/>
    </row>
    <row r="919" spans="3:3">
      <c r="C919" s="156"/>
    </row>
    <row r="920" spans="3:3">
      <c r="C920" s="156"/>
    </row>
    <row r="921" spans="3:3">
      <c r="C921" s="156"/>
    </row>
    <row r="922" spans="3:3">
      <c r="C922" s="156"/>
    </row>
    <row r="923" spans="3:3">
      <c r="C923" s="156"/>
    </row>
    <row r="924" spans="3:3">
      <c r="C924" s="156"/>
    </row>
    <row r="925" spans="3:3">
      <c r="C925" s="156"/>
    </row>
    <row r="926" spans="3:3">
      <c r="C926" s="156"/>
    </row>
    <row r="927" spans="3:3">
      <c r="C927" s="156"/>
    </row>
    <row r="928" spans="3:3">
      <c r="C928" s="156"/>
    </row>
    <row r="929" spans="3:3">
      <c r="C929" s="156"/>
    </row>
    <row r="930" spans="3:3">
      <c r="C930" s="156"/>
    </row>
    <row r="931" spans="3:3">
      <c r="C931" s="156"/>
    </row>
    <row r="932" spans="3:3">
      <c r="C932" s="156"/>
    </row>
    <row r="933" spans="3:3">
      <c r="C933" s="156"/>
    </row>
    <row r="934" spans="3:3">
      <c r="C934" s="156"/>
    </row>
    <row r="935" spans="3:3">
      <c r="C935" s="156"/>
    </row>
    <row r="936" spans="3:3">
      <c r="C936" s="156"/>
    </row>
    <row r="937" spans="3:3">
      <c r="C937" s="156"/>
    </row>
    <row r="938" spans="3:3">
      <c r="C938" s="156"/>
    </row>
    <row r="939" spans="3:3">
      <c r="C939" s="156"/>
    </row>
    <row r="940" spans="3:3">
      <c r="C940" s="156"/>
    </row>
    <row r="941" spans="3:3">
      <c r="C941" s="156"/>
    </row>
    <row r="942" spans="3:3">
      <c r="C942" s="156"/>
    </row>
    <row r="943" spans="3:3">
      <c r="C943" s="156"/>
    </row>
    <row r="944" spans="3:3">
      <c r="C944" s="156"/>
    </row>
    <row r="945" spans="3:3">
      <c r="C945" s="156"/>
    </row>
    <row r="946" spans="3:3">
      <c r="C946" s="156"/>
    </row>
    <row r="947" spans="3:3">
      <c r="C947" s="156"/>
    </row>
    <row r="948" spans="3:3">
      <c r="C948" s="156"/>
    </row>
    <row r="949" spans="3:3">
      <c r="C949" s="156"/>
    </row>
    <row r="950" spans="3:3">
      <c r="C950" s="156"/>
    </row>
    <row r="951" spans="3:3">
      <c r="C951" s="156"/>
    </row>
    <row r="952" spans="3:3">
      <c r="C952" s="156"/>
    </row>
    <row r="953" spans="3:3">
      <c r="C953" s="156"/>
    </row>
    <row r="954" spans="3:3">
      <c r="C954" s="156"/>
    </row>
    <row r="955" spans="3:3">
      <c r="C955" s="156"/>
    </row>
    <row r="956" spans="3:3">
      <c r="C956" s="156"/>
    </row>
    <row r="957" spans="3:3">
      <c r="C957" s="156"/>
    </row>
    <row r="958" spans="3:3">
      <c r="C958" s="156"/>
    </row>
    <row r="959" spans="3:3">
      <c r="C959" s="156"/>
    </row>
    <row r="960" spans="3:3">
      <c r="C960" s="156"/>
    </row>
    <row r="961" spans="3:3">
      <c r="C961" s="156"/>
    </row>
    <row r="962" spans="3:3">
      <c r="C962" s="156"/>
    </row>
    <row r="963" spans="3:3">
      <c r="C963" s="156"/>
    </row>
    <row r="964" spans="3:3">
      <c r="C964" s="156"/>
    </row>
    <row r="965" spans="3:3">
      <c r="C965" s="156"/>
    </row>
    <row r="966" spans="3:3">
      <c r="C966" s="156"/>
    </row>
    <row r="967" spans="3:3">
      <c r="C967" s="156"/>
    </row>
    <row r="968" spans="3:3">
      <c r="C968" s="156"/>
    </row>
    <row r="969" spans="3:3">
      <c r="C969" s="156"/>
    </row>
    <row r="970" spans="3:3">
      <c r="C970" s="156"/>
    </row>
    <row r="971" spans="3:3">
      <c r="C971" s="156"/>
    </row>
    <row r="972" spans="3:3">
      <c r="C972" s="156"/>
    </row>
    <row r="973" spans="3:3">
      <c r="C973" s="156"/>
    </row>
    <row r="974" spans="3:3">
      <c r="C974" s="156"/>
    </row>
    <row r="975" spans="3:3">
      <c r="C975" s="156"/>
    </row>
    <row r="976" spans="3:3">
      <c r="C976" s="156"/>
    </row>
    <row r="977" spans="3:3">
      <c r="C977" s="156"/>
    </row>
    <row r="978" spans="3:3">
      <c r="C978" s="156"/>
    </row>
    <row r="979" spans="3:3">
      <c r="C979" s="156"/>
    </row>
    <row r="980" spans="3:3">
      <c r="C980" s="156"/>
    </row>
    <row r="981" spans="3:3">
      <c r="C981" s="156"/>
    </row>
    <row r="982" spans="3:3">
      <c r="C982" s="156"/>
    </row>
    <row r="983" spans="3:3">
      <c r="C983" s="156"/>
    </row>
    <row r="984" spans="3:3">
      <c r="C984" s="156"/>
    </row>
    <row r="985" spans="3:3">
      <c r="C985" s="156"/>
    </row>
    <row r="986" spans="3:3">
      <c r="C986" s="156"/>
    </row>
    <row r="987" spans="3:3">
      <c r="C987" s="156"/>
    </row>
    <row r="988" spans="3:3">
      <c r="C988" s="156"/>
    </row>
    <row r="989" spans="3:3">
      <c r="C989" s="156"/>
    </row>
    <row r="990" spans="3:3">
      <c r="C990" s="156"/>
    </row>
    <row r="991" spans="3:3">
      <c r="C991" s="156"/>
    </row>
    <row r="992" spans="3:3">
      <c r="C992" s="156"/>
    </row>
    <row r="993" spans="3:3">
      <c r="C993" s="156"/>
    </row>
    <row r="994" spans="3:3">
      <c r="C994" s="156"/>
    </row>
    <row r="995" spans="3:3">
      <c r="C995" s="156"/>
    </row>
    <row r="996" spans="3:3">
      <c r="C996" s="156"/>
    </row>
    <row r="997" spans="3:3">
      <c r="C997" s="156"/>
    </row>
    <row r="998" spans="3:3">
      <c r="C998" s="156"/>
    </row>
    <row r="999" spans="3:3">
      <c r="C999" s="156"/>
    </row>
    <row r="1000" spans="3:3">
      <c r="C1000" s="156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/>
  <cols>
    <col min="1" max="9" width="12.88671875" customWidth="1"/>
    <col min="10" max="10" width="14.21875" customWidth="1"/>
    <col min="11" max="28" width="12.88671875" customWidth="1"/>
  </cols>
  <sheetData>
    <row r="1" spans="1:28">
      <c r="A1" s="5" t="s">
        <v>2</v>
      </c>
      <c r="B1" s="9" t="s">
        <v>4</v>
      </c>
      <c r="C1" s="12" t="s">
        <v>8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14" t="s">
        <v>18</v>
      </c>
      <c r="L1" s="15"/>
      <c r="M1" s="290" t="s">
        <v>19</v>
      </c>
      <c r="N1" s="291"/>
      <c r="O1" s="18">
        <f>SUM(J2:J1000)-SUM(K2:K1000)</f>
        <v>60944.496700000003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>
      <c r="A2" s="21">
        <v>46214</v>
      </c>
      <c r="B2" s="23" t="s">
        <v>31</v>
      </c>
      <c r="C2" s="27">
        <f t="shared" ref="C2:C140" si="0">SUM(D2:I2)</f>
        <v>26.52</v>
      </c>
      <c r="D2" s="23">
        <v>26.52</v>
      </c>
      <c r="E2" s="23"/>
      <c r="F2" s="23"/>
      <c r="G2" s="23"/>
      <c r="H2" s="23"/>
      <c r="I2" s="23"/>
      <c r="J2" s="31">
        <f t="shared" ref="J2:J140" si="1">C2*150</f>
        <v>3978</v>
      </c>
      <c r="K2" s="23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>
      <c r="A3" s="21">
        <v>46215</v>
      </c>
      <c r="B3" s="23" t="s">
        <v>49</v>
      </c>
      <c r="C3" s="27">
        <f t="shared" si="0"/>
        <v>0</v>
      </c>
      <c r="D3" s="23"/>
      <c r="E3" s="23"/>
      <c r="F3" s="23"/>
      <c r="G3" s="23"/>
      <c r="H3" s="23"/>
      <c r="I3" s="23"/>
      <c r="J3" s="31">
        <f t="shared" si="1"/>
        <v>0</v>
      </c>
      <c r="K3" s="23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>
      <c r="A4" s="21">
        <v>46216</v>
      </c>
      <c r="B4" s="23" t="s">
        <v>69</v>
      </c>
      <c r="C4" s="27">
        <f t="shared" si="0"/>
        <v>0</v>
      </c>
      <c r="D4" s="23"/>
      <c r="E4" s="23"/>
      <c r="F4" s="23"/>
      <c r="G4" s="23"/>
      <c r="H4" s="23"/>
      <c r="I4" s="23"/>
      <c r="J4" s="31">
        <f t="shared" si="1"/>
        <v>0</v>
      </c>
      <c r="K4" s="23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>
      <c r="A5" s="21">
        <v>46217</v>
      </c>
      <c r="B5" s="23" t="s">
        <v>72</v>
      </c>
      <c r="C5" s="27">
        <f t="shared" si="0"/>
        <v>7.3479780000000003</v>
      </c>
      <c r="D5" s="50">
        <v>7.3479780000000003</v>
      </c>
      <c r="E5" s="23"/>
      <c r="F5" s="23"/>
      <c r="G5" s="23"/>
      <c r="H5" s="23"/>
      <c r="I5" s="23"/>
      <c r="J5" s="31">
        <f t="shared" si="1"/>
        <v>1102.1967</v>
      </c>
      <c r="K5" s="23">
        <v>-225.3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>
      <c r="A6" s="21">
        <v>46218</v>
      </c>
      <c r="B6" s="23" t="s">
        <v>79</v>
      </c>
      <c r="C6" s="27">
        <f t="shared" si="0"/>
        <v>7.83</v>
      </c>
      <c r="D6" s="23">
        <v>7.83</v>
      </c>
      <c r="E6" s="23"/>
      <c r="F6" s="23"/>
      <c r="G6" s="23"/>
      <c r="H6" s="23"/>
      <c r="I6" s="23"/>
      <c r="J6" s="31">
        <f t="shared" si="1"/>
        <v>1174.5</v>
      </c>
      <c r="K6" s="23">
        <v>6480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>
      <c r="A7" s="21">
        <v>46219</v>
      </c>
      <c r="B7" s="23" t="s">
        <v>83</v>
      </c>
      <c r="C7" s="27">
        <f t="shared" si="0"/>
        <v>6.33</v>
      </c>
      <c r="D7" s="57">
        <v>6.33</v>
      </c>
      <c r="E7" s="59"/>
      <c r="F7" s="59"/>
      <c r="G7" s="59"/>
      <c r="H7" s="59"/>
      <c r="I7" s="59"/>
      <c r="J7" s="31">
        <f t="shared" si="1"/>
        <v>949.5</v>
      </c>
      <c r="K7" s="5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>
      <c r="A8" s="21">
        <v>46220</v>
      </c>
      <c r="B8" s="23" t="s">
        <v>34</v>
      </c>
      <c r="C8" s="27">
        <f t="shared" si="0"/>
        <v>0</v>
      </c>
      <c r="D8" s="62"/>
      <c r="E8" s="59"/>
      <c r="F8" s="59"/>
      <c r="G8" s="59"/>
      <c r="H8" s="59"/>
      <c r="I8" s="59"/>
      <c r="J8" s="31">
        <f t="shared" si="1"/>
        <v>0</v>
      </c>
      <c r="K8" s="59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>
      <c r="A9" s="21">
        <v>46221</v>
      </c>
      <c r="B9" s="23" t="s">
        <v>31</v>
      </c>
      <c r="C9" s="27">
        <f t="shared" si="0"/>
        <v>0</v>
      </c>
      <c r="D9" s="59"/>
      <c r="E9" s="59"/>
      <c r="F9" s="59"/>
      <c r="G9" s="59"/>
      <c r="H9" s="59"/>
      <c r="I9" s="59"/>
      <c r="J9" s="31">
        <f t="shared" si="1"/>
        <v>0</v>
      </c>
      <c r="K9" s="59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>
      <c r="A10" s="21">
        <v>46222</v>
      </c>
      <c r="B10" s="23" t="s">
        <v>49</v>
      </c>
      <c r="C10" s="27">
        <f t="shared" si="0"/>
        <v>0</v>
      </c>
      <c r="D10" s="59"/>
      <c r="E10" s="59"/>
      <c r="F10" s="59"/>
      <c r="G10" s="59"/>
      <c r="H10" s="59"/>
      <c r="I10" s="59"/>
      <c r="J10" s="31">
        <f t="shared" si="1"/>
        <v>0</v>
      </c>
      <c r="K10" s="59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spans="1:28">
      <c r="A11" s="21">
        <v>46223</v>
      </c>
      <c r="B11" s="23" t="s">
        <v>69</v>
      </c>
      <c r="C11" s="27">
        <f t="shared" si="0"/>
        <v>0</v>
      </c>
      <c r="D11" s="59"/>
      <c r="E11" s="59"/>
      <c r="F11" s="59"/>
      <c r="G11" s="59"/>
      <c r="H11" s="59"/>
      <c r="I11" s="59"/>
      <c r="J11" s="31">
        <f t="shared" si="1"/>
        <v>0</v>
      </c>
      <c r="K11" s="59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>
      <c r="A12" s="21">
        <v>46224</v>
      </c>
      <c r="B12" s="23" t="s">
        <v>72</v>
      </c>
      <c r="C12" s="27">
        <f t="shared" si="0"/>
        <v>0</v>
      </c>
      <c r="D12" s="59"/>
      <c r="E12" s="59"/>
      <c r="F12" s="59"/>
      <c r="G12" s="59"/>
      <c r="H12" s="59"/>
      <c r="I12" s="59"/>
      <c r="J12" s="31">
        <f t="shared" si="1"/>
        <v>0</v>
      </c>
      <c r="K12" s="59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>
      <c r="A13" s="21">
        <v>46225</v>
      </c>
      <c r="B13" s="23" t="s">
        <v>79</v>
      </c>
      <c r="C13" s="27">
        <f t="shared" si="0"/>
        <v>0</v>
      </c>
      <c r="D13" s="59"/>
      <c r="E13" s="70"/>
      <c r="F13" s="59"/>
      <c r="G13" s="59"/>
      <c r="H13" s="59"/>
      <c r="I13" s="59"/>
      <c r="J13" s="31">
        <f t="shared" si="1"/>
        <v>0</v>
      </c>
      <c r="K13" s="59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>
      <c r="A14" s="21">
        <v>46226</v>
      </c>
      <c r="B14" s="23" t="s">
        <v>83</v>
      </c>
      <c r="C14" s="27">
        <f t="shared" si="0"/>
        <v>0</v>
      </c>
      <c r="D14" s="59"/>
      <c r="E14" s="59"/>
      <c r="F14" s="59"/>
      <c r="G14" s="59"/>
      <c r="H14" s="59"/>
      <c r="I14" s="59"/>
      <c r="J14" s="31">
        <f t="shared" si="1"/>
        <v>0</v>
      </c>
      <c r="K14" s="59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spans="1:28">
      <c r="A15" s="21">
        <v>46227</v>
      </c>
      <c r="B15" s="23" t="s">
        <v>34</v>
      </c>
      <c r="C15" s="27">
        <f t="shared" si="0"/>
        <v>0</v>
      </c>
      <c r="D15" s="59"/>
      <c r="E15" s="59"/>
      <c r="F15" s="59"/>
      <c r="G15" s="59"/>
      <c r="H15" s="59"/>
      <c r="I15" s="59"/>
      <c r="J15" s="31">
        <f t="shared" si="1"/>
        <v>0</v>
      </c>
      <c r="K15" s="59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spans="1:28">
      <c r="A16" s="21">
        <v>46228</v>
      </c>
      <c r="B16" s="23" t="s">
        <v>31</v>
      </c>
      <c r="C16" s="27">
        <f t="shared" si="0"/>
        <v>0</v>
      </c>
      <c r="D16" s="59"/>
      <c r="E16" s="59"/>
      <c r="F16" s="59"/>
      <c r="G16" s="59"/>
      <c r="H16" s="59"/>
      <c r="I16" s="59"/>
      <c r="J16" s="31">
        <f t="shared" si="1"/>
        <v>0</v>
      </c>
      <c r="K16" s="59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spans="1:28">
      <c r="A17" s="21">
        <v>46229</v>
      </c>
      <c r="B17" s="23" t="s">
        <v>49</v>
      </c>
      <c r="C17" s="27">
        <f t="shared" si="0"/>
        <v>0</v>
      </c>
      <c r="D17" s="59"/>
      <c r="E17" s="70"/>
      <c r="F17" s="70"/>
      <c r="G17" s="59"/>
      <c r="H17" s="59"/>
      <c r="I17" s="59"/>
      <c r="J17" s="31">
        <f t="shared" si="1"/>
        <v>0</v>
      </c>
      <c r="K17" s="59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spans="1:28">
      <c r="A18" s="21">
        <v>46230</v>
      </c>
      <c r="B18" s="23" t="s">
        <v>69</v>
      </c>
      <c r="C18" s="27">
        <f t="shared" si="0"/>
        <v>0</v>
      </c>
      <c r="D18" s="59"/>
      <c r="E18" s="59"/>
      <c r="F18" s="59"/>
      <c r="G18" s="59"/>
      <c r="H18" s="59"/>
      <c r="I18" s="59"/>
      <c r="J18" s="31">
        <f t="shared" si="1"/>
        <v>0</v>
      </c>
      <c r="K18" s="59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spans="1:28">
      <c r="A19" s="21">
        <v>46231</v>
      </c>
      <c r="B19" s="23" t="s">
        <v>72</v>
      </c>
      <c r="C19" s="27">
        <f t="shared" si="0"/>
        <v>0</v>
      </c>
      <c r="D19" s="59"/>
      <c r="E19" s="59"/>
      <c r="F19" s="59"/>
      <c r="G19" s="59"/>
      <c r="H19" s="59"/>
      <c r="I19" s="59"/>
      <c r="J19" s="31">
        <f t="shared" si="1"/>
        <v>0</v>
      </c>
      <c r="K19" s="59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>
      <c r="A20" s="21">
        <v>46232</v>
      </c>
      <c r="B20" s="23" t="s">
        <v>79</v>
      </c>
      <c r="C20" s="27">
        <f t="shared" si="0"/>
        <v>0</v>
      </c>
      <c r="D20" s="70"/>
      <c r="E20" s="70"/>
      <c r="F20" s="59"/>
      <c r="G20" s="59"/>
      <c r="H20" s="59"/>
      <c r="I20" s="59"/>
      <c r="J20" s="31">
        <f t="shared" si="1"/>
        <v>0</v>
      </c>
      <c r="K20" s="59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spans="1:28">
      <c r="A21" s="21">
        <v>46233</v>
      </c>
      <c r="B21" s="23" t="s">
        <v>83</v>
      </c>
      <c r="C21" s="27">
        <f t="shared" si="0"/>
        <v>0</v>
      </c>
      <c r="D21" s="59"/>
      <c r="E21" s="59"/>
      <c r="F21" s="59"/>
      <c r="G21" s="59"/>
      <c r="H21" s="59"/>
      <c r="I21" s="59"/>
      <c r="J21" s="31">
        <f t="shared" si="1"/>
        <v>0</v>
      </c>
      <c r="K21" s="59">
        <v>405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spans="1:28">
      <c r="A22" s="21">
        <v>46234</v>
      </c>
      <c r="B22" s="23" t="s">
        <v>34</v>
      </c>
      <c r="C22" s="27">
        <f t="shared" si="0"/>
        <v>0</v>
      </c>
      <c r="D22" s="59"/>
      <c r="E22" s="59"/>
      <c r="F22" s="59"/>
      <c r="G22" s="59"/>
      <c r="H22" s="59"/>
      <c r="I22" s="59"/>
      <c r="J22" s="31">
        <f t="shared" si="1"/>
        <v>0</v>
      </c>
      <c r="K22" s="59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spans="1:28">
      <c r="A23" s="21">
        <v>46235</v>
      </c>
      <c r="B23" s="23" t="s">
        <v>31</v>
      </c>
      <c r="C23" s="27">
        <f t="shared" si="0"/>
        <v>20.239999999999998</v>
      </c>
      <c r="D23" s="59">
        <v>20.239999999999998</v>
      </c>
      <c r="E23" s="59"/>
      <c r="F23" s="59"/>
      <c r="G23" s="59"/>
      <c r="H23" s="59"/>
      <c r="I23" s="59"/>
      <c r="J23" s="31">
        <f t="shared" si="1"/>
        <v>3035.9999999999995</v>
      </c>
      <c r="K23" s="59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1:28">
      <c r="A24" s="21">
        <v>46236</v>
      </c>
      <c r="B24" s="23" t="s">
        <v>49</v>
      </c>
      <c r="C24" s="27">
        <f t="shared" si="0"/>
        <v>0</v>
      </c>
      <c r="D24" s="59"/>
      <c r="E24" s="59"/>
      <c r="F24" s="59"/>
      <c r="G24" s="59"/>
      <c r="H24" s="59"/>
      <c r="I24" s="59"/>
      <c r="J24" s="31">
        <f t="shared" si="1"/>
        <v>0</v>
      </c>
      <c r="K24" s="59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1:28">
      <c r="A25" s="21">
        <v>46237</v>
      </c>
      <c r="B25" s="23" t="s">
        <v>69</v>
      </c>
      <c r="C25" s="27">
        <f t="shared" si="0"/>
        <v>52.27</v>
      </c>
      <c r="D25" s="70">
        <v>52.27</v>
      </c>
      <c r="E25" s="59"/>
      <c r="F25" s="59"/>
      <c r="G25" s="59"/>
      <c r="H25" s="59"/>
      <c r="I25" s="59"/>
      <c r="J25" s="31">
        <f t="shared" si="1"/>
        <v>7840.5000000000009</v>
      </c>
      <c r="K25" s="59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1:28">
      <c r="A26" s="21">
        <v>46238</v>
      </c>
      <c r="B26" s="23" t="s">
        <v>72</v>
      </c>
      <c r="C26" s="27">
        <f t="shared" si="0"/>
        <v>0</v>
      </c>
      <c r="D26" s="59"/>
      <c r="E26" s="59"/>
      <c r="F26" s="59"/>
      <c r="G26" s="59"/>
      <c r="H26" s="59"/>
      <c r="I26" s="59"/>
      <c r="J26" s="31">
        <f t="shared" si="1"/>
        <v>0</v>
      </c>
      <c r="K26" s="59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1:28">
      <c r="A27" s="21">
        <v>46239</v>
      </c>
      <c r="B27" s="23" t="s">
        <v>79</v>
      </c>
      <c r="C27" s="27">
        <f t="shared" si="0"/>
        <v>0</v>
      </c>
      <c r="D27" s="59"/>
      <c r="E27" s="59"/>
      <c r="F27" s="59"/>
      <c r="G27" s="59"/>
      <c r="H27" s="59"/>
      <c r="I27" s="59"/>
      <c r="J27" s="31">
        <f t="shared" si="1"/>
        <v>0</v>
      </c>
      <c r="K27" s="59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1:28">
      <c r="A28" s="21">
        <v>46240</v>
      </c>
      <c r="B28" s="23" t="s">
        <v>83</v>
      </c>
      <c r="C28" s="27">
        <f t="shared" si="0"/>
        <v>0</v>
      </c>
      <c r="D28" s="59"/>
      <c r="E28" s="59"/>
      <c r="F28" s="59"/>
      <c r="G28" s="59"/>
      <c r="H28" s="59"/>
      <c r="I28" s="59"/>
      <c r="J28" s="31">
        <f t="shared" si="1"/>
        <v>0</v>
      </c>
      <c r="K28" s="59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1:28">
      <c r="A29" s="21">
        <v>46241</v>
      </c>
      <c r="B29" s="23" t="s">
        <v>34</v>
      </c>
      <c r="C29" s="27">
        <f t="shared" si="0"/>
        <v>0</v>
      </c>
      <c r="D29" s="59"/>
      <c r="E29" s="59"/>
      <c r="F29" s="59"/>
      <c r="G29" s="59"/>
      <c r="H29" s="59"/>
      <c r="I29" s="59"/>
      <c r="J29" s="31">
        <f t="shared" si="1"/>
        <v>0</v>
      </c>
      <c r="K29" s="59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1:28">
      <c r="A30" s="21">
        <v>46242</v>
      </c>
      <c r="B30" s="23" t="s">
        <v>31</v>
      </c>
      <c r="C30" s="27">
        <f t="shared" si="0"/>
        <v>0</v>
      </c>
      <c r="D30" s="59"/>
      <c r="E30" s="70"/>
      <c r="F30" s="70"/>
      <c r="G30" s="59"/>
      <c r="H30" s="59"/>
      <c r="I30" s="59"/>
      <c r="J30" s="31">
        <f t="shared" si="1"/>
        <v>0</v>
      </c>
      <c r="K30" s="59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1:28">
      <c r="A31" s="21">
        <v>46243</v>
      </c>
      <c r="B31" s="23" t="s">
        <v>49</v>
      </c>
      <c r="C31" s="27">
        <f t="shared" si="0"/>
        <v>0</v>
      </c>
      <c r="D31" s="85"/>
      <c r="E31" s="70"/>
      <c r="F31" s="70"/>
      <c r="G31" s="59"/>
      <c r="H31" s="59"/>
      <c r="I31" s="59"/>
      <c r="J31" s="31">
        <f t="shared" si="1"/>
        <v>0</v>
      </c>
      <c r="K31" s="59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1:28">
      <c r="A32" s="21">
        <v>46244</v>
      </c>
      <c r="B32" s="23" t="s">
        <v>69</v>
      </c>
      <c r="C32" s="27">
        <f t="shared" si="0"/>
        <v>0</v>
      </c>
      <c r="D32" s="59"/>
      <c r="E32" s="59"/>
      <c r="F32" s="59"/>
      <c r="G32" s="59"/>
      <c r="H32" s="59"/>
      <c r="I32" s="59"/>
      <c r="J32" s="31">
        <f t="shared" si="1"/>
        <v>0</v>
      </c>
      <c r="K32" s="59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1:28">
      <c r="A33" s="21">
        <v>46245</v>
      </c>
      <c r="B33" s="23" t="s">
        <v>72</v>
      </c>
      <c r="C33" s="27">
        <f t="shared" si="0"/>
        <v>0</v>
      </c>
      <c r="D33" s="59"/>
      <c r="E33" s="59"/>
      <c r="F33" s="59"/>
      <c r="G33" s="59"/>
      <c r="H33" s="59"/>
      <c r="I33" s="59"/>
      <c r="J33" s="31">
        <f t="shared" si="1"/>
        <v>0</v>
      </c>
      <c r="K33" s="59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1:28">
      <c r="A34" s="21">
        <v>46246</v>
      </c>
      <c r="B34" s="23" t="s">
        <v>79</v>
      </c>
      <c r="C34" s="27">
        <f t="shared" si="0"/>
        <v>0</v>
      </c>
      <c r="D34" s="59"/>
      <c r="E34" s="70"/>
      <c r="F34" s="59"/>
      <c r="G34" s="59"/>
      <c r="H34" s="59"/>
      <c r="I34" s="59"/>
      <c r="J34" s="31">
        <f t="shared" si="1"/>
        <v>0</v>
      </c>
      <c r="K34" s="59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28">
      <c r="A35" s="21">
        <v>46247</v>
      </c>
      <c r="B35" s="23" t="s">
        <v>83</v>
      </c>
      <c r="C35" s="27">
        <f t="shared" si="0"/>
        <v>0</v>
      </c>
      <c r="D35" s="59"/>
      <c r="E35" s="59"/>
      <c r="F35" s="59"/>
      <c r="G35" s="59"/>
      <c r="H35" s="59"/>
      <c r="I35" s="59"/>
      <c r="J35" s="31">
        <f t="shared" si="1"/>
        <v>0</v>
      </c>
      <c r="K35" s="59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1:28">
      <c r="A36" s="21">
        <v>46248</v>
      </c>
      <c r="B36" s="23" t="s">
        <v>34</v>
      </c>
      <c r="C36" s="27">
        <f t="shared" si="0"/>
        <v>0</v>
      </c>
      <c r="D36" s="59"/>
      <c r="E36" s="59"/>
      <c r="F36" s="59"/>
      <c r="G36" s="59"/>
      <c r="H36" s="59"/>
      <c r="I36" s="59"/>
      <c r="J36" s="31">
        <f t="shared" si="1"/>
        <v>0</v>
      </c>
      <c r="K36" s="59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1:28">
      <c r="A37" s="21">
        <v>46249</v>
      </c>
      <c r="B37" s="23" t="s">
        <v>31</v>
      </c>
      <c r="C37" s="27">
        <f t="shared" si="0"/>
        <v>0</v>
      </c>
      <c r="D37" s="59"/>
      <c r="E37" s="59"/>
      <c r="F37" s="59"/>
      <c r="G37" s="59"/>
      <c r="H37" s="59"/>
      <c r="I37" s="59"/>
      <c r="J37" s="31">
        <f t="shared" si="1"/>
        <v>0</v>
      </c>
      <c r="K37" s="59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28">
      <c r="A38" s="21">
        <v>46250</v>
      </c>
      <c r="B38" s="23" t="s">
        <v>49</v>
      </c>
      <c r="C38" s="27">
        <f t="shared" si="0"/>
        <v>0</v>
      </c>
      <c r="D38" s="59"/>
      <c r="E38" s="59"/>
      <c r="F38" s="59"/>
      <c r="G38" s="59"/>
      <c r="H38" s="59"/>
      <c r="I38" s="59"/>
      <c r="J38" s="31">
        <f t="shared" si="1"/>
        <v>0</v>
      </c>
      <c r="K38" s="59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1:28">
      <c r="A39" s="21">
        <v>46251</v>
      </c>
      <c r="B39" s="23" t="s">
        <v>69</v>
      </c>
      <c r="C39" s="27">
        <f t="shared" si="0"/>
        <v>0</v>
      </c>
      <c r="D39" s="59"/>
      <c r="E39" s="59"/>
      <c r="F39" s="59"/>
      <c r="G39" s="59"/>
      <c r="H39" s="59"/>
      <c r="I39" s="59"/>
      <c r="J39" s="31">
        <f t="shared" si="1"/>
        <v>0</v>
      </c>
      <c r="K39" s="59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28">
      <c r="A40" s="21">
        <v>46252</v>
      </c>
      <c r="B40" s="23" t="s">
        <v>72</v>
      </c>
      <c r="C40" s="27">
        <f t="shared" si="0"/>
        <v>0</v>
      </c>
      <c r="D40" s="59"/>
      <c r="E40" s="59"/>
      <c r="F40" s="59"/>
      <c r="G40" s="59"/>
      <c r="H40" s="59"/>
      <c r="I40" s="59"/>
      <c r="J40" s="31">
        <f t="shared" si="1"/>
        <v>0</v>
      </c>
      <c r="K40" s="59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1:28">
      <c r="A41" s="21">
        <v>46253</v>
      </c>
      <c r="B41" s="23" t="s">
        <v>79</v>
      </c>
      <c r="C41" s="27">
        <f t="shared" si="0"/>
        <v>0</v>
      </c>
      <c r="D41" s="59"/>
      <c r="E41" s="59"/>
      <c r="F41" s="59"/>
      <c r="G41" s="59"/>
      <c r="H41" s="59"/>
      <c r="I41" s="59"/>
      <c r="J41" s="31">
        <f t="shared" si="1"/>
        <v>0</v>
      </c>
      <c r="K41" s="59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1:28">
      <c r="A42" s="21">
        <v>46254</v>
      </c>
      <c r="B42" s="23" t="s">
        <v>83</v>
      </c>
      <c r="C42" s="27">
        <f t="shared" si="0"/>
        <v>0</v>
      </c>
      <c r="D42" s="59"/>
      <c r="E42" s="59"/>
      <c r="F42" s="59"/>
      <c r="G42" s="59"/>
      <c r="H42" s="59"/>
      <c r="I42" s="59"/>
      <c r="J42" s="31">
        <f t="shared" si="1"/>
        <v>0</v>
      </c>
      <c r="K42" s="59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28">
      <c r="A43" s="21">
        <v>46255</v>
      </c>
      <c r="B43" s="23" t="s">
        <v>34</v>
      </c>
      <c r="C43" s="27">
        <f t="shared" si="0"/>
        <v>0</v>
      </c>
      <c r="D43" s="59"/>
      <c r="E43" s="70"/>
      <c r="F43" s="59"/>
      <c r="G43" s="59"/>
      <c r="H43" s="59"/>
      <c r="I43" s="59"/>
      <c r="J43" s="31">
        <f t="shared" si="1"/>
        <v>0</v>
      </c>
      <c r="K43" s="59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1:28">
      <c r="A44" s="21">
        <v>46256</v>
      </c>
      <c r="B44" s="23" t="s">
        <v>31</v>
      </c>
      <c r="C44" s="27">
        <f t="shared" si="0"/>
        <v>0</v>
      </c>
      <c r="D44" s="70"/>
      <c r="E44" s="70"/>
      <c r="F44" s="59"/>
      <c r="G44" s="59"/>
      <c r="H44" s="59"/>
      <c r="I44" s="59"/>
      <c r="J44" s="31">
        <f t="shared" si="1"/>
        <v>0</v>
      </c>
      <c r="K44" s="59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1:28">
      <c r="A45" s="21">
        <v>46257</v>
      </c>
      <c r="B45" s="23" t="s">
        <v>49</v>
      </c>
      <c r="C45" s="27">
        <f t="shared" si="0"/>
        <v>0</v>
      </c>
      <c r="D45" s="59"/>
      <c r="E45" s="59"/>
      <c r="F45" s="59"/>
      <c r="G45" s="59"/>
      <c r="H45" s="59"/>
      <c r="I45" s="59"/>
      <c r="J45" s="31">
        <f t="shared" si="1"/>
        <v>0</v>
      </c>
      <c r="K45" s="59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1:28">
      <c r="A46" s="21">
        <v>46258</v>
      </c>
      <c r="B46" s="23" t="s">
        <v>69</v>
      </c>
      <c r="C46" s="27">
        <f t="shared" si="0"/>
        <v>0</v>
      </c>
      <c r="D46" s="59"/>
      <c r="E46" s="59"/>
      <c r="F46" s="59"/>
      <c r="G46" s="59"/>
      <c r="H46" s="59"/>
      <c r="I46" s="59"/>
      <c r="J46" s="31">
        <f t="shared" si="1"/>
        <v>0</v>
      </c>
      <c r="K46" s="59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1:28">
      <c r="A47" s="21">
        <v>46259</v>
      </c>
      <c r="B47" s="23" t="s">
        <v>72</v>
      </c>
      <c r="C47" s="27">
        <f t="shared" si="0"/>
        <v>0</v>
      </c>
      <c r="D47" s="59"/>
      <c r="E47" s="59"/>
      <c r="F47" s="59"/>
      <c r="G47" s="59"/>
      <c r="H47" s="59"/>
      <c r="I47" s="59"/>
      <c r="J47" s="31">
        <f t="shared" si="1"/>
        <v>0</v>
      </c>
      <c r="K47" s="59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28">
      <c r="A48" s="21">
        <v>46260</v>
      </c>
      <c r="B48" s="23" t="s">
        <v>79</v>
      </c>
      <c r="C48" s="27">
        <f t="shared" si="0"/>
        <v>0</v>
      </c>
      <c r="D48" s="59"/>
      <c r="E48" s="70"/>
      <c r="F48" s="59"/>
      <c r="G48" s="59"/>
      <c r="H48" s="59"/>
      <c r="I48" s="59"/>
      <c r="J48" s="31">
        <f t="shared" si="1"/>
        <v>0</v>
      </c>
      <c r="K48" s="59">
        <v>10877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1:28">
      <c r="A49" s="21">
        <v>46261</v>
      </c>
      <c r="B49" s="23" t="s">
        <v>83</v>
      </c>
      <c r="C49" s="27">
        <f t="shared" si="0"/>
        <v>0</v>
      </c>
      <c r="D49" s="70"/>
      <c r="E49" s="59"/>
      <c r="F49" s="59"/>
      <c r="G49" s="59"/>
      <c r="H49" s="59"/>
      <c r="I49" s="59"/>
      <c r="J49" s="31">
        <f t="shared" si="1"/>
        <v>0</v>
      </c>
      <c r="K49" s="59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1:28">
      <c r="A50" s="21">
        <v>46262</v>
      </c>
      <c r="B50" s="23" t="s">
        <v>34</v>
      </c>
      <c r="C50" s="27">
        <f t="shared" si="0"/>
        <v>0</v>
      </c>
      <c r="D50" s="59"/>
      <c r="E50" s="59"/>
      <c r="F50" s="59"/>
      <c r="G50" s="59"/>
      <c r="H50" s="59"/>
      <c r="I50" s="59"/>
      <c r="J50" s="31">
        <f t="shared" si="1"/>
        <v>0</v>
      </c>
      <c r="K50" s="59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1:28">
      <c r="A51" s="21">
        <v>46263</v>
      </c>
      <c r="B51" s="23" t="s">
        <v>31</v>
      </c>
      <c r="C51" s="27">
        <f t="shared" si="0"/>
        <v>8.07</v>
      </c>
      <c r="D51" s="59">
        <v>8.07</v>
      </c>
      <c r="E51" s="70"/>
      <c r="F51" s="59"/>
      <c r="G51" s="59"/>
      <c r="H51" s="59"/>
      <c r="I51" s="59"/>
      <c r="J51" s="31">
        <f t="shared" si="1"/>
        <v>1210.5</v>
      </c>
      <c r="K51" s="59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1:28">
      <c r="A52" s="21">
        <v>46264</v>
      </c>
      <c r="B52" s="23" t="s">
        <v>49</v>
      </c>
      <c r="C52" s="27">
        <f t="shared" si="0"/>
        <v>0</v>
      </c>
      <c r="D52" s="59"/>
      <c r="E52" s="70"/>
      <c r="F52" s="59"/>
      <c r="G52" s="59"/>
      <c r="H52" s="59"/>
      <c r="I52" s="59"/>
      <c r="J52" s="31">
        <f t="shared" si="1"/>
        <v>0</v>
      </c>
      <c r="K52" s="59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1:28">
      <c r="A53" s="21">
        <v>46265</v>
      </c>
      <c r="B53" s="23" t="s">
        <v>69</v>
      </c>
      <c r="C53" s="27">
        <f t="shared" si="0"/>
        <v>23.78</v>
      </c>
      <c r="D53" s="70">
        <v>1.37</v>
      </c>
      <c r="E53" s="59">
        <v>13.09</v>
      </c>
      <c r="F53" s="59">
        <v>9.32</v>
      </c>
      <c r="G53" s="59"/>
      <c r="H53" s="59"/>
      <c r="I53" s="59"/>
      <c r="J53" s="31">
        <f t="shared" si="1"/>
        <v>3567</v>
      </c>
      <c r="K53" s="59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1:28">
      <c r="A54" s="21">
        <v>46266</v>
      </c>
      <c r="B54" s="23" t="s">
        <v>72</v>
      </c>
      <c r="C54" s="27">
        <f t="shared" si="0"/>
        <v>5.81</v>
      </c>
      <c r="D54" s="59">
        <v>4.05</v>
      </c>
      <c r="E54" s="59">
        <v>1.76</v>
      </c>
      <c r="F54" s="59"/>
      <c r="G54" s="59"/>
      <c r="H54" s="59"/>
      <c r="I54" s="59"/>
      <c r="J54" s="31">
        <f t="shared" si="1"/>
        <v>871.49999999999989</v>
      </c>
      <c r="K54" s="59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1:28">
      <c r="A55" s="21">
        <v>46267</v>
      </c>
      <c r="B55" s="23" t="s">
        <v>79</v>
      </c>
      <c r="C55" s="27">
        <f t="shared" si="0"/>
        <v>18.37</v>
      </c>
      <c r="D55" s="59">
        <v>14.67</v>
      </c>
      <c r="E55" s="70">
        <v>3.7</v>
      </c>
      <c r="F55" s="59"/>
      <c r="G55" s="59"/>
      <c r="H55" s="59"/>
      <c r="I55" s="59"/>
      <c r="J55" s="31">
        <f t="shared" si="1"/>
        <v>2755.5</v>
      </c>
      <c r="K55" s="59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1:28">
      <c r="A56" s="21">
        <v>46268</v>
      </c>
      <c r="B56" s="23" t="s">
        <v>83</v>
      </c>
      <c r="C56" s="27">
        <f t="shared" si="0"/>
        <v>18.600000000000001</v>
      </c>
      <c r="D56" s="59">
        <v>13.57</v>
      </c>
      <c r="E56" s="59">
        <v>5.03</v>
      </c>
      <c r="F56" s="59"/>
      <c r="G56" s="59"/>
      <c r="H56" s="59"/>
      <c r="I56" s="59"/>
      <c r="J56" s="31">
        <f t="shared" si="1"/>
        <v>2790</v>
      </c>
      <c r="K56" s="59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1:28">
      <c r="A57" s="21">
        <v>46269</v>
      </c>
      <c r="B57" s="23" t="s">
        <v>34</v>
      </c>
      <c r="C57" s="27">
        <f t="shared" si="0"/>
        <v>15.88</v>
      </c>
      <c r="D57" s="59">
        <v>15.88</v>
      </c>
      <c r="E57" s="59"/>
      <c r="F57" s="59"/>
      <c r="G57" s="59"/>
      <c r="H57" s="59"/>
      <c r="I57" s="59"/>
      <c r="J57" s="31">
        <f t="shared" si="1"/>
        <v>2382</v>
      </c>
      <c r="K57" s="59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>
      <c r="A58" s="21">
        <v>46270</v>
      </c>
      <c r="B58" s="23" t="s">
        <v>31</v>
      </c>
      <c r="C58" s="27">
        <f t="shared" si="0"/>
        <v>23.169999999999998</v>
      </c>
      <c r="D58" s="59">
        <v>15.95</v>
      </c>
      <c r="E58" s="59">
        <v>7.22</v>
      </c>
      <c r="F58" s="59"/>
      <c r="G58" s="59"/>
      <c r="H58" s="59"/>
      <c r="I58" s="59"/>
      <c r="J58" s="31">
        <f t="shared" si="1"/>
        <v>3475.4999999999995</v>
      </c>
      <c r="K58" s="59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>
      <c r="A59" s="21">
        <v>46271</v>
      </c>
      <c r="B59" s="23" t="s">
        <v>49</v>
      </c>
      <c r="C59" s="27">
        <f t="shared" si="0"/>
        <v>0</v>
      </c>
      <c r="D59" s="59"/>
      <c r="E59" s="70"/>
      <c r="F59" s="59"/>
      <c r="G59" s="59"/>
      <c r="H59" s="59"/>
      <c r="I59" s="59"/>
      <c r="J59" s="31">
        <f t="shared" si="1"/>
        <v>0</v>
      </c>
      <c r="K59" s="59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spans="1:28">
      <c r="A60" s="21">
        <v>46272</v>
      </c>
      <c r="B60" s="23" t="s">
        <v>69</v>
      </c>
      <c r="C60" s="27">
        <f t="shared" si="0"/>
        <v>31.36</v>
      </c>
      <c r="D60" s="59">
        <v>31.36</v>
      </c>
      <c r="E60" s="59"/>
      <c r="F60" s="59"/>
      <c r="G60" s="59"/>
      <c r="H60" s="59"/>
      <c r="I60" s="59"/>
      <c r="J60" s="31">
        <f t="shared" si="1"/>
        <v>4704</v>
      </c>
      <c r="K60" s="59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spans="1:28">
      <c r="A61" s="21">
        <v>46273</v>
      </c>
      <c r="B61" s="23" t="s">
        <v>72</v>
      </c>
      <c r="C61" s="27">
        <f t="shared" si="0"/>
        <v>26.53</v>
      </c>
      <c r="D61" s="59">
        <v>18.43</v>
      </c>
      <c r="E61" s="59">
        <v>8.1</v>
      </c>
      <c r="F61" s="59"/>
      <c r="G61" s="59"/>
      <c r="H61" s="59"/>
      <c r="I61" s="59"/>
      <c r="J61" s="31">
        <f t="shared" si="1"/>
        <v>3979.5</v>
      </c>
      <c r="K61" s="59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1:28">
      <c r="A62" s="21">
        <v>46274</v>
      </c>
      <c r="B62" s="23" t="s">
        <v>79</v>
      </c>
      <c r="C62" s="27">
        <f t="shared" si="0"/>
        <v>16.630000000000003</v>
      </c>
      <c r="D62" s="59">
        <v>14.3</v>
      </c>
      <c r="E62" s="59">
        <v>2.33</v>
      </c>
      <c r="F62" s="59"/>
      <c r="G62" s="59"/>
      <c r="H62" s="59"/>
      <c r="I62" s="59"/>
      <c r="J62" s="31">
        <f t="shared" si="1"/>
        <v>2494.5000000000005</v>
      </c>
      <c r="K62" s="59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spans="1:28">
      <c r="A63" s="21">
        <v>46275</v>
      </c>
      <c r="B63" s="23" t="s">
        <v>83</v>
      </c>
      <c r="C63" s="27">
        <f t="shared" si="0"/>
        <v>18.260000000000002</v>
      </c>
      <c r="D63" s="59">
        <v>18.260000000000002</v>
      </c>
      <c r="E63" s="70"/>
      <c r="F63" s="35"/>
      <c r="G63" s="59"/>
      <c r="H63" s="59"/>
      <c r="I63" s="59"/>
      <c r="J63" s="31">
        <f t="shared" si="1"/>
        <v>2739.0000000000005</v>
      </c>
      <c r="K63" s="59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spans="1:28">
      <c r="A64" s="21">
        <v>46276</v>
      </c>
      <c r="B64" s="23" t="s">
        <v>34</v>
      </c>
      <c r="C64" s="27">
        <f t="shared" si="0"/>
        <v>22.61</v>
      </c>
      <c r="D64" s="70">
        <v>17.14</v>
      </c>
      <c r="E64" s="59">
        <v>5.47</v>
      </c>
      <c r="F64" s="59"/>
      <c r="G64" s="59"/>
      <c r="H64" s="59"/>
      <c r="I64" s="59"/>
      <c r="J64" s="31">
        <f t="shared" si="1"/>
        <v>3391.5</v>
      </c>
      <c r="K64" s="59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spans="1:28">
      <c r="A65" s="21">
        <v>46277</v>
      </c>
      <c r="B65" s="23" t="s">
        <v>31</v>
      </c>
      <c r="C65" s="27">
        <f t="shared" si="0"/>
        <v>20.5</v>
      </c>
      <c r="D65" s="59">
        <v>16.23</v>
      </c>
      <c r="E65" s="70">
        <v>4.2699999999999996</v>
      </c>
      <c r="F65" s="59"/>
      <c r="G65" s="59"/>
      <c r="H65" s="59"/>
      <c r="I65" s="59"/>
      <c r="J65" s="31">
        <f t="shared" si="1"/>
        <v>3075</v>
      </c>
      <c r="K65" s="59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spans="1:28">
      <c r="A66" s="21">
        <v>46278</v>
      </c>
      <c r="B66" s="23" t="s">
        <v>49</v>
      </c>
      <c r="C66" s="27">
        <f t="shared" si="0"/>
        <v>0</v>
      </c>
      <c r="D66" s="59"/>
      <c r="E66" s="70"/>
      <c r="F66" s="59"/>
      <c r="G66" s="59"/>
      <c r="H66" s="59"/>
      <c r="I66" s="59"/>
      <c r="J66" s="31">
        <f t="shared" si="1"/>
        <v>0</v>
      </c>
      <c r="K66" s="59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1:28">
      <c r="A67" s="21">
        <v>46279</v>
      </c>
      <c r="B67" s="23" t="s">
        <v>69</v>
      </c>
      <c r="C67" s="27">
        <f t="shared" si="0"/>
        <v>50.11</v>
      </c>
      <c r="D67" s="59">
        <v>42.98</v>
      </c>
      <c r="E67" s="59">
        <v>7.13</v>
      </c>
      <c r="F67" s="59"/>
      <c r="G67" s="59"/>
      <c r="H67" s="59"/>
      <c r="I67" s="59"/>
      <c r="J67" s="31">
        <f t="shared" si="1"/>
        <v>7516.5</v>
      </c>
      <c r="K67" s="59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spans="1:28">
      <c r="A68" s="21">
        <v>46280</v>
      </c>
      <c r="B68" s="23" t="s">
        <v>72</v>
      </c>
      <c r="C68" s="27">
        <f t="shared" si="0"/>
        <v>13.2</v>
      </c>
      <c r="D68" s="59">
        <v>9.67</v>
      </c>
      <c r="E68" s="59">
        <v>3.53</v>
      </c>
      <c r="F68" s="59"/>
      <c r="G68" s="59"/>
      <c r="H68" s="59"/>
      <c r="I68" s="59"/>
      <c r="J68" s="31">
        <f t="shared" si="1"/>
        <v>1980</v>
      </c>
      <c r="K68" s="59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spans="1:28">
      <c r="A69" s="21">
        <v>46281</v>
      </c>
      <c r="B69" s="23" t="s">
        <v>79</v>
      </c>
      <c r="C69" s="27">
        <f t="shared" si="0"/>
        <v>11.129999999999999</v>
      </c>
      <c r="D69" s="59">
        <v>5.54</v>
      </c>
      <c r="E69" s="59">
        <v>5.59</v>
      </c>
      <c r="F69" s="59"/>
      <c r="G69" s="59"/>
      <c r="H69" s="59"/>
      <c r="I69" s="59"/>
      <c r="J69" s="31">
        <f t="shared" si="1"/>
        <v>1669.4999999999998</v>
      </c>
      <c r="K69" s="59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spans="1:28">
      <c r="A70" s="21">
        <v>46282</v>
      </c>
      <c r="B70" s="23" t="s">
        <v>83</v>
      </c>
      <c r="C70" s="27">
        <f t="shared" si="0"/>
        <v>19.840000000000003</v>
      </c>
      <c r="D70" s="59">
        <v>14.1</v>
      </c>
      <c r="E70" s="59">
        <v>5.07</v>
      </c>
      <c r="F70" s="59">
        <v>0.67</v>
      </c>
      <c r="G70" s="59"/>
      <c r="H70" s="59"/>
      <c r="I70" s="59"/>
      <c r="J70" s="31">
        <f t="shared" si="1"/>
        <v>2976.0000000000005</v>
      </c>
      <c r="K70" s="59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1:28">
      <c r="A71" s="21">
        <v>46283</v>
      </c>
      <c r="B71" s="23" t="s">
        <v>34</v>
      </c>
      <c r="C71" s="27">
        <f t="shared" si="0"/>
        <v>15.47</v>
      </c>
      <c r="D71" s="59">
        <v>11.4</v>
      </c>
      <c r="E71" s="59">
        <v>4.07</v>
      </c>
      <c r="F71" s="59"/>
      <c r="G71" s="59"/>
      <c r="H71" s="59"/>
      <c r="I71" s="59"/>
      <c r="J71" s="31">
        <f t="shared" si="1"/>
        <v>2320.5</v>
      </c>
      <c r="K71" s="59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spans="1:28">
      <c r="A72" s="21">
        <v>46284</v>
      </c>
      <c r="B72" s="23" t="s">
        <v>31</v>
      </c>
      <c r="C72" s="27">
        <f t="shared" si="0"/>
        <v>10.119999999999999</v>
      </c>
      <c r="D72" s="59">
        <v>10.119999999999999</v>
      </c>
      <c r="E72" s="59"/>
      <c r="F72" s="59"/>
      <c r="G72" s="59"/>
      <c r="H72" s="59"/>
      <c r="I72" s="59"/>
      <c r="J72" s="31">
        <f t="shared" si="1"/>
        <v>1517.9999999999998</v>
      </c>
      <c r="K72" s="59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spans="1:28">
      <c r="A73" s="21">
        <v>46285</v>
      </c>
      <c r="B73" s="23" t="s">
        <v>49</v>
      </c>
      <c r="C73" s="27">
        <f t="shared" si="0"/>
        <v>0</v>
      </c>
      <c r="D73" s="59"/>
      <c r="E73" s="59"/>
      <c r="F73" s="59"/>
      <c r="G73" s="59"/>
      <c r="H73" s="59"/>
      <c r="I73" s="59"/>
      <c r="J73" s="31">
        <f t="shared" si="1"/>
        <v>0</v>
      </c>
      <c r="K73" s="59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spans="1:28">
      <c r="A74" s="21">
        <v>46286</v>
      </c>
      <c r="B74" s="23" t="s">
        <v>69</v>
      </c>
      <c r="C74" s="27">
        <f t="shared" si="0"/>
        <v>23.84</v>
      </c>
      <c r="D74" s="59">
        <v>15.66</v>
      </c>
      <c r="E74" s="59">
        <v>8.18</v>
      </c>
      <c r="F74" s="59"/>
      <c r="G74" s="59"/>
      <c r="H74" s="59"/>
      <c r="I74" s="59"/>
      <c r="J74" s="31">
        <f t="shared" si="1"/>
        <v>3576</v>
      </c>
      <c r="K74" s="59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28">
      <c r="A75" s="21">
        <v>46287</v>
      </c>
      <c r="B75" s="23" t="s">
        <v>72</v>
      </c>
      <c r="C75" s="27">
        <f t="shared" si="0"/>
        <v>9.39</v>
      </c>
      <c r="D75" s="70">
        <v>9.39</v>
      </c>
      <c r="E75" s="59"/>
      <c r="F75" s="59"/>
      <c r="G75" s="59"/>
      <c r="H75" s="59"/>
      <c r="I75" s="59"/>
      <c r="J75" s="31">
        <f t="shared" si="1"/>
        <v>1408.5</v>
      </c>
      <c r="K75" s="59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spans="1:28">
      <c r="A76" s="21">
        <v>46288</v>
      </c>
      <c r="B76" s="23" t="s">
        <v>79</v>
      </c>
      <c r="C76" s="27">
        <f t="shared" si="0"/>
        <v>0</v>
      </c>
      <c r="D76" s="70"/>
      <c r="E76" s="59"/>
      <c r="F76" s="59"/>
      <c r="G76" s="59"/>
      <c r="H76" s="59"/>
      <c r="I76" s="59"/>
      <c r="J76" s="31">
        <f t="shared" si="1"/>
        <v>0</v>
      </c>
      <c r="K76" s="59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spans="1:28">
      <c r="A77" s="21">
        <v>46289</v>
      </c>
      <c r="B77" s="23" t="s">
        <v>83</v>
      </c>
      <c r="C77" s="27">
        <f t="shared" si="0"/>
        <v>0</v>
      </c>
      <c r="D77" s="70"/>
      <c r="E77" s="59"/>
      <c r="F77" s="70"/>
      <c r="G77" s="59"/>
      <c r="H77" s="59"/>
      <c r="I77" s="59"/>
      <c r="J77" s="31">
        <f t="shared" si="1"/>
        <v>0</v>
      </c>
      <c r="K77" s="59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spans="1:28">
      <c r="A78" s="21">
        <v>46290</v>
      </c>
      <c r="B78" s="23" t="s">
        <v>34</v>
      </c>
      <c r="C78" s="27">
        <f t="shared" si="0"/>
        <v>0</v>
      </c>
      <c r="D78" s="59"/>
      <c r="E78" s="59"/>
      <c r="F78" s="59"/>
      <c r="G78" s="59"/>
      <c r="H78" s="59"/>
      <c r="I78" s="59"/>
      <c r="J78" s="31">
        <f t="shared" si="1"/>
        <v>0</v>
      </c>
      <c r="K78" s="59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spans="1:28">
      <c r="A79" s="21">
        <v>46291</v>
      </c>
      <c r="B79" s="23" t="s">
        <v>31</v>
      </c>
      <c r="C79" s="27">
        <f t="shared" si="0"/>
        <v>0</v>
      </c>
      <c r="D79" s="59"/>
      <c r="E79" s="59"/>
      <c r="F79" s="59"/>
      <c r="G79" s="59"/>
      <c r="H79" s="59"/>
      <c r="I79" s="59"/>
      <c r="J79" s="31">
        <f t="shared" si="1"/>
        <v>0</v>
      </c>
      <c r="K79" s="59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spans="1:28">
      <c r="A80" s="21">
        <v>46292</v>
      </c>
      <c r="B80" s="23" t="s">
        <v>49</v>
      </c>
      <c r="C80" s="27">
        <f t="shared" si="0"/>
        <v>0</v>
      </c>
      <c r="D80" s="59"/>
      <c r="E80" s="59"/>
      <c r="F80" s="59"/>
      <c r="G80" s="59"/>
      <c r="H80" s="59"/>
      <c r="I80" s="59"/>
      <c r="J80" s="31">
        <f t="shared" si="1"/>
        <v>0</v>
      </c>
      <c r="K80" s="59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spans="1:28">
      <c r="A81" s="21">
        <v>46293</v>
      </c>
      <c r="B81" s="23" t="s">
        <v>69</v>
      </c>
      <c r="C81" s="27">
        <f t="shared" si="0"/>
        <v>0</v>
      </c>
      <c r="D81" s="59"/>
      <c r="E81" s="59"/>
      <c r="F81" s="59"/>
      <c r="G81" s="59"/>
      <c r="H81" s="59"/>
      <c r="I81" s="59"/>
      <c r="J81" s="31">
        <f t="shared" si="1"/>
        <v>0</v>
      </c>
      <c r="K81" s="59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spans="1:28">
      <c r="A82" s="21">
        <v>46294</v>
      </c>
      <c r="B82" s="23" t="s">
        <v>72</v>
      </c>
      <c r="C82" s="27">
        <f t="shared" si="0"/>
        <v>0</v>
      </c>
      <c r="D82" s="59"/>
      <c r="E82" s="59"/>
      <c r="F82" s="59"/>
      <c r="G82" s="59"/>
      <c r="H82" s="59"/>
      <c r="I82" s="59"/>
      <c r="J82" s="31">
        <f t="shared" si="1"/>
        <v>0</v>
      </c>
      <c r="K82" s="59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spans="1:28">
      <c r="A83" s="21">
        <v>46295</v>
      </c>
      <c r="B83" s="23" t="s">
        <v>79</v>
      </c>
      <c r="C83" s="27">
        <f t="shared" si="0"/>
        <v>0</v>
      </c>
      <c r="D83" s="59"/>
      <c r="E83" s="59"/>
      <c r="F83" s="59"/>
      <c r="G83" s="59"/>
      <c r="H83" s="59"/>
      <c r="I83" s="59"/>
      <c r="J83" s="31">
        <f t="shared" si="1"/>
        <v>0</v>
      </c>
      <c r="K83" s="59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spans="1:28">
      <c r="A84" s="21">
        <v>46296</v>
      </c>
      <c r="B84" s="23" t="s">
        <v>83</v>
      </c>
      <c r="C84" s="27">
        <f t="shared" si="0"/>
        <v>0</v>
      </c>
      <c r="D84" s="59"/>
      <c r="E84" s="59"/>
      <c r="F84" s="59"/>
      <c r="G84" s="59"/>
      <c r="H84" s="59"/>
      <c r="I84" s="59"/>
      <c r="J84" s="31">
        <f t="shared" si="1"/>
        <v>0</v>
      </c>
      <c r="K84" s="59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28">
      <c r="A85" s="21">
        <v>46297</v>
      </c>
      <c r="B85" s="23" t="s">
        <v>34</v>
      </c>
      <c r="C85" s="27">
        <f t="shared" si="0"/>
        <v>0</v>
      </c>
      <c r="D85" s="59"/>
      <c r="E85" s="70"/>
      <c r="F85" s="59"/>
      <c r="G85" s="59"/>
      <c r="H85" s="59"/>
      <c r="I85" s="59"/>
      <c r="J85" s="31">
        <f t="shared" si="1"/>
        <v>0</v>
      </c>
      <c r="K85" s="59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spans="1:28">
      <c r="A86" s="21">
        <v>46298</v>
      </c>
      <c r="B86" s="23" t="s">
        <v>31</v>
      </c>
      <c r="C86" s="27">
        <f t="shared" si="0"/>
        <v>0</v>
      </c>
      <c r="D86" s="70"/>
      <c r="E86" s="59"/>
      <c r="F86" s="59"/>
      <c r="G86" s="59"/>
      <c r="H86" s="59"/>
      <c r="I86" s="59"/>
      <c r="J86" s="31">
        <f t="shared" si="1"/>
        <v>0</v>
      </c>
      <c r="K86" s="59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spans="1:28">
      <c r="A87" s="21">
        <v>46299</v>
      </c>
      <c r="B87" s="23" t="s">
        <v>49</v>
      </c>
      <c r="C87" s="27">
        <f t="shared" si="0"/>
        <v>0</v>
      </c>
      <c r="D87" s="70"/>
      <c r="E87" s="70"/>
      <c r="F87" s="59"/>
      <c r="G87" s="59"/>
      <c r="H87" s="59"/>
      <c r="I87" s="59"/>
      <c r="J87" s="31">
        <f t="shared" si="1"/>
        <v>0</v>
      </c>
      <c r="K87" s="59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spans="1:28">
      <c r="A88" s="21">
        <v>46300</v>
      </c>
      <c r="B88" s="23" t="s">
        <v>69</v>
      </c>
      <c r="C88" s="27">
        <f t="shared" si="0"/>
        <v>0</v>
      </c>
      <c r="D88" s="59"/>
      <c r="E88" s="59"/>
      <c r="F88" s="59"/>
      <c r="G88" s="59"/>
      <c r="H88" s="59"/>
      <c r="I88" s="59"/>
      <c r="J88" s="31">
        <f t="shared" si="1"/>
        <v>0</v>
      </c>
      <c r="K88" s="59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spans="1:28">
      <c r="A89" s="21">
        <v>46301</v>
      </c>
      <c r="B89" s="23" t="s">
        <v>72</v>
      </c>
      <c r="C89" s="27">
        <f t="shared" si="0"/>
        <v>0</v>
      </c>
      <c r="D89" s="59"/>
      <c r="E89" s="59"/>
      <c r="F89" s="59"/>
      <c r="G89" s="59"/>
      <c r="H89" s="59"/>
      <c r="I89" s="59"/>
      <c r="J89" s="31">
        <f t="shared" si="1"/>
        <v>0</v>
      </c>
      <c r="K89" s="59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spans="1:28">
      <c r="A90" s="21">
        <v>46302</v>
      </c>
      <c r="B90" s="23" t="s">
        <v>79</v>
      </c>
      <c r="C90" s="27">
        <f t="shared" si="0"/>
        <v>0</v>
      </c>
      <c r="D90" s="70"/>
      <c r="E90" s="70"/>
      <c r="F90" s="70"/>
      <c r="G90" s="59"/>
      <c r="H90" s="59"/>
      <c r="I90" s="59"/>
      <c r="J90" s="31">
        <f t="shared" si="1"/>
        <v>0</v>
      </c>
      <c r="K90" s="59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spans="1:28">
      <c r="A91" s="21">
        <v>46303</v>
      </c>
      <c r="B91" s="23" t="s">
        <v>83</v>
      </c>
      <c r="C91" s="27">
        <f t="shared" si="0"/>
        <v>0</v>
      </c>
      <c r="D91" s="59"/>
      <c r="E91" s="59"/>
      <c r="F91" s="59"/>
      <c r="G91" s="59"/>
      <c r="H91" s="59"/>
      <c r="I91" s="59"/>
      <c r="J91" s="31">
        <f t="shared" si="1"/>
        <v>0</v>
      </c>
      <c r="K91" s="59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spans="1:28">
      <c r="A92" s="21">
        <v>46304</v>
      </c>
      <c r="B92" s="23" t="s">
        <v>34</v>
      </c>
      <c r="C92" s="27">
        <f t="shared" si="0"/>
        <v>0</v>
      </c>
      <c r="D92" s="70"/>
      <c r="E92" s="59"/>
      <c r="F92" s="59"/>
      <c r="G92" s="59"/>
      <c r="H92" s="59"/>
      <c r="I92" s="59"/>
      <c r="J92" s="31">
        <f t="shared" si="1"/>
        <v>0</v>
      </c>
      <c r="K92" s="59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spans="1:28">
      <c r="A93" s="21">
        <v>46305</v>
      </c>
      <c r="B93" s="23" t="s">
        <v>31</v>
      </c>
      <c r="C93" s="27">
        <f t="shared" si="0"/>
        <v>0</v>
      </c>
      <c r="D93" s="70"/>
      <c r="E93" s="59"/>
      <c r="F93" s="59"/>
      <c r="G93" s="59"/>
      <c r="H93" s="59"/>
      <c r="I93" s="59"/>
      <c r="J93" s="31">
        <f t="shared" si="1"/>
        <v>0</v>
      </c>
      <c r="K93" s="59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spans="1:28">
      <c r="A94" s="21">
        <v>46306</v>
      </c>
      <c r="B94" s="23" t="s">
        <v>49</v>
      </c>
      <c r="C94" s="27">
        <f t="shared" si="0"/>
        <v>0</v>
      </c>
      <c r="D94" s="70"/>
      <c r="E94" s="59"/>
      <c r="F94" s="59"/>
      <c r="G94" s="59"/>
      <c r="H94" s="59"/>
      <c r="I94" s="59"/>
      <c r="J94" s="31">
        <f t="shared" si="1"/>
        <v>0</v>
      </c>
      <c r="K94" s="59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spans="1:28">
      <c r="A95" s="21">
        <v>46307</v>
      </c>
      <c r="B95" s="23" t="s">
        <v>69</v>
      </c>
      <c r="C95" s="27">
        <f t="shared" si="0"/>
        <v>0</v>
      </c>
      <c r="D95" s="59"/>
      <c r="E95" s="59"/>
      <c r="F95" s="59"/>
      <c r="G95" s="59"/>
      <c r="H95" s="59"/>
      <c r="I95" s="59"/>
      <c r="J95" s="31">
        <f t="shared" si="1"/>
        <v>0</v>
      </c>
      <c r="K95" s="59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spans="1:28">
      <c r="A96" s="21">
        <v>46308</v>
      </c>
      <c r="B96" s="23" t="s">
        <v>72</v>
      </c>
      <c r="C96" s="27">
        <f t="shared" si="0"/>
        <v>0</v>
      </c>
      <c r="D96" s="70"/>
      <c r="E96" s="70"/>
      <c r="F96" s="59"/>
      <c r="G96" s="59"/>
      <c r="H96" s="59"/>
      <c r="I96" s="59"/>
      <c r="J96" s="31">
        <f t="shared" si="1"/>
        <v>0</v>
      </c>
      <c r="K96" s="59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spans="1:28">
      <c r="A97" s="21">
        <v>46309</v>
      </c>
      <c r="B97" s="23" t="s">
        <v>79</v>
      </c>
      <c r="C97" s="27">
        <f t="shared" si="0"/>
        <v>0</v>
      </c>
      <c r="D97" s="70"/>
      <c r="E97" s="70"/>
      <c r="F97" s="59"/>
      <c r="G97" s="59"/>
      <c r="H97" s="59"/>
      <c r="I97" s="59"/>
      <c r="J97" s="31">
        <f t="shared" si="1"/>
        <v>0</v>
      </c>
      <c r="K97" s="59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spans="1:28">
      <c r="A98" s="21">
        <v>46310</v>
      </c>
      <c r="B98" s="23" t="s">
        <v>83</v>
      </c>
      <c r="C98" s="27">
        <f t="shared" si="0"/>
        <v>0</v>
      </c>
      <c r="D98" s="70"/>
      <c r="E98" s="70"/>
      <c r="F98" s="59"/>
      <c r="G98" s="59"/>
      <c r="H98" s="59"/>
      <c r="I98" s="59"/>
      <c r="J98" s="31">
        <f t="shared" si="1"/>
        <v>0</v>
      </c>
      <c r="K98" s="59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spans="1:28">
      <c r="A99" s="21">
        <v>46311</v>
      </c>
      <c r="B99" s="23" t="s">
        <v>34</v>
      </c>
      <c r="C99" s="27">
        <f t="shared" si="0"/>
        <v>0</v>
      </c>
      <c r="D99" s="59"/>
      <c r="E99" s="59"/>
      <c r="F99" s="59"/>
      <c r="G99" s="59"/>
      <c r="H99" s="59"/>
      <c r="I99" s="59"/>
      <c r="J99" s="31">
        <f t="shared" si="1"/>
        <v>0</v>
      </c>
      <c r="K99" s="59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spans="1:28">
      <c r="A100" s="21">
        <v>46312</v>
      </c>
      <c r="B100" s="23" t="s">
        <v>31</v>
      </c>
      <c r="C100" s="27">
        <f t="shared" si="0"/>
        <v>0</v>
      </c>
      <c r="D100" s="59"/>
      <c r="E100" s="70"/>
      <c r="F100" s="59"/>
      <c r="G100" s="59"/>
      <c r="H100" s="59"/>
      <c r="I100" s="59"/>
      <c r="J100" s="31">
        <f t="shared" si="1"/>
        <v>0</v>
      </c>
      <c r="K100" s="59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spans="1:28">
      <c r="A101" s="21">
        <v>46313</v>
      </c>
      <c r="B101" s="23" t="s">
        <v>49</v>
      </c>
      <c r="C101" s="27">
        <f t="shared" si="0"/>
        <v>0</v>
      </c>
      <c r="D101" s="59"/>
      <c r="E101" s="59"/>
      <c r="F101" s="59"/>
      <c r="G101" s="59"/>
      <c r="H101" s="59"/>
      <c r="I101" s="59"/>
      <c r="J101" s="31">
        <f t="shared" si="1"/>
        <v>0</v>
      </c>
      <c r="K101" s="59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spans="1:28">
      <c r="A102" s="21">
        <v>46314</v>
      </c>
      <c r="B102" s="23" t="s">
        <v>69</v>
      </c>
      <c r="C102" s="27">
        <f t="shared" si="0"/>
        <v>0</v>
      </c>
      <c r="D102" s="59"/>
      <c r="E102" s="59"/>
      <c r="F102" s="59"/>
      <c r="G102" s="59"/>
      <c r="H102" s="59"/>
      <c r="I102" s="59"/>
      <c r="J102" s="31">
        <f t="shared" si="1"/>
        <v>0</v>
      </c>
      <c r="K102" s="59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spans="1:28">
      <c r="A103" s="21">
        <v>46315</v>
      </c>
      <c r="B103" s="23" t="s">
        <v>72</v>
      </c>
      <c r="C103" s="27">
        <f t="shared" si="0"/>
        <v>0</v>
      </c>
      <c r="D103" s="59"/>
      <c r="E103" s="59"/>
      <c r="F103" s="59"/>
      <c r="G103" s="59"/>
      <c r="H103" s="59"/>
      <c r="I103" s="59"/>
      <c r="J103" s="31">
        <f t="shared" si="1"/>
        <v>0</v>
      </c>
      <c r="K103" s="59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spans="1:28">
      <c r="A104" s="21">
        <v>46316</v>
      </c>
      <c r="B104" s="23" t="s">
        <v>79</v>
      </c>
      <c r="C104" s="27">
        <f t="shared" si="0"/>
        <v>0</v>
      </c>
      <c r="D104" s="70"/>
      <c r="E104" s="59"/>
      <c r="F104" s="59"/>
      <c r="G104" s="70"/>
      <c r="H104" s="59"/>
      <c r="I104" s="59"/>
      <c r="J104" s="31">
        <f t="shared" si="1"/>
        <v>0</v>
      </c>
      <c r="K104" s="59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spans="1:28">
      <c r="A105" s="21">
        <v>46317</v>
      </c>
      <c r="B105" s="23" t="s">
        <v>83</v>
      </c>
      <c r="C105" s="27">
        <f t="shared" si="0"/>
        <v>0</v>
      </c>
      <c r="D105" s="59"/>
      <c r="E105" s="59"/>
      <c r="F105" s="59"/>
      <c r="G105" s="59"/>
      <c r="H105" s="59"/>
      <c r="I105" s="59"/>
      <c r="J105" s="31">
        <f t="shared" si="1"/>
        <v>0</v>
      </c>
      <c r="K105" s="59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spans="1:28">
      <c r="A106" s="21">
        <v>46318</v>
      </c>
      <c r="B106" s="23" t="s">
        <v>34</v>
      </c>
      <c r="C106" s="27">
        <f t="shared" si="0"/>
        <v>0</v>
      </c>
      <c r="D106" s="59"/>
      <c r="E106" s="59"/>
      <c r="F106" s="59"/>
      <c r="G106" s="59"/>
      <c r="H106" s="59"/>
      <c r="I106" s="59"/>
      <c r="J106" s="31">
        <f t="shared" si="1"/>
        <v>0</v>
      </c>
      <c r="K106" s="59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spans="1:28">
      <c r="A107" s="21">
        <v>46319</v>
      </c>
      <c r="B107" s="23" t="s">
        <v>31</v>
      </c>
      <c r="C107" s="27">
        <f t="shared" si="0"/>
        <v>0</v>
      </c>
      <c r="D107" s="35"/>
      <c r="E107" s="59"/>
      <c r="F107" s="59"/>
      <c r="G107" s="59"/>
      <c r="H107" s="59"/>
      <c r="I107" s="59"/>
      <c r="J107" s="31">
        <f t="shared" si="1"/>
        <v>0</v>
      </c>
      <c r="K107" s="59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spans="1:28">
      <c r="A108" s="21">
        <v>46320</v>
      </c>
      <c r="B108" s="23" t="s">
        <v>49</v>
      </c>
      <c r="C108" s="27">
        <f t="shared" si="0"/>
        <v>0</v>
      </c>
      <c r="D108" s="59"/>
      <c r="E108" s="59"/>
      <c r="F108" s="59"/>
      <c r="G108" s="59"/>
      <c r="H108" s="59"/>
      <c r="I108" s="59"/>
      <c r="J108" s="31">
        <f t="shared" si="1"/>
        <v>0</v>
      </c>
      <c r="K108" s="59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spans="1:28">
      <c r="A109" s="21">
        <v>46321</v>
      </c>
      <c r="B109" s="23" t="s">
        <v>69</v>
      </c>
      <c r="C109" s="27">
        <f t="shared" si="0"/>
        <v>0</v>
      </c>
      <c r="D109" s="59"/>
      <c r="E109" s="59"/>
      <c r="F109" s="59"/>
      <c r="G109" s="59"/>
      <c r="H109" s="59"/>
      <c r="I109" s="59"/>
      <c r="J109" s="31">
        <f t="shared" si="1"/>
        <v>0</v>
      </c>
      <c r="K109" s="59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spans="1:28">
      <c r="A110" s="21">
        <v>46322</v>
      </c>
      <c r="B110" s="23" t="s">
        <v>72</v>
      </c>
      <c r="C110" s="27">
        <f t="shared" si="0"/>
        <v>0</v>
      </c>
      <c r="D110" s="59"/>
      <c r="E110" s="59"/>
      <c r="F110" s="59"/>
      <c r="G110" s="59"/>
      <c r="H110" s="59"/>
      <c r="I110" s="59"/>
      <c r="J110" s="31">
        <f t="shared" si="1"/>
        <v>0</v>
      </c>
      <c r="K110" s="59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spans="1:28">
      <c r="A111" s="21">
        <v>46323</v>
      </c>
      <c r="B111" s="23" t="s">
        <v>79</v>
      </c>
      <c r="C111" s="27">
        <f t="shared" si="0"/>
        <v>0</v>
      </c>
      <c r="D111" s="59"/>
      <c r="E111" s="70"/>
      <c r="F111" s="59"/>
      <c r="G111" s="59"/>
      <c r="H111" s="59"/>
      <c r="I111" s="59"/>
      <c r="J111" s="31">
        <f t="shared" si="1"/>
        <v>0</v>
      </c>
      <c r="K111" s="59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spans="1:28">
      <c r="A112" s="21">
        <v>46324</v>
      </c>
      <c r="B112" s="23" t="s">
        <v>83</v>
      </c>
      <c r="C112" s="27">
        <f t="shared" si="0"/>
        <v>0</v>
      </c>
      <c r="D112" s="59"/>
      <c r="E112" s="59"/>
      <c r="F112" s="59"/>
      <c r="G112" s="59"/>
      <c r="H112" s="59"/>
      <c r="I112" s="59"/>
      <c r="J112" s="31">
        <f t="shared" si="1"/>
        <v>0</v>
      </c>
      <c r="K112" s="59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spans="1:28">
      <c r="A113" s="21">
        <v>46325</v>
      </c>
      <c r="B113" s="23" t="s">
        <v>34</v>
      </c>
      <c r="C113" s="27">
        <f t="shared" si="0"/>
        <v>0</v>
      </c>
      <c r="D113" s="59"/>
      <c r="E113" s="59"/>
      <c r="F113" s="59"/>
      <c r="G113" s="59"/>
      <c r="H113" s="59"/>
      <c r="I113" s="59"/>
      <c r="J113" s="31">
        <f t="shared" si="1"/>
        <v>0</v>
      </c>
      <c r="K113" s="59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spans="1:28">
      <c r="A114" s="21">
        <v>46326</v>
      </c>
      <c r="B114" s="23" t="s">
        <v>31</v>
      </c>
      <c r="C114" s="27">
        <f t="shared" si="0"/>
        <v>0</v>
      </c>
      <c r="D114" s="59"/>
      <c r="E114" s="70"/>
      <c r="F114" s="59"/>
      <c r="G114" s="59"/>
      <c r="H114" s="59"/>
      <c r="I114" s="59"/>
      <c r="J114" s="31">
        <f t="shared" si="1"/>
        <v>0</v>
      </c>
      <c r="K114" s="59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spans="1:28">
      <c r="A115" s="21">
        <v>46327</v>
      </c>
      <c r="B115" s="23" t="s">
        <v>49</v>
      </c>
      <c r="C115" s="27">
        <f t="shared" si="0"/>
        <v>0</v>
      </c>
      <c r="D115" s="59"/>
      <c r="E115" s="59"/>
      <c r="F115" s="59"/>
      <c r="G115" s="59"/>
      <c r="H115" s="59"/>
      <c r="I115" s="59"/>
      <c r="J115" s="31">
        <f t="shared" si="1"/>
        <v>0</v>
      </c>
      <c r="K115" s="59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spans="1:28">
      <c r="A116" s="21">
        <v>46328</v>
      </c>
      <c r="B116" s="23" t="s">
        <v>69</v>
      </c>
      <c r="C116" s="27">
        <f t="shared" si="0"/>
        <v>0</v>
      </c>
      <c r="D116" s="70"/>
      <c r="E116" s="59"/>
      <c r="F116" s="59"/>
      <c r="G116" s="59"/>
      <c r="H116" s="59"/>
      <c r="I116" s="59"/>
      <c r="J116" s="31">
        <f t="shared" si="1"/>
        <v>0</v>
      </c>
      <c r="K116" s="59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spans="1:28">
      <c r="A117" s="21">
        <v>46329</v>
      </c>
      <c r="B117" s="23" t="s">
        <v>72</v>
      </c>
      <c r="C117" s="27">
        <f t="shared" si="0"/>
        <v>0</v>
      </c>
      <c r="D117" s="59"/>
      <c r="E117" s="59"/>
      <c r="F117" s="59"/>
      <c r="G117" s="59"/>
      <c r="H117" s="59"/>
      <c r="I117" s="59"/>
      <c r="J117" s="31">
        <f t="shared" si="1"/>
        <v>0</v>
      </c>
      <c r="K117" s="59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spans="1:28">
      <c r="A118" s="21">
        <v>46330</v>
      </c>
      <c r="B118" s="23" t="s">
        <v>79</v>
      </c>
      <c r="C118" s="27">
        <f t="shared" si="0"/>
        <v>0</v>
      </c>
      <c r="D118" s="59"/>
      <c r="E118" s="59"/>
      <c r="F118" s="59"/>
      <c r="G118" s="59"/>
      <c r="H118" s="59"/>
      <c r="I118" s="59"/>
      <c r="J118" s="31">
        <f t="shared" si="1"/>
        <v>0</v>
      </c>
      <c r="K118" s="59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spans="1:28">
      <c r="A119" s="21">
        <v>46331</v>
      </c>
      <c r="B119" s="23" t="s">
        <v>83</v>
      </c>
      <c r="C119" s="27">
        <f t="shared" si="0"/>
        <v>0</v>
      </c>
      <c r="D119" s="59"/>
      <c r="E119" s="59"/>
      <c r="F119" s="59"/>
      <c r="G119" s="59"/>
      <c r="H119" s="59"/>
      <c r="I119" s="59"/>
      <c r="J119" s="31">
        <f t="shared" si="1"/>
        <v>0</v>
      </c>
      <c r="K119" s="59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 spans="1:28">
      <c r="A120" s="21">
        <v>46332</v>
      </c>
      <c r="B120" s="23" t="s">
        <v>34</v>
      </c>
      <c r="C120" s="27">
        <f t="shared" si="0"/>
        <v>0</v>
      </c>
      <c r="D120" s="70"/>
      <c r="E120" s="59"/>
      <c r="F120" s="59"/>
      <c r="G120" s="59"/>
      <c r="H120" s="59"/>
      <c r="I120" s="59"/>
      <c r="J120" s="31">
        <f t="shared" si="1"/>
        <v>0</v>
      </c>
      <c r="K120" s="59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 spans="1:28">
      <c r="A121" s="21">
        <v>46333</v>
      </c>
      <c r="B121" s="23" t="s">
        <v>31</v>
      </c>
      <c r="C121" s="27">
        <f t="shared" si="0"/>
        <v>0</v>
      </c>
      <c r="D121" s="59"/>
      <c r="E121" s="59"/>
      <c r="F121" s="59"/>
      <c r="G121" s="59"/>
      <c r="H121" s="59"/>
      <c r="I121" s="59"/>
      <c r="J121" s="31">
        <f t="shared" si="1"/>
        <v>0</v>
      </c>
      <c r="K121" s="59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 spans="1:28">
      <c r="A122" s="21">
        <v>46334</v>
      </c>
      <c r="B122" s="23" t="s">
        <v>49</v>
      </c>
      <c r="C122" s="27">
        <f t="shared" si="0"/>
        <v>0</v>
      </c>
      <c r="D122" s="59"/>
      <c r="E122" s="59"/>
      <c r="F122" s="59"/>
      <c r="G122" s="59"/>
      <c r="H122" s="59"/>
      <c r="I122" s="59"/>
      <c r="J122" s="31">
        <f t="shared" si="1"/>
        <v>0</v>
      </c>
      <c r="K122" s="59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 spans="1:28">
      <c r="A123" s="21">
        <v>46335</v>
      </c>
      <c r="B123" s="23" t="s">
        <v>69</v>
      </c>
      <c r="C123" s="27">
        <f t="shared" si="0"/>
        <v>0</v>
      </c>
      <c r="D123" s="59"/>
      <c r="E123" s="59"/>
      <c r="F123" s="59"/>
      <c r="G123" s="59"/>
      <c r="H123" s="59"/>
      <c r="I123" s="59"/>
      <c r="J123" s="31">
        <f t="shared" si="1"/>
        <v>0</v>
      </c>
      <c r="K123" s="59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 spans="1:28">
      <c r="A124" s="21">
        <v>46336</v>
      </c>
      <c r="B124" s="23" t="s">
        <v>72</v>
      </c>
      <c r="C124" s="27">
        <f t="shared" si="0"/>
        <v>0</v>
      </c>
      <c r="D124" s="59"/>
      <c r="E124" s="59"/>
      <c r="F124" s="59"/>
      <c r="G124" s="59"/>
      <c r="H124" s="59"/>
      <c r="I124" s="59"/>
      <c r="J124" s="31">
        <f t="shared" si="1"/>
        <v>0</v>
      </c>
      <c r="K124" s="59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 spans="1:28">
      <c r="A125" s="21">
        <v>46337</v>
      </c>
      <c r="B125" s="23" t="s">
        <v>79</v>
      </c>
      <c r="C125" s="27">
        <f t="shared" si="0"/>
        <v>0</v>
      </c>
      <c r="D125" s="59"/>
      <c r="E125" s="59"/>
      <c r="F125" s="59"/>
      <c r="G125" s="59"/>
      <c r="H125" s="59"/>
      <c r="I125" s="59"/>
      <c r="J125" s="31">
        <f t="shared" si="1"/>
        <v>0</v>
      </c>
      <c r="K125" s="59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 spans="1:28">
      <c r="A126" s="21">
        <v>46338</v>
      </c>
      <c r="B126" s="23" t="s">
        <v>83</v>
      </c>
      <c r="C126" s="27">
        <f t="shared" si="0"/>
        <v>0</v>
      </c>
      <c r="D126" s="59"/>
      <c r="E126" s="70"/>
      <c r="F126" s="70"/>
      <c r="G126" s="59"/>
      <c r="H126" s="59"/>
      <c r="I126" s="59"/>
      <c r="J126" s="31">
        <f t="shared" si="1"/>
        <v>0</v>
      </c>
      <c r="K126" s="59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 spans="1:28">
      <c r="A127" s="21">
        <v>46339</v>
      </c>
      <c r="B127" s="23" t="s">
        <v>34</v>
      </c>
      <c r="C127" s="27">
        <f t="shared" si="0"/>
        <v>0</v>
      </c>
      <c r="D127" s="59"/>
      <c r="E127" s="59"/>
      <c r="F127" s="59"/>
      <c r="G127" s="59"/>
      <c r="H127" s="59"/>
      <c r="I127" s="59"/>
      <c r="J127" s="31">
        <f t="shared" si="1"/>
        <v>0</v>
      </c>
      <c r="K127" s="59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spans="1:28">
      <c r="A128" s="21">
        <v>46340</v>
      </c>
      <c r="B128" s="23" t="s">
        <v>31</v>
      </c>
      <c r="C128" s="27">
        <f t="shared" si="0"/>
        <v>0</v>
      </c>
      <c r="D128" s="59"/>
      <c r="E128" s="70"/>
      <c r="F128" s="59"/>
      <c r="G128" s="59"/>
      <c r="H128" s="59"/>
      <c r="I128" s="59"/>
      <c r="J128" s="31">
        <f t="shared" si="1"/>
        <v>0</v>
      </c>
      <c r="K128" s="59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 spans="1:28">
      <c r="A129" s="21">
        <v>46341</v>
      </c>
      <c r="B129" s="23" t="s">
        <v>49</v>
      </c>
      <c r="C129" s="27">
        <f t="shared" si="0"/>
        <v>0</v>
      </c>
      <c r="D129" s="70"/>
      <c r="E129" s="59"/>
      <c r="F129" s="59"/>
      <c r="G129" s="59"/>
      <c r="H129" s="59"/>
      <c r="I129" s="59"/>
      <c r="J129" s="31">
        <f t="shared" si="1"/>
        <v>0</v>
      </c>
      <c r="K129" s="59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 spans="1:28">
      <c r="A130" s="21">
        <v>46342</v>
      </c>
      <c r="B130" s="23" t="s">
        <v>69</v>
      </c>
      <c r="C130" s="27">
        <f t="shared" si="0"/>
        <v>0</v>
      </c>
      <c r="D130" s="59"/>
      <c r="E130" s="59"/>
      <c r="F130" s="59"/>
      <c r="G130" s="59"/>
      <c r="H130" s="59"/>
      <c r="I130" s="59"/>
      <c r="J130" s="31">
        <f t="shared" si="1"/>
        <v>0</v>
      </c>
      <c r="K130" s="59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 spans="1:28">
      <c r="A131" s="21">
        <v>46343</v>
      </c>
      <c r="B131" s="23" t="s">
        <v>72</v>
      </c>
      <c r="C131" s="27">
        <f t="shared" si="0"/>
        <v>0</v>
      </c>
      <c r="D131" s="59"/>
      <c r="E131" s="59"/>
      <c r="F131" s="59"/>
      <c r="G131" s="59"/>
      <c r="H131" s="59"/>
      <c r="I131" s="59"/>
      <c r="J131" s="31">
        <f t="shared" si="1"/>
        <v>0</v>
      </c>
      <c r="K131" s="59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spans="1:28">
      <c r="A132" s="21">
        <v>46344</v>
      </c>
      <c r="B132" s="23" t="s">
        <v>79</v>
      </c>
      <c r="C132" s="27">
        <f t="shared" si="0"/>
        <v>0</v>
      </c>
      <c r="D132" s="59"/>
      <c r="E132" s="59"/>
      <c r="F132" s="59"/>
      <c r="G132" s="59"/>
      <c r="H132" s="59"/>
      <c r="I132" s="59"/>
      <c r="J132" s="31">
        <f t="shared" si="1"/>
        <v>0</v>
      </c>
      <c r="K132" s="59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spans="1:28">
      <c r="A133" s="21">
        <v>46345</v>
      </c>
      <c r="B133" s="23" t="s">
        <v>83</v>
      </c>
      <c r="C133" s="27">
        <f t="shared" si="0"/>
        <v>0</v>
      </c>
      <c r="D133" s="70"/>
      <c r="E133" s="70"/>
      <c r="F133" s="59"/>
      <c r="G133" s="59"/>
      <c r="H133" s="59"/>
      <c r="I133" s="59"/>
      <c r="J133" s="31">
        <f t="shared" si="1"/>
        <v>0</v>
      </c>
      <c r="K133" s="59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spans="1:28">
      <c r="A134" s="21">
        <v>46346</v>
      </c>
      <c r="B134" s="23" t="s">
        <v>34</v>
      </c>
      <c r="C134" s="27">
        <f t="shared" si="0"/>
        <v>0</v>
      </c>
      <c r="D134" s="59"/>
      <c r="E134" s="59"/>
      <c r="F134" s="59"/>
      <c r="G134" s="59"/>
      <c r="H134" s="59"/>
      <c r="I134" s="59"/>
      <c r="J134" s="31">
        <f t="shared" si="1"/>
        <v>0</v>
      </c>
      <c r="K134" s="59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spans="1:28">
      <c r="A135" s="21">
        <v>46347</v>
      </c>
      <c r="B135" s="23" t="s">
        <v>31</v>
      </c>
      <c r="C135" s="27">
        <f t="shared" si="0"/>
        <v>0</v>
      </c>
      <c r="D135" s="70"/>
      <c r="E135" s="35"/>
      <c r="F135" s="59"/>
      <c r="G135" s="59"/>
      <c r="H135" s="59"/>
      <c r="I135" s="59"/>
      <c r="J135" s="31">
        <f t="shared" si="1"/>
        <v>0</v>
      </c>
      <c r="K135" s="59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spans="1:28">
      <c r="A136" s="21">
        <v>46348</v>
      </c>
      <c r="B136" s="23" t="s">
        <v>49</v>
      </c>
      <c r="C136" s="27">
        <f t="shared" si="0"/>
        <v>0</v>
      </c>
      <c r="D136" s="59"/>
      <c r="E136" s="70"/>
      <c r="F136" s="59"/>
      <c r="G136" s="59"/>
      <c r="H136" s="59"/>
      <c r="I136" s="59"/>
      <c r="J136" s="31">
        <f t="shared" si="1"/>
        <v>0</v>
      </c>
      <c r="K136" s="59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spans="1:28">
      <c r="A137" s="21">
        <v>46349</v>
      </c>
      <c r="B137" s="23" t="s">
        <v>69</v>
      </c>
      <c r="C137" s="27">
        <f t="shared" si="0"/>
        <v>0</v>
      </c>
      <c r="D137" s="59"/>
      <c r="E137" s="59"/>
      <c r="F137" s="59"/>
      <c r="G137" s="59"/>
      <c r="H137" s="59"/>
      <c r="I137" s="59"/>
      <c r="J137" s="31">
        <f t="shared" si="1"/>
        <v>0</v>
      </c>
      <c r="K137" s="59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spans="1:28">
      <c r="A138" s="21">
        <v>46350</v>
      </c>
      <c r="B138" s="23" t="s">
        <v>72</v>
      </c>
      <c r="C138" s="27">
        <f t="shared" si="0"/>
        <v>0</v>
      </c>
      <c r="D138" s="59"/>
      <c r="E138" s="59"/>
      <c r="F138" s="59"/>
      <c r="G138" s="70"/>
      <c r="H138" s="59"/>
      <c r="I138" s="59"/>
      <c r="J138" s="31">
        <f t="shared" si="1"/>
        <v>0</v>
      </c>
      <c r="K138" s="59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 spans="1:28">
      <c r="A139" s="21">
        <v>46351</v>
      </c>
      <c r="B139" s="23" t="s">
        <v>79</v>
      </c>
      <c r="C139" s="27">
        <f t="shared" si="0"/>
        <v>0</v>
      </c>
      <c r="D139" s="59"/>
      <c r="E139" s="59"/>
      <c r="F139" s="59"/>
      <c r="G139" s="59"/>
      <c r="H139" s="59"/>
      <c r="I139" s="59"/>
      <c r="J139" s="31">
        <f t="shared" si="1"/>
        <v>0</v>
      </c>
      <c r="K139" s="59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spans="1:28">
      <c r="A140" s="21">
        <v>46352</v>
      </c>
      <c r="B140" s="23" t="s">
        <v>83</v>
      </c>
      <c r="C140" s="27">
        <f t="shared" si="0"/>
        <v>0</v>
      </c>
      <c r="D140" s="160"/>
      <c r="E140" s="161"/>
      <c r="F140" s="161"/>
      <c r="G140" s="161"/>
      <c r="H140" s="161"/>
      <c r="I140" s="161"/>
      <c r="J140" s="31">
        <f t="shared" si="1"/>
        <v>0</v>
      </c>
      <c r="K140" s="161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 spans="1:28">
      <c r="A141" s="163"/>
      <c r="B141" s="164"/>
      <c r="C141" s="165"/>
      <c r="D141" s="166"/>
      <c r="E141" s="168"/>
      <c r="F141" s="168"/>
      <c r="G141" s="168"/>
      <c r="H141" s="168"/>
      <c r="I141" s="168"/>
      <c r="J141" s="169"/>
      <c r="K141" s="168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spans="1:28">
      <c r="A142" s="21"/>
      <c r="B142" s="23"/>
      <c r="C142" s="27"/>
      <c r="D142" s="59"/>
      <c r="E142" s="59"/>
      <c r="F142" s="59"/>
      <c r="G142" s="59"/>
      <c r="H142" s="59"/>
      <c r="I142" s="59"/>
      <c r="J142" s="170"/>
      <c r="K142" s="59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 spans="1:28">
      <c r="A143" s="21"/>
      <c r="B143" s="23"/>
      <c r="C143" s="27"/>
      <c r="D143" s="59"/>
      <c r="E143" s="59"/>
      <c r="F143" s="59"/>
      <c r="G143" s="59"/>
      <c r="H143" s="59"/>
      <c r="I143" s="59"/>
      <c r="J143" s="170"/>
      <c r="K143" s="59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spans="1:28">
      <c r="A144" s="21"/>
      <c r="B144" s="23"/>
      <c r="C144" s="27"/>
      <c r="D144" s="59"/>
      <c r="E144" s="59"/>
      <c r="F144" s="59"/>
      <c r="G144" s="59"/>
      <c r="H144" s="59"/>
      <c r="I144" s="59"/>
      <c r="J144" s="170"/>
      <c r="K144" s="59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spans="1:28">
      <c r="A145" s="21"/>
      <c r="B145" s="23"/>
      <c r="C145" s="27"/>
      <c r="D145" s="59"/>
      <c r="E145" s="59"/>
      <c r="F145" s="59"/>
      <c r="G145" s="59"/>
      <c r="H145" s="59"/>
      <c r="I145" s="59"/>
      <c r="J145" s="170"/>
      <c r="K145" s="59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spans="1:28">
      <c r="A146" s="21"/>
      <c r="B146" s="23"/>
      <c r="C146" s="27"/>
      <c r="D146" s="70"/>
      <c r="E146" s="59"/>
      <c r="F146" s="59"/>
      <c r="G146" s="59"/>
      <c r="H146" s="59"/>
      <c r="I146" s="59"/>
      <c r="J146" s="170"/>
      <c r="K146" s="59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spans="1:28">
      <c r="A147" s="21"/>
      <c r="B147" s="23"/>
      <c r="C147" s="27"/>
      <c r="D147" s="59"/>
      <c r="E147" s="59"/>
      <c r="F147" s="59"/>
      <c r="G147" s="59"/>
      <c r="H147" s="59"/>
      <c r="I147" s="59"/>
      <c r="J147" s="170"/>
      <c r="K147" s="59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spans="1:28">
      <c r="A148" s="21"/>
      <c r="B148" s="23"/>
      <c r="C148" s="27"/>
      <c r="D148" s="171"/>
      <c r="E148" s="59"/>
      <c r="F148" s="59"/>
      <c r="G148" s="59"/>
      <c r="H148" s="59"/>
      <c r="I148" s="59"/>
      <c r="J148" s="170"/>
      <c r="K148" s="59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 spans="1:28">
      <c r="A149" s="21"/>
      <c r="B149" s="23"/>
      <c r="C149" s="27"/>
      <c r="D149" s="171"/>
      <c r="E149" s="59"/>
      <c r="F149" s="59"/>
      <c r="G149" s="59"/>
      <c r="H149" s="59"/>
      <c r="I149" s="59"/>
      <c r="J149" s="170"/>
      <c r="K149" s="59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spans="1:28">
      <c r="A150" s="21"/>
      <c r="B150" s="23"/>
      <c r="C150" s="27"/>
      <c r="D150" s="59"/>
      <c r="E150" s="59"/>
      <c r="F150" s="59"/>
      <c r="G150" s="59"/>
      <c r="H150" s="59"/>
      <c r="I150" s="59"/>
      <c r="J150" s="170"/>
      <c r="K150" s="59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 spans="1:28">
      <c r="A151" s="21"/>
      <c r="B151" s="23"/>
      <c r="C151" s="27"/>
      <c r="D151" s="59"/>
      <c r="E151" s="59"/>
      <c r="F151" s="59"/>
      <c r="G151" s="59"/>
      <c r="H151" s="59"/>
      <c r="I151" s="59"/>
      <c r="J151" s="170"/>
      <c r="K151" s="59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 spans="1:28">
      <c r="A152" s="21"/>
      <c r="B152" s="23"/>
      <c r="C152" s="27"/>
      <c r="D152" s="59"/>
      <c r="E152" s="59"/>
      <c r="F152" s="59"/>
      <c r="G152" s="59"/>
      <c r="H152" s="59"/>
      <c r="I152" s="59"/>
      <c r="J152" s="170"/>
      <c r="K152" s="59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spans="1:28">
      <c r="A153" s="21"/>
      <c r="B153" s="23"/>
      <c r="C153" s="27"/>
      <c r="D153" s="59"/>
      <c r="E153" s="59"/>
      <c r="F153" s="59"/>
      <c r="G153" s="59"/>
      <c r="H153" s="59"/>
      <c r="I153" s="59"/>
      <c r="J153" s="170"/>
      <c r="K153" s="59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 spans="1:28">
      <c r="A154" s="21"/>
      <c r="B154" s="23"/>
      <c r="C154" s="27"/>
      <c r="D154" s="172"/>
      <c r="E154" s="172"/>
      <c r="F154" s="59"/>
      <c r="G154" s="59"/>
      <c r="H154" s="59"/>
      <c r="I154" s="59"/>
      <c r="J154" s="170"/>
      <c r="K154" s="59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spans="1:28">
      <c r="A155" s="21"/>
      <c r="B155" s="23"/>
      <c r="C155" s="27"/>
      <c r="D155" s="172"/>
      <c r="E155" s="172"/>
      <c r="F155" s="59"/>
      <c r="G155" s="59"/>
      <c r="H155" s="59"/>
      <c r="I155" s="59"/>
      <c r="J155" s="170"/>
      <c r="K155" s="59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spans="1:28">
      <c r="A156" s="21"/>
      <c r="B156" s="23"/>
      <c r="C156" s="27"/>
      <c r="D156" s="59"/>
      <c r="E156" s="70"/>
      <c r="F156" s="59"/>
      <c r="G156" s="59"/>
      <c r="H156" s="59"/>
      <c r="I156" s="59"/>
      <c r="J156" s="170"/>
      <c r="K156" s="59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spans="1:28">
      <c r="A157" s="21"/>
      <c r="B157" s="23"/>
      <c r="C157" s="27"/>
      <c r="D157" s="59"/>
      <c r="E157" s="59"/>
      <c r="F157" s="59"/>
      <c r="G157" s="59"/>
      <c r="H157" s="59"/>
      <c r="I157" s="59"/>
      <c r="J157" s="170"/>
      <c r="K157" s="59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spans="1:28">
      <c r="A158" s="21"/>
      <c r="B158" s="23"/>
      <c r="C158" s="27"/>
      <c r="D158" s="59"/>
      <c r="E158" s="59"/>
      <c r="F158" s="59"/>
      <c r="G158" s="59"/>
      <c r="H158" s="59"/>
      <c r="I158" s="59"/>
      <c r="J158" s="170"/>
      <c r="K158" s="59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spans="1:28">
      <c r="A159" s="21"/>
      <c r="B159" s="23"/>
      <c r="C159" s="27"/>
      <c r="D159" s="59"/>
      <c r="E159" s="59"/>
      <c r="F159" s="59"/>
      <c r="G159" s="59"/>
      <c r="H159" s="59"/>
      <c r="I159" s="59"/>
      <c r="J159" s="170"/>
      <c r="K159" s="59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spans="1:28">
      <c r="A160" s="21"/>
      <c r="B160" s="23"/>
      <c r="C160" s="27"/>
      <c r="D160" s="59"/>
      <c r="E160" s="59"/>
      <c r="F160" s="59"/>
      <c r="G160" s="59"/>
      <c r="H160" s="59"/>
      <c r="I160" s="59"/>
      <c r="J160" s="170"/>
      <c r="K160" s="59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 spans="1:28">
      <c r="A161" s="21"/>
      <c r="B161" s="23"/>
      <c r="C161" s="27"/>
      <c r="D161" s="59"/>
      <c r="E161" s="59"/>
      <c r="F161" s="59"/>
      <c r="G161" s="59"/>
      <c r="H161" s="59"/>
      <c r="I161" s="59"/>
      <c r="J161" s="170"/>
      <c r="K161" s="59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 spans="1:28">
      <c r="A162" s="21"/>
      <c r="B162" s="23"/>
      <c r="C162" s="27"/>
      <c r="D162" s="59"/>
      <c r="E162" s="59"/>
      <c r="F162" s="59"/>
      <c r="G162" s="59"/>
      <c r="H162" s="59"/>
      <c r="I162" s="59"/>
      <c r="J162" s="170"/>
      <c r="K162" s="59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spans="1:28">
      <c r="A163" s="21"/>
      <c r="B163" s="23"/>
      <c r="C163" s="27"/>
      <c r="D163" s="59"/>
      <c r="E163" s="59"/>
      <c r="F163" s="59"/>
      <c r="G163" s="59"/>
      <c r="H163" s="59"/>
      <c r="I163" s="59"/>
      <c r="J163" s="170"/>
      <c r="K163" s="59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 spans="1:28">
      <c r="A164" s="21"/>
      <c r="B164" s="23"/>
      <c r="C164" s="27"/>
      <c r="D164" s="59"/>
      <c r="E164" s="59"/>
      <c r="F164" s="59"/>
      <c r="G164" s="59"/>
      <c r="H164" s="59"/>
      <c r="I164" s="59"/>
      <c r="J164" s="170"/>
      <c r="K164" s="59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spans="1:28">
      <c r="A165" s="21"/>
      <c r="B165" s="23"/>
      <c r="C165" s="27"/>
      <c r="D165" s="59"/>
      <c r="E165" s="59"/>
      <c r="F165" s="59"/>
      <c r="G165" s="59"/>
      <c r="H165" s="59"/>
      <c r="I165" s="59"/>
      <c r="J165" s="170"/>
      <c r="K165" s="59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spans="1:28">
      <c r="A166" s="21"/>
      <c r="B166" s="23"/>
      <c r="C166" s="27"/>
      <c r="D166" s="59"/>
      <c r="E166" s="59"/>
      <c r="F166" s="59"/>
      <c r="G166" s="59"/>
      <c r="H166" s="59"/>
      <c r="I166" s="59"/>
      <c r="J166" s="170"/>
      <c r="K166" s="59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 spans="1:28">
      <c r="A167" s="21"/>
      <c r="B167" s="23"/>
      <c r="C167" s="27"/>
      <c r="D167" s="59"/>
      <c r="E167" s="59"/>
      <c r="F167" s="59"/>
      <c r="G167" s="59"/>
      <c r="H167" s="59"/>
      <c r="I167" s="59"/>
      <c r="J167" s="170"/>
      <c r="K167" s="59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 spans="1:28">
      <c r="A168" s="21"/>
      <c r="B168" s="23"/>
      <c r="C168" s="27"/>
      <c r="D168" s="59"/>
      <c r="E168" s="59"/>
      <c r="F168" s="59"/>
      <c r="G168" s="59"/>
      <c r="H168" s="59"/>
      <c r="I168" s="59"/>
      <c r="J168" s="170"/>
      <c r="K168" s="59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spans="1:28">
      <c r="A169" s="21"/>
      <c r="B169" s="23"/>
      <c r="C169" s="27"/>
      <c r="D169" s="59"/>
      <c r="E169" s="59"/>
      <c r="F169" s="59"/>
      <c r="G169" s="59"/>
      <c r="H169" s="59"/>
      <c r="I169" s="59"/>
      <c r="J169" s="170"/>
      <c r="K169" s="59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spans="1:28">
      <c r="A170" s="21"/>
      <c r="B170" s="23"/>
      <c r="C170" s="27"/>
      <c r="D170" s="59"/>
      <c r="E170" s="59"/>
      <c r="F170" s="59"/>
      <c r="G170" s="59"/>
      <c r="H170" s="59"/>
      <c r="I170" s="59"/>
      <c r="J170" s="170"/>
      <c r="K170" s="59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spans="1:28">
      <c r="A171" s="21"/>
      <c r="B171" s="23"/>
      <c r="C171" s="27"/>
      <c r="D171" s="59"/>
      <c r="E171" s="59"/>
      <c r="F171" s="59"/>
      <c r="G171" s="59"/>
      <c r="H171" s="59"/>
      <c r="I171" s="59"/>
      <c r="J171" s="170"/>
      <c r="K171" s="59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spans="1:28">
      <c r="A172" s="21"/>
      <c r="B172" s="23"/>
      <c r="C172" s="27"/>
      <c r="D172" s="59"/>
      <c r="E172" s="59"/>
      <c r="F172" s="59"/>
      <c r="G172" s="59"/>
      <c r="H172" s="59"/>
      <c r="I172" s="59"/>
      <c r="J172" s="170"/>
      <c r="K172" s="59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spans="1:28">
      <c r="A173" s="21"/>
      <c r="B173" s="23"/>
      <c r="C173" s="27"/>
      <c r="D173" s="59"/>
      <c r="E173" s="59"/>
      <c r="F173" s="59"/>
      <c r="G173" s="59"/>
      <c r="H173" s="59"/>
      <c r="I173" s="59"/>
      <c r="J173" s="170"/>
      <c r="K173" s="59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spans="1:28">
      <c r="A174" s="21"/>
      <c r="B174" s="23"/>
      <c r="C174" s="27"/>
      <c r="D174" s="59"/>
      <c r="E174" s="59"/>
      <c r="F174" s="70"/>
      <c r="G174" s="59"/>
      <c r="H174" s="59"/>
      <c r="I174" s="59"/>
      <c r="J174" s="170"/>
      <c r="K174" s="59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spans="1:28">
      <c r="A175" s="21"/>
      <c r="B175" s="23"/>
      <c r="C175" s="27"/>
      <c r="D175" s="70"/>
      <c r="E175" s="59"/>
      <c r="F175" s="59"/>
      <c r="G175" s="59"/>
      <c r="H175" s="59"/>
      <c r="I175" s="59"/>
      <c r="J175" s="170"/>
      <c r="K175" s="59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 spans="1:28">
      <c r="A176" s="21"/>
      <c r="B176" s="23"/>
      <c r="C176" s="27"/>
      <c r="D176" s="70"/>
      <c r="E176" s="59"/>
      <c r="F176" s="59"/>
      <c r="G176" s="59"/>
      <c r="H176" s="59"/>
      <c r="I176" s="59"/>
      <c r="J176" s="170"/>
      <c r="K176" s="59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spans="1:28">
      <c r="A177" s="21"/>
      <c r="B177" s="23"/>
      <c r="C177" s="27"/>
      <c r="D177" s="59"/>
      <c r="E177" s="59"/>
      <c r="F177" s="59"/>
      <c r="G177" s="59"/>
      <c r="H177" s="59"/>
      <c r="I177" s="59"/>
      <c r="J177" s="170"/>
      <c r="K177" s="59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spans="1:28">
      <c r="A178" s="21"/>
      <c r="B178" s="23"/>
      <c r="C178" s="27"/>
      <c r="D178" s="59"/>
      <c r="E178" s="59"/>
      <c r="F178" s="59"/>
      <c r="G178" s="59"/>
      <c r="H178" s="59"/>
      <c r="I178" s="59"/>
      <c r="J178" s="170"/>
      <c r="K178" s="59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 spans="1:28">
      <c r="A179" s="21"/>
      <c r="B179" s="23"/>
      <c r="C179" s="27"/>
      <c r="D179" s="59"/>
      <c r="E179" s="59"/>
      <c r="F179" s="59"/>
      <c r="G179" s="59"/>
      <c r="H179" s="59"/>
      <c r="I179" s="59"/>
      <c r="J179" s="170"/>
      <c r="K179" s="59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 spans="1:28">
      <c r="A180" s="21"/>
      <c r="B180" s="23"/>
      <c r="C180" s="27"/>
      <c r="D180" s="59"/>
      <c r="E180" s="59"/>
      <c r="F180" s="59"/>
      <c r="G180" s="59"/>
      <c r="H180" s="59"/>
      <c r="I180" s="59"/>
      <c r="J180" s="170"/>
      <c r="K180" s="59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spans="1:28">
      <c r="A181" s="21"/>
      <c r="B181" s="23"/>
      <c r="C181" s="27"/>
      <c r="D181" s="59"/>
      <c r="E181" s="59"/>
      <c r="F181" s="59"/>
      <c r="G181" s="59"/>
      <c r="H181" s="59"/>
      <c r="I181" s="59"/>
      <c r="J181" s="170"/>
      <c r="K181" s="59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 spans="1:28">
      <c r="A182" s="21"/>
      <c r="B182" s="23"/>
      <c r="C182" s="27"/>
      <c r="D182" s="59"/>
      <c r="E182" s="59"/>
      <c r="F182" s="59"/>
      <c r="G182" s="59"/>
      <c r="H182" s="59"/>
      <c r="I182" s="59"/>
      <c r="J182" s="170"/>
      <c r="K182" s="59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 spans="1:28">
      <c r="A183" s="21"/>
      <c r="B183" s="23"/>
      <c r="C183" s="27"/>
      <c r="D183" s="70"/>
      <c r="E183" s="59"/>
      <c r="F183" s="59"/>
      <c r="G183" s="59"/>
      <c r="H183" s="59"/>
      <c r="I183" s="59"/>
      <c r="J183" s="170"/>
      <c r="K183" s="59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 spans="1:28">
      <c r="A184" s="21"/>
      <c r="B184" s="23"/>
      <c r="C184" s="27"/>
      <c r="D184" s="59"/>
      <c r="E184" s="59"/>
      <c r="F184" s="59"/>
      <c r="G184" s="59"/>
      <c r="H184" s="59"/>
      <c r="I184" s="59"/>
      <c r="J184" s="170"/>
      <c r="K184" s="59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 spans="1:28">
      <c r="A185" s="21"/>
      <c r="B185" s="23"/>
      <c r="C185" s="27"/>
      <c r="D185" s="59"/>
      <c r="E185" s="70"/>
      <c r="F185" s="59"/>
      <c r="G185" s="59"/>
      <c r="H185" s="59"/>
      <c r="I185" s="59"/>
      <c r="J185" s="170"/>
      <c r="K185" s="59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 spans="1:28">
      <c r="A186" s="21"/>
      <c r="B186" s="23"/>
      <c r="C186" s="27"/>
      <c r="D186" s="59"/>
      <c r="E186" s="59"/>
      <c r="F186" s="59"/>
      <c r="G186" s="59"/>
      <c r="H186" s="59"/>
      <c r="I186" s="59"/>
      <c r="J186" s="170"/>
      <c r="K186" s="59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spans="1:28">
      <c r="A187" s="21"/>
      <c r="B187" s="23"/>
      <c r="C187" s="27"/>
      <c r="D187" s="59"/>
      <c r="E187" s="59"/>
      <c r="F187" s="59"/>
      <c r="G187" s="59"/>
      <c r="H187" s="59"/>
      <c r="I187" s="59"/>
      <c r="J187" s="170"/>
      <c r="K187" s="59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 spans="1:28">
      <c r="A188" s="21"/>
      <c r="B188" s="23"/>
      <c r="C188" s="27"/>
      <c r="D188" s="59"/>
      <c r="E188" s="59"/>
      <c r="F188" s="59"/>
      <c r="G188" s="59"/>
      <c r="H188" s="59"/>
      <c r="I188" s="59"/>
      <c r="J188" s="170"/>
      <c r="K188" s="59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 spans="1:28">
      <c r="A189" s="21"/>
      <c r="B189" s="23"/>
      <c r="C189" s="27"/>
      <c r="D189" s="59"/>
      <c r="E189" s="59"/>
      <c r="F189" s="59"/>
      <c r="G189" s="59"/>
      <c r="H189" s="59"/>
      <c r="I189" s="59"/>
      <c r="J189" s="170"/>
      <c r="K189" s="59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spans="1:28">
      <c r="A190" s="21"/>
      <c r="B190" s="23"/>
      <c r="C190" s="27"/>
      <c r="D190" s="59"/>
      <c r="E190" s="59"/>
      <c r="F190" s="59"/>
      <c r="G190" s="59"/>
      <c r="H190" s="59"/>
      <c r="I190" s="59"/>
      <c r="J190" s="170"/>
      <c r="K190" s="59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spans="1:28">
      <c r="A191" s="21"/>
      <c r="B191" s="23"/>
      <c r="C191" s="27"/>
      <c r="D191" s="59"/>
      <c r="E191" s="59"/>
      <c r="F191" s="59"/>
      <c r="G191" s="59"/>
      <c r="H191" s="59"/>
      <c r="I191" s="59"/>
      <c r="J191" s="170"/>
      <c r="K191" s="59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spans="1:28">
      <c r="A192" s="21"/>
      <c r="B192" s="23"/>
      <c r="C192" s="27"/>
      <c r="D192" s="59"/>
      <c r="E192" s="59"/>
      <c r="F192" s="59"/>
      <c r="G192" s="59"/>
      <c r="H192" s="59"/>
      <c r="I192" s="59"/>
      <c r="J192" s="170"/>
      <c r="K192" s="59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spans="1:28">
      <c r="A193" s="21"/>
      <c r="B193" s="23"/>
      <c r="C193" s="27"/>
      <c r="D193" s="59"/>
      <c r="E193" s="59"/>
      <c r="F193" s="59"/>
      <c r="G193" s="59"/>
      <c r="H193" s="59"/>
      <c r="I193" s="59"/>
      <c r="J193" s="170"/>
      <c r="K193" s="59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 spans="1:28">
      <c r="A194" s="21"/>
      <c r="B194" s="23"/>
      <c r="C194" s="27"/>
      <c r="D194" s="59"/>
      <c r="E194" s="59"/>
      <c r="F194" s="59"/>
      <c r="G194" s="59"/>
      <c r="H194" s="59"/>
      <c r="I194" s="59"/>
      <c r="J194" s="170"/>
      <c r="K194" s="59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spans="1:28">
      <c r="A195" s="21"/>
      <c r="B195" s="23"/>
      <c r="C195" s="27"/>
      <c r="D195" s="59"/>
      <c r="E195" s="59"/>
      <c r="F195" s="59"/>
      <c r="G195" s="59"/>
      <c r="H195" s="59"/>
      <c r="I195" s="59"/>
      <c r="J195" s="170"/>
      <c r="K195" s="59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spans="1:28">
      <c r="A196" s="21"/>
      <c r="B196" s="23"/>
      <c r="C196" s="27"/>
      <c r="D196" s="59"/>
      <c r="E196" s="59"/>
      <c r="F196" s="59"/>
      <c r="G196" s="59"/>
      <c r="H196" s="59"/>
      <c r="I196" s="59"/>
      <c r="J196" s="170"/>
      <c r="K196" s="59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spans="1:28">
      <c r="A197" s="21"/>
      <c r="B197" s="23"/>
      <c r="C197" s="27"/>
      <c r="D197" s="59"/>
      <c r="E197" s="59"/>
      <c r="F197" s="59"/>
      <c r="G197" s="59"/>
      <c r="H197" s="59"/>
      <c r="I197" s="59"/>
      <c r="J197" s="170"/>
      <c r="K197" s="59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spans="1:28">
      <c r="A198" s="21"/>
      <c r="B198" s="23"/>
      <c r="C198" s="27"/>
      <c r="D198" s="59"/>
      <c r="E198" s="59"/>
      <c r="F198" s="59"/>
      <c r="G198" s="59"/>
      <c r="H198" s="59"/>
      <c r="I198" s="59"/>
      <c r="J198" s="170"/>
      <c r="K198" s="59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spans="1:28">
      <c r="A199" s="21"/>
      <c r="B199" s="23"/>
      <c r="C199" s="27"/>
      <c r="D199" s="59"/>
      <c r="E199" s="59"/>
      <c r="F199" s="59"/>
      <c r="G199" s="59"/>
      <c r="H199" s="59"/>
      <c r="I199" s="59"/>
      <c r="J199" s="170"/>
      <c r="K199" s="59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 spans="1:28">
      <c r="A200" s="21"/>
      <c r="B200" s="23"/>
      <c r="C200" s="27"/>
      <c r="D200" s="59"/>
      <c r="E200" s="59"/>
      <c r="F200" s="59"/>
      <c r="G200" s="59"/>
      <c r="H200" s="59"/>
      <c r="I200" s="59"/>
      <c r="J200" s="170"/>
      <c r="K200" s="59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spans="1:28">
      <c r="A201" s="21"/>
      <c r="B201" s="23"/>
      <c r="C201" s="27"/>
      <c r="D201" s="59"/>
      <c r="E201" s="59"/>
      <c r="F201" s="59"/>
      <c r="G201" s="59"/>
      <c r="H201" s="59"/>
      <c r="I201" s="59"/>
      <c r="J201" s="170"/>
      <c r="K201" s="59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 spans="1:28">
      <c r="A202" s="21"/>
      <c r="B202" s="23"/>
      <c r="C202" s="27"/>
      <c r="D202" s="59"/>
      <c r="E202" s="59"/>
      <c r="F202" s="59"/>
      <c r="G202" s="59"/>
      <c r="H202" s="59"/>
      <c r="I202" s="59"/>
      <c r="J202" s="170"/>
      <c r="K202" s="59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 spans="1:28">
      <c r="A203" s="21"/>
      <c r="B203" s="23"/>
      <c r="C203" s="27"/>
      <c r="D203" s="59"/>
      <c r="E203" s="59"/>
      <c r="F203" s="59"/>
      <c r="G203" s="59"/>
      <c r="H203" s="59"/>
      <c r="I203" s="59"/>
      <c r="J203" s="170"/>
      <c r="K203" s="59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spans="1:28">
      <c r="A204" s="21"/>
      <c r="B204" s="23"/>
      <c r="C204" s="27"/>
      <c r="D204" s="59"/>
      <c r="E204" s="59"/>
      <c r="F204" s="59"/>
      <c r="G204" s="59"/>
      <c r="H204" s="59"/>
      <c r="I204" s="59"/>
      <c r="J204" s="170"/>
      <c r="K204" s="59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 spans="1:28">
      <c r="A205" s="21"/>
      <c r="B205" s="23"/>
      <c r="C205" s="27"/>
      <c r="D205" s="59"/>
      <c r="E205" s="59"/>
      <c r="F205" s="59"/>
      <c r="G205" s="59"/>
      <c r="H205" s="59"/>
      <c r="I205" s="59"/>
      <c r="J205" s="170"/>
      <c r="K205" s="59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 spans="1:28">
      <c r="A206" s="21"/>
      <c r="B206" s="23"/>
      <c r="C206" s="27"/>
      <c r="D206" s="59"/>
      <c r="E206" s="59"/>
      <c r="F206" s="59"/>
      <c r="G206" s="59"/>
      <c r="H206" s="59"/>
      <c r="I206" s="59"/>
      <c r="J206" s="170"/>
      <c r="K206" s="59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spans="1:28">
      <c r="A207" s="21"/>
      <c r="B207" s="23"/>
      <c r="C207" s="27"/>
      <c r="D207" s="59"/>
      <c r="E207" s="59"/>
      <c r="F207" s="59"/>
      <c r="G207" s="59"/>
      <c r="H207" s="59"/>
      <c r="I207" s="59"/>
      <c r="J207" s="170"/>
      <c r="K207" s="59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spans="1:28">
      <c r="A208" s="21"/>
      <c r="B208" s="23"/>
      <c r="C208" s="27"/>
      <c r="D208" s="59"/>
      <c r="E208" s="59"/>
      <c r="F208" s="59"/>
      <c r="G208" s="59"/>
      <c r="H208" s="59"/>
      <c r="I208" s="59"/>
      <c r="J208" s="170"/>
      <c r="K208" s="59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 spans="1:28">
      <c r="A209" s="21"/>
      <c r="B209" s="23"/>
      <c r="C209" s="27"/>
      <c r="D209" s="59"/>
      <c r="E209" s="59"/>
      <c r="F209" s="59"/>
      <c r="G209" s="59"/>
      <c r="H209" s="59"/>
      <c r="I209" s="59"/>
      <c r="J209" s="170"/>
      <c r="K209" s="59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 spans="1:28">
      <c r="A210" s="21"/>
      <c r="B210" s="23"/>
      <c r="C210" s="27"/>
      <c r="D210" s="59"/>
      <c r="E210" s="59"/>
      <c r="F210" s="59"/>
      <c r="G210" s="59"/>
      <c r="H210" s="59"/>
      <c r="I210" s="59"/>
      <c r="J210" s="170"/>
      <c r="K210" s="59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 spans="1:28">
      <c r="A211" s="21"/>
      <c r="B211" s="23"/>
      <c r="C211" s="27"/>
      <c r="D211" s="59"/>
      <c r="E211" s="59"/>
      <c r="F211" s="59"/>
      <c r="G211" s="59"/>
      <c r="H211" s="59"/>
      <c r="I211" s="59"/>
      <c r="J211" s="170"/>
      <c r="K211" s="59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 spans="1:28">
      <c r="A212" s="21"/>
      <c r="B212" s="23"/>
      <c r="C212" s="27"/>
      <c r="D212" s="59"/>
      <c r="E212" s="59"/>
      <c r="F212" s="59"/>
      <c r="G212" s="59"/>
      <c r="H212" s="59"/>
      <c r="I212" s="59"/>
      <c r="J212" s="170"/>
      <c r="K212" s="59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 spans="1:28">
      <c r="A213" s="21"/>
      <c r="B213" s="23"/>
      <c r="C213" s="27"/>
      <c r="D213" s="59"/>
      <c r="E213" s="59"/>
      <c r="F213" s="59"/>
      <c r="G213" s="59"/>
      <c r="H213" s="59"/>
      <c r="I213" s="59"/>
      <c r="J213" s="170"/>
      <c r="K213" s="59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 spans="1:28">
      <c r="A214" s="21"/>
      <c r="B214" s="23"/>
      <c r="C214" s="27"/>
      <c r="D214" s="59"/>
      <c r="E214" s="59"/>
      <c r="F214" s="59"/>
      <c r="G214" s="59"/>
      <c r="H214" s="59"/>
      <c r="I214" s="59"/>
      <c r="J214" s="170"/>
      <c r="K214" s="59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 spans="1:28">
      <c r="A215" s="21"/>
      <c r="B215" s="23"/>
      <c r="C215" s="27"/>
      <c r="D215" s="59"/>
      <c r="E215" s="59"/>
      <c r="F215" s="59"/>
      <c r="G215" s="59"/>
      <c r="H215" s="59"/>
      <c r="I215" s="59"/>
      <c r="J215" s="170"/>
      <c r="K215" s="59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 spans="1:28">
      <c r="A216" s="21"/>
      <c r="B216" s="23"/>
      <c r="C216" s="27"/>
      <c r="D216" s="59"/>
      <c r="E216" s="59"/>
      <c r="F216" s="59"/>
      <c r="G216" s="59"/>
      <c r="H216" s="59"/>
      <c r="I216" s="59"/>
      <c r="J216" s="170"/>
      <c r="K216" s="59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spans="1:28">
      <c r="A217" s="21"/>
      <c r="B217" s="23"/>
      <c r="C217" s="27"/>
      <c r="D217" s="59"/>
      <c r="E217" s="59"/>
      <c r="F217" s="59"/>
      <c r="G217" s="59"/>
      <c r="H217" s="59"/>
      <c r="I217" s="59"/>
      <c r="J217" s="170"/>
      <c r="K217" s="59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spans="1:28">
      <c r="A218" s="21"/>
      <c r="B218" s="23"/>
      <c r="C218" s="27"/>
      <c r="D218" s="59"/>
      <c r="E218" s="59"/>
      <c r="F218" s="59"/>
      <c r="G218" s="59"/>
      <c r="H218" s="59"/>
      <c r="I218" s="59"/>
      <c r="J218" s="170"/>
      <c r="K218" s="59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spans="1:28">
      <c r="A219" s="21"/>
      <c r="B219" s="23"/>
      <c r="C219" s="27"/>
      <c r="D219" s="59"/>
      <c r="E219" s="59"/>
      <c r="F219" s="59"/>
      <c r="G219" s="59"/>
      <c r="H219" s="59"/>
      <c r="I219" s="59"/>
      <c r="J219" s="170"/>
      <c r="K219" s="59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spans="1:28">
      <c r="A220" s="21"/>
      <c r="B220" s="23"/>
      <c r="C220" s="27"/>
      <c r="D220" s="59"/>
      <c r="E220" s="59"/>
      <c r="F220" s="59"/>
      <c r="G220" s="59"/>
      <c r="H220" s="59"/>
      <c r="I220" s="59"/>
      <c r="J220" s="170"/>
      <c r="K220" s="59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 spans="1:28">
      <c r="A221" s="21"/>
      <c r="B221" s="23"/>
      <c r="C221" s="27"/>
      <c r="D221" s="59"/>
      <c r="E221" s="59"/>
      <c r="F221" s="59"/>
      <c r="G221" s="59"/>
      <c r="H221" s="59"/>
      <c r="I221" s="59"/>
      <c r="J221" s="170"/>
      <c r="K221" s="59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 spans="1:28">
      <c r="A222" s="21"/>
      <c r="B222" s="23"/>
      <c r="C222" s="27"/>
      <c r="D222" s="59"/>
      <c r="E222" s="59"/>
      <c r="F222" s="59"/>
      <c r="G222" s="59"/>
      <c r="H222" s="59"/>
      <c r="I222" s="59"/>
      <c r="J222" s="170"/>
      <c r="K222" s="59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 spans="1:28">
      <c r="A223" s="21"/>
      <c r="B223" s="23"/>
      <c r="C223" s="27"/>
      <c r="D223" s="59"/>
      <c r="E223" s="59"/>
      <c r="F223" s="59"/>
      <c r="G223" s="59"/>
      <c r="H223" s="59"/>
      <c r="I223" s="59"/>
      <c r="J223" s="170"/>
      <c r="K223" s="59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 spans="1:28">
      <c r="A224" s="21"/>
      <c r="B224" s="23"/>
      <c r="C224" s="27"/>
      <c r="D224" s="59"/>
      <c r="E224" s="59"/>
      <c r="F224" s="59"/>
      <c r="G224" s="59"/>
      <c r="H224" s="59"/>
      <c r="I224" s="59"/>
      <c r="J224" s="170"/>
      <c r="K224" s="59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 spans="1:28">
      <c r="A225" s="21"/>
      <c r="B225" s="23"/>
      <c r="C225" s="27"/>
      <c r="D225" s="59"/>
      <c r="E225" s="59"/>
      <c r="F225" s="59"/>
      <c r="G225" s="59"/>
      <c r="H225" s="59"/>
      <c r="I225" s="59"/>
      <c r="J225" s="170"/>
      <c r="K225" s="59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 spans="1:28">
      <c r="A226" s="21"/>
      <c r="B226" s="23"/>
      <c r="C226" s="27"/>
      <c r="D226" s="59"/>
      <c r="E226" s="59"/>
      <c r="F226" s="59"/>
      <c r="G226" s="59"/>
      <c r="H226" s="59"/>
      <c r="I226" s="59"/>
      <c r="J226" s="170"/>
      <c r="K226" s="59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spans="1:28">
      <c r="A227" s="21"/>
      <c r="B227" s="23"/>
      <c r="C227" s="27"/>
      <c r="D227" s="59"/>
      <c r="E227" s="59"/>
      <c r="F227" s="59"/>
      <c r="G227" s="59"/>
      <c r="H227" s="59"/>
      <c r="I227" s="59"/>
      <c r="J227" s="170"/>
      <c r="K227" s="59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 spans="1:28">
      <c r="A228" s="21"/>
      <c r="B228" s="23"/>
      <c r="C228" s="27"/>
      <c r="D228" s="59"/>
      <c r="E228" s="59"/>
      <c r="F228" s="59"/>
      <c r="G228" s="59"/>
      <c r="H228" s="59"/>
      <c r="I228" s="59"/>
      <c r="J228" s="170"/>
      <c r="K228" s="59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 spans="1:28">
      <c r="A229" s="21"/>
      <c r="B229" s="23"/>
      <c r="C229" s="27"/>
      <c r="D229" s="59"/>
      <c r="E229" s="59"/>
      <c r="F229" s="59"/>
      <c r="G229" s="59"/>
      <c r="H229" s="59"/>
      <c r="I229" s="59"/>
      <c r="J229" s="170"/>
      <c r="K229" s="59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 spans="1:28">
      <c r="A230" s="21"/>
      <c r="B230" s="23"/>
      <c r="C230" s="27"/>
      <c r="D230" s="59"/>
      <c r="E230" s="59"/>
      <c r="F230" s="59"/>
      <c r="G230" s="59"/>
      <c r="H230" s="59"/>
      <c r="I230" s="59"/>
      <c r="J230" s="170"/>
      <c r="K230" s="59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 spans="1:28">
      <c r="A231" s="21"/>
      <c r="B231" s="23"/>
      <c r="C231" s="27"/>
      <c r="D231" s="59"/>
      <c r="E231" s="59"/>
      <c r="F231" s="59"/>
      <c r="G231" s="59"/>
      <c r="H231" s="59"/>
      <c r="I231" s="59"/>
      <c r="J231" s="170"/>
      <c r="K231" s="59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 spans="1:28">
      <c r="A232" s="21"/>
      <c r="B232" s="23"/>
      <c r="C232" s="27"/>
      <c r="D232" s="59"/>
      <c r="E232" s="59"/>
      <c r="F232" s="70"/>
      <c r="G232" s="59"/>
      <c r="H232" s="59"/>
      <c r="I232" s="59"/>
      <c r="J232" s="170"/>
      <c r="K232" s="59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 spans="1:28">
      <c r="A233" s="21"/>
      <c r="B233" s="23"/>
      <c r="C233" s="27"/>
      <c r="D233" s="59"/>
      <c r="E233" s="59"/>
      <c r="F233" s="59"/>
      <c r="G233" s="59"/>
      <c r="H233" s="59"/>
      <c r="I233" s="59"/>
      <c r="J233" s="170"/>
      <c r="K233" s="59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 spans="1:28">
      <c r="A234" s="21"/>
      <c r="B234" s="23"/>
      <c r="C234" s="27"/>
      <c r="D234" s="59"/>
      <c r="E234" s="59"/>
      <c r="F234" s="59"/>
      <c r="G234" s="59"/>
      <c r="H234" s="59"/>
      <c r="I234" s="59"/>
      <c r="J234" s="170"/>
      <c r="K234" s="59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 spans="1:28">
      <c r="A235" s="21"/>
      <c r="B235" s="23"/>
      <c r="C235" s="27"/>
      <c r="D235" s="59"/>
      <c r="E235" s="59"/>
      <c r="F235" s="59"/>
      <c r="G235" s="59"/>
      <c r="H235" s="59"/>
      <c r="I235" s="59"/>
      <c r="J235" s="170"/>
      <c r="K235" s="59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 spans="1:28">
      <c r="A236" s="21"/>
      <c r="B236" s="23"/>
      <c r="C236" s="27"/>
      <c r="D236" s="59"/>
      <c r="E236" s="59"/>
      <c r="F236" s="59"/>
      <c r="G236" s="59"/>
      <c r="H236" s="59"/>
      <c r="I236" s="59"/>
      <c r="J236" s="170"/>
      <c r="K236" s="59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 spans="1:28">
      <c r="A237" s="21"/>
      <c r="B237" s="23"/>
      <c r="C237" s="27"/>
      <c r="D237" s="59"/>
      <c r="E237" s="59"/>
      <c r="F237" s="59"/>
      <c r="G237" s="59"/>
      <c r="H237" s="59"/>
      <c r="I237" s="59"/>
      <c r="J237" s="170"/>
      <c r="K237" s="59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 spans="1:28">
      <c r="A238" s="21"/>
      <c r="B238" s="23"/>
      <c r="C238" s="27"/>
      <c r="D238" s="59"/>
      <c r="E238" s="59"/>
      <c r="F238" s="59"/>
      <c r="G238" s="59"/>
      <c r="H238" s="59"/>
      <c r="I238" s="59"/>
      <c r="J238" s="170"/>
      <c r="K238" s="59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 spans="1:28">
      <c r="A239" s="21"/>
      <c r="B239" s="23"/>
      <c r="C239" s="27"/>
      <c r="D239" s="59"/>
      <c r="E239" s="59"/>
      <c r="F239" s="59"/>
      <c r="G239" s="59"/>
      <c r="H239" s="59"/>
      <c r="I239" s="59"/>
      <c r="J239" s="170"/>
      <c r="K239" s="59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 spans="1:28">
      <c r="A240" s="21"/>
      <c r="B240" s="23"/>
      <c r="C240" s="27"/>
      <c r="D240" s="59"/>
      <c r="E240" s="59"/>
      <c r="F240" s="59"/>
      <c r="G240" s="59"/>
      <c r="H240" s="59"/>
      <c r="I240" s="59"/>
      <c r="J240" s="170"/>
      <c r="K240" s="59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spans="1:28">
      <c r="A241" s="21"/>
      <c r="B241" s="23"/>
      <c r="C241" s="27"/>
      <c r="D241" s="59"/>
      <c r="E241" s="59"/>
      <c r="F241" s="59"/>
      <c r="G241" s="59"/>
      <c r="H241" s="59"/>
      <c r="I241" s="59"/>
      <c r="J241" s="170"/>
      <c r="K241" s="59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 spans="1:28">
      <c r="A242" s="21"/>
      <c r="B242" s="23"/>
      <c r="C242" s="27"/>
      <c r="D242" s="23"/>
      <c r="E242" s="23"/>
      <c r="F242" s="23"/>
      <c r="G242" s="23"/>
      <c r="H242" s="23"/>
      <c r="I242" s="23"/>
      <c r="J242" s="31"/>
      <c r="K242" s="23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spans="1:28">
      <c r="A243" s="21"/>
      <c r="B243" s="23"/>
      <c r="C243" s="27"/>
      <c r="D243" s="23"/>
      <c r="E243" s="23"/>
      <c r="F243" s="23"/>
      <c r="G243" s="23"/>
      <c r="H243" s="23"/>
      <c r="I243" s="23"/>
      <c r="J243" s="31"/>
      <c r="K243" s="23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spans="1:28">
      <c r="A244" s="21"/>
      <c r="B244" s="23"/>
      <c r="C244" s="27"/>
      <c r="D244" s="23"/>
      <c r="E244" s="23"/>
      <c r="F244" s="23"/>
      <c r="G244" s="23"/>
      <c r="H244" s="23"/>
      <c r="I244" s="23"/>
      <c r="J244" s="31"/>
      <c r="K244" s="23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 spans="1:28">
      <c r="A245" s="21"/>
      <c r="B245" s="23"/>
      <c r="C245" s="27"/>
      <c r="D245" s="23"/>
      <c r="E245" s="23"/>
      <c r="F245" s="23"/>
      <c r="G245" s="23"/>
      <c r="H245" s="23"/>
      <c r="I245" s="23"/>
      <c r="J245" s="31"/>
      <c r="K245" s="23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 spans="1:28">
      <c r="A246" s="21"/>
      <c r="B246" s="23"/>
      <c r="C246" s="27"/>
      <c r="D246" s="23"/>
      <c r="E246" s="23"/>
      <c r="F246" s="23"/>
      <c r="G246" s="23"/>
      <c r="H246" s="23"/>
      <c r="I246" s="23"/>
      <c r="J246" s="31"/>
      <c r="K246" s="23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 spans="1:28">
      <c r="A247" s="21"/>
      <c r="B247" s="23"/>
      <c r="C247" s="27"/>
      <c r="D247" s="23"/>
      <c r="E247" s="23"/>
      <c r="F247" s="23"/>
      <c r="G247" s="23"/>
      <c r="H247" s="23"/>
      <c r="I247" s="23"/>
      <c r="J247" s="31"/>
      <c r="K247" s="23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 spans="1:28">
      <c r="A248" s="21"/>
      <c r="B248" s="23"/>
      <c r="C248" s="27"/>
      <c r="D248" s="23"/>
      <c r="E248" s="23"/>
      <c r="F248" s="23"/>
      <c r="G248" s="23"/>
      <c r="H248" s="23"/>
      <c r="I248" s="23"/>
      <c r="J248" s="31"/>
      <c r="K248" s="23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 spans="1:28">
      <c r="A249" s="21"/>
      <c r="B249" s="23"/>
      <c r="C249" s="27"/>
      <c r="D249" s="23"/>
      <c r="E249" s="23"/>
      <c r="F249" s="23"/>
      <c r="G249" s="23"/>
      <c r="H249" s="23"/>
      <c r="I249" s="23"/>
      <c r="J249" s="31"/>
      <c r="K249" s="23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 spans="1:28">
      <c r="A250" s="21"/>
      <c r="B250" s="23"/>
      <c r="C250" s="27"/>
      <c r="D250" s="23"/>
      <c r="E250" s="23"/>
      <c r="F250" s="23"/>
      <c r="G250" s="23"/>
      <c r="H250" s="23"/>
      <c r="I250" s="23"/>
      <c r="J250" s="31"/>
      <c r="K250" s="23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 spans="1:28">
      <c r="A251" s="21"/>
      <c r="B251" s="23"/>
      <c r="C251" s="27"/>
      <c r="D251" s="23"/>
      <c r="E251" s="23"/>
      <c r="F251" s="23"/>
      <c r="G251" s="23"/>
      <c r="H251" s="23"/>
      <c r="I251" s="23"/>
      <c r="J251" s="31"/>
      <c r="K251" s="23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 spans="1:28">
      <c r="A252" s="21"/>
      <c r="B252" s="23"/>
      <c r="C252" s="27"/>
      <c r="D252" s="23"/>
      <c r="E252" s="23"/>
      <c r="F252" s="23"/>
      <c r="G252" s="23"/>
      <c r="H252" s="23"/>
      <c r="I252" s="23"/>
      <c r="J252" s="31"/>
      <c r="K252" s="23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 spans="1:28">
      <c r="A253" s="21"/>
      <c r="B253" s="23"/>
      <c r="C253" s="27"/>
      <c r="D253" s="23"/>
      <c r="E253" s="23"/>
      <c r="F253" s="23"/>
      <c r="G253" s="23"/>
      <c r="H253" s="23"/>
      <c r="I253" s="23"/>
      <c r="J253" s="31"/>
      <c r="K253" s="23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 spans="1:28">
      <c r="A254" s="21"/>
      <c r="B254" s="23"/>
      <c r="C254" s="27"/>
      <c r="D254" s="23"/>
      <c r="E254" s="23"/>
      <c r="F254" s="23"/>
      <c r="G254" s="23"/>
      <c r="H254" s="23"/>
      <c r="I254" s="23"/>
      <c r="J254" s="31"/>
      <c r="K254" s="23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 spans="1:28">
      <c r="A255" s="21"/>
      <c r="B255" s="23"/>
      <c r="C255" s="27"/>
      <c r="D255" s="23"/>
      <c r="E255" s="23"/>
      <c r="F255" s="23"/>
      <c r="G255" s="23"/>
      <c r="H255" s="23"/>
      <c r="I255" s="23"/>
      <c r="J255" s="31"/>
      <c r="K255" s="23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spans="1:28">
      <c r="A256" s="21"/>
      <c r="B256" s="23"/>
      <c r="C256" s="27"/>
      <c r="D256" s="23"/>
      <c r="E256" s="23"/>
      <c r="F256" s="23"/>
      <c r="G256" s="23"/>
      <c r="H256" s="23"/>
      <c r="I256" s="23"/>
      <c r="J256" s="31"/>
      <c r="K256" s="23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 spans="1:28">
      <c r="A257" s="21"/>
      <c r="B257" s="23"/>
      <c r="C257" s="27"/>
      <c r="D257" s="23"/>
      <c r="E257" s="23"/>
      <c r="F257" s="23"/>
      <c r="G257" s="23"/>
      <c r="H257" s="23"/>
      <c r="I257" s="23"/>
      <c r="J257" s="31"/>
      <c r="K257" s="23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spans="1:28">
      <c r="A258" s="21"/>
      <c r="B258" s="23"/>
      <c r="C258" s="27"/>
      <c r="D258" s="23"/>
      <c r="E258" s="23"/>
      <c r="F258" s="23"/>
      <c r="G258" s="23"/>
      <c r="H258" s="23"/>
      <c r="I258" s="23"/>
      <c r="J258" s="31"/>
      <c r="K258" s="23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 spans="1:28">
      <c r="A259" s="21"/>
      <c r="B259" s="23"/>
      <c r="C259" s="27"/>
      <c r="D259" s="23"/>
      <c r="E259" s="23"/>
      <c r="F259" s="23"/>
      <c r="G259" s="23"/>
      <c r="H259" s="23"/>
      <c r="I259" s="23"/>
      <c r="J259" s="31"/>
      <c r="K259" s="23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 spans="1:28">
      <c r="A260" s="21"/>
      <c r="B260" s="23"/>
      <c r="C260" s="27"/>
      <c r="D260" s="23"/>
      <c r="E260" s="23"/>
      <c r="F260" s="23"/>
      <c r="G260" s="23"/>
      <c r="H260" s="23"/>
      <c r="I260" s="23"/>
      <c r="J260" s="31"/>
      <c r="K260" s="23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 spans="1:28">
      <c r="A261" s="21"/>
      <c r="B261" s="23"/>
      <c r="C261" s="27"/>
      <c r="D261" s="23"/>
      <c r="E261" s="23"/>
      <c r="F261" s="23"/>
      <c r="G261" s="23"/>
      <c r="H261" s="23"/>
      <c r="I261" s="23"/>
      <c r="J261" s="31"/>
      <c r="K261" s="23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 spans="1:28">
      <c r="A262" s="21"/>
      <c r="B262" s="23"/>
      <c r="C262" s="27"/>
      <c r="D262" s="23"/>
      <c r="E262" s="23"/>
      <c r="F262" s="23"/>
      <c r="G262" s="23"/>
      <c r="H262" s="23"/>
      <c r="I262" s="23"/>
      <c r="J262" s="31"/>
      <c r="K262" s="23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 spans="1:28">
      <c r="A263" s="21"/>
      <c r="B263" s="23"/>
      <c r="C263" s="27"/>
      <c r="D263" s="23"/>
      <c r="E263" s="23"/>
      <c r="F263" s="23"/>
      <c r="G263" s="23"/>
      <c r="H263" s="23"/>
      <c r="I263" s="23"/>
      <c r="J263" s="31"/>
      <c r="K263" s="23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 spans="1:28">
      <c r="A264" s="21"/>
      <c r="B264" s="23"/>
      <c r="C264" s="27"/>
      <c r="D264" s="23"/>
      <c r="E264" s="23"/>
      <c r="F264" s="23"/>
      <c r="G264" s="23"/>
      <c r="H264" s="23"/>
      <c r="I264" s="23"/>
      <c r="J264" s="31"/>
      <c r="K264" s="23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 spans="1:28">
      <c r="A265" s="21"/>
      <c r="B265" s="23"/>
      <c r="C265" s="27"/>
      <c r="D265" s="23"/>
      <c r="E265" s="23"/>
      <c r="F265" s="23"/>
      <c r="G265" s="23"/>
      <c r="H265" s="23"/>
      <c r="I265" s="23"/>
      <c r="J265" s="31"/>
      <c r="K265" s="23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 spans="1:28">
      <c r="A266" s="21"/>
      <c r="B266" s="23"/>
      <c r="C266" s="27"/>
      <c r="D266" s="23"/>
      <c r="E266" s="23"/>
      <c r="F266" s="23"/>
      <c r="G266" s="23"/>
      <c r="H266" s="23"/>
      <c r="I266" s="23"/>
      <c r="J266" s="31"/>
      <c r="K266" s="23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 spans="1:28">
      <c r="A267" s="21"/>
      <c r="B267" s="23"/>
      <c r="C267" s="27"/>
      <c r="D267" s="23"/>
      <c r="E267" s="23"/>
      <c r="F267" s="23"/>
      <c r="G267" s="23"/>
      <c r="H267" s="23"/>
      <c r="I267" s="23"/>
      <c r="J267" s="31"/>
      <c r="K267" s="23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 spans="1:28">
      <c r="A268" s="21"/>
      <c r="B268" s="23"/>
      <c r="C268" s="27"/>
      <c r="D268" s="23"/>
      <c r="E268" s="23"/>
      <c r="F268" s="23"/>
      <c r="G268" s="23"/>
      <c r="H268" s="23"/>
      <c r="I268" s="23"/>
      <c r="J268" s="31"/>
      <c r="K268" s="23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 spans="1:28">
      <c r="A269" s="21"/>
      <c r="B269" s="23"/>
      <c r="C269" s="27"/>
      <c r="D269" s="23"/>
      <c r="E269" s="23"/>
      <c r="F269" s="23"/>
      <c r="G269" s="23"/>
      <c r="H269" s="23"/>
      <c r="I269" s="23"/>
      <c r="J269" s="31"/>
      <c r="K269" s="23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 spans="1:28">
      <c r="A270" s="21"/>
      <c r="B270" s="23"/>
      <c r="C270" s="27"/>
      <c r="D270" s="23"/>
      <c r="E270" s="23"/>
      <c r="F270" s="23"/>
      <c r="G270" s="23"/>
      <c r="H270" s="23"/>
      <c r="I270" s="23"/>
      <c r="J270" s="31"/>
      <c r="K270" s="23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 spans="1:28">
      <c r="A271" s="21"/>
      <c r="B271" s="23"/>
      <c r="C271" s="27"/>
      <c r="D271" s="23"/>
      <c r="E271" s="23"/>
      <c r="F271" s="23"/>
      <c r="G271" s="23"/>
      <c r="H271" s="23"/>
      <c r="I271" s="23"/>
      <c r="J271" s="31"/>
      <c r="K271" s="23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 spans="1:28">
      <c r="A272" s="21"/>
      <c r="B272" s="23"/>
      <c r="C272" s="27"/>
      <c r="D272" s="23"/>
      <c r="E272" s="23"/>
      <c r="F272" s="23"/>
      <c r="G272" s="23"/>
      <c r="H272" s="23"/>
      <c r="I272" s="23"/>
      <c r="J272" s="31"/>
      <c r="K272" s="23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 spans="1:28">
      <c r="A273" s="21"/>
      <c r="B273" s="23"/>
      <c r="C273" s="27"/>
      <c r="D273" s="23"/>
      <c r="E273" s="23"/>
      <c r="F273" s="23"/>
      <c r="G273" s="23"/>
      <c r="H273" s="23"/>
      <c r="I273" s="23"/>
      <c r="J273" s="31"/>
      <c r="K273" s="23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 spans="1:28">
      <c r="A274" s="21"/>
      <c r="B274" s="23"/>
      <c r="C274" s="27"/>
      <c r="D274" s="23"/>
      <c r="E274" s="23"/>
      <c r="F274" s="23"/>
      <c r="G274" s="23"/>
      <c r="H274" s="23"/>
      <c r="I274" s="23"/>
      <c r="J274" s="31"/>
      <c r="K274" s="23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 spans="1:28">
      <c r="A275" s="21"/>
      <c r="B275" s="23"/>
      <c r="C275" s="27"/>
      <c r="D275" s="23"/>
      <c r="E275" s="23"/>
      <c r="F275" s="23"/>
      <c r="G275" s="23"/>
      <c r="H275" s="23"/>
      <c r="I275" s="23"/>
      <c r="J275" s="31"/>
      <c r="K275" s="23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 spans="1:28">
      <c r="A276" s="21"/>
      <c r="B276" s="23"/>
      <c r="C276" s="27"/>
      <c r="D276" s="23"/>
      <c r="E276" s="23"/>
      <c r="F276" s="23"/>
      <c r="G276" s="23"/>
      <c r="H276" s="23"/>
      <c r="I276" s="23"/>
      <c r="J276" s="31"/>
      <c r="K276" s="23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 spans="1:28">
      <c r="A277" s="21"/>
      <c r="B277" s="23"/>
      <c r="C277" s="27"/>
      <c r="D277" s="23"/>
      <c r="E277" s="23"/>
      <c r="F277" s="23"/>
      <c r="G277" s="23"/>
      <c r="H277" s="23"/>
      <c r="I277" s="23"/>
      <c r="J277" s="31"/>
      <c r="K277" s="23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 spans="1:28">
      <c r="A278" s="21"/>
      <c r="B278" s="23"/>
      <c r="C278" s="27"/>
      <c r="D278" s="23"/>
      <c r="E278" s="23"/>
      <c r="F278" s="23"/>
      <c r="G278" s="23"/>
      <c r="H278" s="23"/>
      <c r="I278" s="23"/>
      <c r="J278" s="31"/>
      <c r="K278" s="23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 spans="1:28">
      <c r="A279" s="21"/>
      <c r="B279" s="23"/>
      <c r="C279" s="27"/>
      <c r="D279" s="23"/>
      <c r="E279" s="23"/>
      <c r="F279" s="23"/>
      <c r="G279" s="23"/>
      <c r="H279" s="23"/>
      <c r="I279" s="23"/>
      <c r="J279" s="31"/>
      <c r="K279" s="23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 spans="1:28">
      <c r="A280" s="21"/>
      <c r="B280" s="23"/>
      <c r="C280" s="27"/>
      <c r="D280" s="23"/>
      <c r="E280" s="23"/>
      <c r="F280" s="23"/>
      <c r="G280" s="23"/>
      <c r="H280" s="23"/>
      <c r="I280" s="23"/>
      <c r="J280" s="31"/>
      <c r="K280" s="23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 spans="1:28">
      <c r="A281" s="21"/>
      <c r="B281" s="23"/>
      <c r="C281" s="27"/>
      <c r="D281" s="23"/>
      <c r="E281" s="23"/>
      <c r="F281" s="23"/>
      <c r="G281" s="23"/>
      <c r="H281" s="23"/>
      <c r="I281" s="23"/>
      <c r="J281" s="31"/>
      <c r="K281" s="23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 spans="1:28">
      <c r="A282" s="21"/>
      <c r="B282" s="23"/>
      <c r="C282" s="27"/>
      <c r="D282" s="23"/>
      <c r="E282" s="23"/>
      <c r="F282" s="23"/>
      <c r="G282" s="23"/>
      <c r="H282" s="23"/>
      <c r="I282" s="23"/>
      <c r="J282" s="31"/>
      <c r="K282" s="23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 spans="1:28">
      <c r="A283" s="21"/>
      <c r="B283" s="23"/>
      <c r="C283" s="27"/>
      <c r="D283" s="23"/>
      <c r="E283" s="23"/>
      <c r="F283" s="23"/>
      <c r="G283" s="23"/>
      <c r="H283" s="23"/>
      <c r="I283" s="23"/>
      <c r="J283" s="31"/>
      <c r="K283" s="23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 spans="1:28">
      <c r="A284" s="21"/>
      <c r="B284" s="23"/>
      <c r="C284" s="27"/>
      <c r="D284" s="23"/>
      <c r="E284" s="23"/>
      <c r="F284" s="23"/>
      <c r="G284" s="23"/>
      <c r="H284" s="23"/>
      <c r="I284" s="23"/>
      <c r="J284" s="31"/>
      <c r="K284" s="23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 spans="1:28">
      <c r="A285" s="21"/>
      <c r="B285" s="23"/>
      <c r="C285" s="27"/>
      <c r="D285" s="23"/>
      <c r="E285" s="23"/>
      <c r="F285" s="23"/>
      <c r="G285" s="23"/>
      <c r="H285" s="23"/>
      <c r="I285" s="23"/>
      <c r="J285" s="31"/>
      <c r="K285" s="23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 spans="1:28">
      <c r="A286" s="21"/>
      <c r="B286" s="23"/>
      <c r="C286" s="27"/>
      <c r="D286" s="23"/>
      <c r="E286" s="23"/>
      <c r="F286" s="23"/>
      <c r="G286" s="23"/>
      <c r="H286" s="23"/>
      <c r="I286" s="23"/>
      <c r="J286" s="31"/>
      <c r="K286" s="23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 spans="1:28">
      <c r="A287" s="21"/>
      <c r="B287" s="23"/>
      <c r="C287" s="27"/>
      <c r="D287" s="23"/>
      <c r="E287" s="23"/>
      <c r="F287" s="23"/>
      <c r="G287" s="23"/>
      <c r="H287" s="23"/>
      <c r="I287" s="23"/>
      <c r="J287" s="31"/>
      <c r="K287" s="23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 spans="1:28">
      <c r="A288" s="21"/>
      <c r="B288" s="23"/>
      <c r="C288" s="27"/>
      <c r="D288" s="50"/>
      <c r="E288" s="23"/>
      <c r="F288" s="23"/>
      <c r="G288" s="23"/>
      <c r="H288" s="23"/>
      <c r="I288" s="23"/>
      <c r="J288" s="31"/>
      <c r="K288" s="23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 spans="1:28">
      <c r="A289" s="21"/>
      <c r="B289" s="23"/>
      <c r="C289" s="27"/>
      <c r="D289" s="70"/>
      <c r="E289" s="23"/>
      <c r="F289" s="23"/>
      <c r="G289" s="23"/>
      <c r="H289" s="23"/>
      <c r="I289" s="23"/>
      <c r="J289" s="31"/>
      <c r="K289" s="23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 spans="1:28">
      <c r="A290" s="21"/>
      <c r="B290" s="23"/>
      <c r="C290" s="27"/>
      <c r="D290" s="23"/>
      <c r="E290" s="70"/>
      <c r="F290" s="23"/>
      <c r="G290" s="23"/>
      <c r="H290" s="23"/>
      <c r="I290" s="23"/>
      <c r="J290" s="31"/>
      <c r="K290" s="23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 spans="1:28">
      <c r="A291" s="21"/>
      <c r="B291" s="23"/>
      <c r="C291" s="27"/>
      <c r="D291" s="23"/>
      <c r="E291" s="23"/>
      <c r="F291" s="23"/>
      <c r="G291" s="23"/>
      <c r="H291" s="23"/>
      <c r="I291" s="23"/>
      <c r="J291" s="31"/>
      <c r="K291" s="23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 spans="1:28">
      <c r="A292" s="21"/>
      <c r="B292" s="23"/>
      <c r="C292" s="27"/>
      <c r="D292" s="23"/>
      <c r="E292" s="23"/>
      <c r="F292" s="23"/>
      <c r="G292" s="23"/>
      <c r="H292" s="23"/>
      <c r="I292" s="23"/>
      <c r="J292" s="31"/>
      <c r="K292" s="23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 spans="1:28">
      <c r="A293" s="21"/>
      <c r="B293" s="23"/>
      <c r="C293" s="27"/>
      <c r="D293" s="23"/>
      <c r="E293" s="23"/>
      <c r="F293" s="23"/>
      <c r="G293" s="23"/>
      <c r="H293" s="23"/>
      <c r="I293" s="23"/>
      <c r="J293" s="31"/>
      <c r="K293" s="23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 spans="1:28">
      <c r="A294" s="21"/>
      <c r="B294" s="23"/>
      <c r="C294" s="27"/>
      <c r="D294" s="23"/>
      <c r="E294" s="23"/>
      <c r="F294" s="23"/>
      <c r="G294" s="23"/>
      <c r="H294" s="23"/>
      <c r="I294" s="23"/>
      <c r="J294" s="31"/>
      <c r="K294" s="23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 spans="1:28">
      <c r="A295" s="21"/>
      <c r="B295" s="23"/>
      <c r="C295" s="27"/>
      <c r="D295" s="23"/>
      <c r="E295" s="23"/>
      <c r="F295" s="23"/>
      <c r="G295" s="23"/>
      <c r="H295" s="23"/>
      <c r="I295" s="23"/>
      <c r="J295" s="31"/>
      <c r="K295" s="23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 spans="1:28">
      <c r="A296" s="21"/>
      <c r="B296" s="23"/>
      <c r="C296" s="27"/>
      <c r="D296" s="23"/>
      <c r="E296" s="23"/>
      <c r="F296" s="23"/>
      <c r="G296" s="23"/>
      <c r="H296" s="23"/>
      <c r="I296" s="23"/>
      <c r="J296" s="31"/>
      <c r="K296" s="23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 spans="1:28">
      <c r="A297" s="21"/>
      <c r="B297" s="23"/>
      <c r="C297" s="27"/>
      <c r="D297" s="23"/>
      <c r="E297" s="23"/>
      <c r="F297" s="23"/>
      <c r="G297" s="23"/>
      <c r="H297" s="23"/>
      <c r="I297" s="23"/>
      <c r="J297" s="31"/>
      <c r="K297" s="23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 spans="1:28">
      <c r="A298" s="21"/>
      <c r="B298" s="23"/>
      <c r="C298" s="27"/>
      <c r="D298" s="23"/>
      <c r="E298" s="23"/>
      <c r="F298" s="23"/>
      <c r="G298" s="23"/>
      <c r="H298" s="23"/>
      <c r="I298" s="23"/>
      <c r="J298" s="31"/>
      <c r="K298" s="23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 spans="1:28">
      <c r="A299" s="21"/>
      <c r="B299" s="23"/>
      <c r="C299" s="27"/>
      <c r="D299" s="23"/>
      <c r="E299" s="23"/>
      <c r="F299" s="23"/>
      <c r="G299" s="23"/>
      <c r="H299" s="23"/>
      <c r="I299" s="23"/>
      <c r="J299" s="31"/>
      <c r="K299" s="23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 spans="1:28">
      <c r="A300" s="21"/>
      <c r="B300" s="23"/>
      <c r="C300" s="27"/>
      <c r="D300" s="23"/>
      <c r="E300" s="23"/>
      <c r="F300" s="23"/>
      <c r="G300" s="23"/>
      <c r="H300" s="23"/>
      <c r="I300" s="23"/>
      <c r="J300" s="31"/>
      <c r="K300" s="23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 spans="1:28">
      <c r="A301" s="21"/>
      <c r="B301" s="23"/>
      <c r="C301" s="27"/>
      <c r="D301" s="23"/>
      <c r="E301" s="23"/>
      <c r="F301" s="23"/>
      <c r="G301" s="23"/>
      <c r="H301" s="23"/>
      <c r="I301" s="23"/>
      <c r="J301" s="31"/>
      <c r="K301" s="23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 spans="1:28">
      <c r="A302" s="21"/>
      <c r="B302" s="23"/>
      <c r="C302" s="27"/>
      <c r="D302" s="189"/>
      <c r="E302" s="23"/>
      <c r="F302" s="23"/>
      <c r="G302" s="23"/>
      <c r="H302" s="23"/>
      <c r="I302" s="23"/>
      <c r="J302" s="31"/>
      <c r="K302" s="23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 spans="1:28">
      <c r="A303" s="21"/>
      <c r="B303" s="23"/>
      <c r="C303" s="27"/>
      <c r="D303" s="23"/>
      <c r="E303" s="23"/>
      <c r="F303" s="70"/>
      <c r="G303" s="23"/>
      <c r="H303" s="23"/>
      <c r="I303" s="23"/>
      <c r="J303" s="31"/>
      <c r="K303" s="23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 spans="1:28">
      <c r="A304" s="21"/>
      <c r="B304" s="23"/>
      <c r="C304" s="27"/>
      <c r="D304" s="23"/>
      <c r="E304" s="23"/>
      <c r="F304" s="23"/>
      <c r="G304" s="23"/>
      <c r="H304" s="23"/>
      <c r="I304" s="23"/>
      <c r="J304" s="31"/>
      <c r="K304" s="23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 spans="1:28">
      <c r="A305" s="21"/>
      <c r="B305" s="23"/>
      <c r="C305" s="27"/>
      <c r="D305" s="23"/>
      <c r="E305" s="23"/>
      <c r="F305" s="23"/>
      <c r="G305" s="23"/>
      <c r="H305" s="23"/>
      <c r="I305" s="23"/>
      <c r="J305" s="31"/>
      <c r="K305" s="23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 spans="1:28">
      <c r="A306" s="21"/>
      <c r="B306" s="23"/>
      <c r="C306" s="27"/>
      <c r="D306" s="70"/>
      <c r="E306" s="23"/>
      <c r="F306" s="23"/>
      <c r="G306" s="23"/>
      <c r="H306" s="23"/>
      <c r="I306" s="23"/>
      <c r="J306" s="31"/>
      <c r="K306" s="23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 spans="1:28">
      <c r="A307" s="21"/>
      <c r="B307" s="23"/>
      <c r="C307" s="27"/>
      <c r="D307" s="70"/>
      <c r="E307" s="70"/>
      <c r="F307" s="23"/>
      <c r="G307" s="23"/>
      <c r="H307" s="23"/>
      <c r="I307" s="23"/>
      <c r="J307" s="31"/>
      <c r="K307" s="23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 spans="1:28">
      <c r="A308" s="21"/>
      <c r="B308" s="23"/>
      <c r="C308" s="27"/>
      <c r="D308" s="70"/>
      <c r="E308" s="70"/>
      <c r="F308" s="50"/>
      <c r="G308" s="23"/>
      <c r="H308" s="23"/>
      <c r="I308" s="23"/>
      <c r="J308" s="31"/>
      <c r="K308" s="23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 spans="1:28">
      <c r="A309" s="21"/>
      <c r="B309" s="23"/>
      <c r="C309" s="27"/>
      <c r="D309" s="70"/>
      <c r="E309" s="23"/>
      <c r="F309" s="23"/>
      <c r="G309" s="23"/>
      <c r="H309" s="23"/>
      <c r="I309" s="23"/>
      <c r="J309" s="31"/>
      <c r="K309" s="23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 spans="1:28">
      <c r="A310" s="21"/>
      <c r="B310" s="23"/>
      <c r="C310" s="27"/>
      <c r="D310" s="70"/>
      <c r="E310" s="70"/>
      <c r="F310" s="23"/>
      <c r="G310" s="23"/>
      <c r="H310" s="23"/>
      <c r="I310" s="23"/>
      <c r="J310" s="31"/>
      <c r="K310" s="23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 spans="1:28">
      <c r="A311" s="21"/>
      <c r="B311" s="23"/>
      <c r="C311" s="27"/>
      <c r="D311" s="70"/>
      <c r="E311" s="23"/>
      <c r="F311" s="23"/>
      <c r="G311" s="23"/>
      <c r="H311" s="23"/>
      <c r="I311" s="23"/>
      <c r="J311" s="31"/>
      <c r="K311" s="23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 spans="1:28">
      <c r="A312" s="21"/>
      <c r="B312" s="23"/>
      <c r="C312" s="27"/>
      <c r="D312" s="70"/>
      <c r="E312" s="23"/>
      <c r="F312" s="23"/>
      <c r="G312" s="23"/>
      <c r="H312" s="23"/>
      <c r="I312" s="23"/>
      <c r="J312" s="31"/>
      <c r="K312" s="23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 spans="1:28">
      <c r="A313" s="21"/>
      <c r="B313" s="23"/>
      <c r="C313" s="27"/>
      <c r="D313" s="70"/>
      <c r="E313" s="23"/>
      <c r="F313" s="23"/>
      <c r="G313" s="23"/>
      <c r="H313" s="23"/>
      <c r="I313" s="23"/>
      <c r="J313" s="31"/>
      <c r="K313" s="23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 spans="1:28">
      <c r="A314" s="21"/>
      <c r="B314" s="23"/>
      <c r="C314" s="27"/>
      <c r="D314" s="70"/>
      <c r="E314" s="23"/>
      <c r="F314" s="23"/>
      <c r="G314" s="23"/>
      <c r="H314" s="23"/>
      <c r="I314" s="23"/>
      <c r="J314" s="31"/>
      <c r="K314" s="23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 spans="1:28">
      <c r="A315" s="21"/>
      <c r="B315" s="23"/>
      <c r="C315" s="27"/>
      <c r="D315" s="70"/>
      <c r="E315" s="23"/>
      <c r="F315" s="23"/>
      <c r="G315" s="23"/>
      <c r="H315" s="23"/>
      <c r="I315" s="23"/>
      <c r="J315" s="31"/>
      <c r="K315" s="23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 spans="1:28">
      <c r="A316" s="21"/>
      <c r="B316" s="23"/>
      <c r="C316" s="27"/>
      <c r="D316" s="70"/>
      <c r="E316" s="23"/>
      <c r="F316" s="23"/>
      <c r="G316" s="23"/>
      <c r="H316" s="23"/>
      <c r="I316" s="23"/>
      <c r="J316" s="31"/>
      <c r="K316" s="23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 spans="1:28">
      <c r="A317" s="21"/>
      <c r="B317" s="23"/>
      <c r="C317" s="27"/>
      <c r="D317" s="70"/>
      <c r="E317" s="23"/>
      <c r="F317" s="23"/>
      <c r="G317" s="23"/>
      <c r="H317" s="23"/>
      <c r="I317" s="23"/>
      <c r="J317" s="31"/>
      <c r="K317" s="23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 spans="1:28">
      <c r="A318" s="21"/>
      <c r="B318" s="23"/>
      <c r="C318" s="27"/>
      <c r="D318" s="190"/>
      <c r="E318" s="23"/>
      <c r="F318" s="23"/>
      <c r="G318" s="23"/>
      <c r="H318" s="23"/>
      <c r="I318" s="23"/>
      <c r="J318" s="31"/>
      <c r="K318" s="23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 spans="1:28">
      <c r="A319" s="21"/>
      <c r="B319" s="23"/>
      <c r="C319" s="27"/>
      <c r="D319" s="70"/>
      <c r="E319" s="23"/>
      <c r="F319" s="23"/>
      <c r="G319" s="23"/>
      <c r="H319" s="23"/>
      <c r="I319" s="23"/>
      <c r="J319" s="31"/>
      <c r="K319" s="23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 spans="1:28">
      <c r="A320" s="21"/>
      <c r="B320" s="23"/>
      <c r="C320" s="27"/>
      <c r="D320" s="70"/>
      <c r="E320" s="50"/>
      <c r="F320" s="23"/>
      <c r="G320" s="23"/>
      <c r="H320" s="23"/>
      <c r="I320" s="23"/>
      <c r="J320" s="31"/>
      <c r="K320" s="23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 spans="1:28">
      <c r="A321" s="21"/>
      <c r="B321" s="23"/>
      <c r="C321" s="27"/>
      <c r="D321" s="70"/>
      <c r="E321" s="50"/>
      <c r="F321" s="23"/>
      <c r="G321" s="23"/>
      <c r="H321" s="23"/>
      <c r="I321" s="23"/>
      <c r="J321" s="31"/>
      <c r="K321" s="23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 spans="1:28">
      <c r="A322" s="21"/>
      <c r="B322" s="23"/>
      <c r="C322" s="27"/>
      <c r="D322" s="70"/>
      <c r="E322" s="23"/>
      <c r="F322" s="23"/>
      <c r="G322" s="23"/>
      <c r="H322" s="23"/>
      <c r="I322" s="23"/>
      <c r="J322" s="31"/>
      <c r="K322" s="23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 spans="1:28">
      <c r="A323" s="21"/>
      <c r="B323" s="23"/>
      <c r="C323" s="27"/>
      <c r="D323" s="70"/>
      <c r="E323" s="23"/>
      <c r="F323" s="23"/>
      <c r="G323" s="23"/>
      <c r="H323" s="23"/>
      <c r="I323" s="23"/>
      <c r="J323" s="31"/>
      <c r="K323" s="23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 spans="1:28">
      <c r="A324" s="21"/>
      <c r="B324" s="23"/>
      <c r="C324" s="27"/>
      <c r="D324" s="23"/>
      <c r="E324" s="23"/>
      <c r="F324" s="23"/>
      <c r="G324" s="23"/>
      <c r="H324" s="23"/>
      <c r="I324" s="23"/>
      <c r="J324" s="31"/>
      <c r="K324" s="23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 spans="1:28">
      <c r="A325" s="21"/>
      <c r="B325" s="23"/>
      <c r="C325" s="27"/>
      <c r="D325" s="191"/>
      <c r="E325" s="23"/>
      <c r="F325" s="23"/>
      <c r="G325" s="23"/>
      <c r="H325" s="23"/>
      <c r="I325" s="23"/>
      <c r="J325" s="31"/>
      <c r="K325" s="23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 spans="1:28">
      <c r="A326" s="21"/>
      <c r="B326" s="23"/>
      <c r="C326" s="27"/>
      <c r="D326" s="23"/>
      <c r="E326" s="23"/>
      <c r="F326" s="23"/>
      <c r="G326" s="23"/>
      <c r="H326" s="23"/>
      <c r="I326" s="23"/>
      <c r="J326" s="31"/>
      <c r="K326" s="23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 spans="1:28">
      <c r="A327" s="21"/>
      <c r="B327" s="23"/>
      <c r="C327" s="27"/>
      <c r="D327" s="191"/>
      <c r="E327" s="23"/>
      <c r="F327" s="23"/>
      <c r="G327" s="23"/>
      <c r="H327" s="23"/>
      <c r="I327" s="23"/>
      <c r="J327" s="31"/>
      <c r="K327" s="23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 spans="1:28">
      <c r="A328" s="21"/>
      <c r="B328" s="23"/>
      <c r="C328" s="27"/>
      <c r="D328" s="23"/>
      <c r="E328" s="23"/>
      <c r="F328" s="23"/>
      <c r="G328" s="23"/>
      <c r="H328" s="23"/>
      <c r="I328" s="23"/>
      <c r="J328" s="31"/>
      <c r="K328" s="23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 spans="1:28">
      <c r="A329" s="21"/>
      <c r="B329" s="23"/>
      <c r="C329" s="27"/>
      <c r="D329" s="23"/>
      <c r="E329" s="23"/>
      <c r="F329" s="23"/>
      <c r="G329" s="23"/>
      <c r="H329" s="23"/>
      <c r="I329" s="23"/>
      <c r="J329" s="31"/>
      <c r="K329" s="23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 spans="1:28">
      <c r="A330" s="21"/>
      <c r="B330" s="23"/>
      <c r="C330" s="27"/>
      <c r="D330" s="35"/>
      <c r="E330" s="23"/>
      <c r="F330" s="23"/>
      <c r="G330" s="23"/>
      <c r="H330" s="23"/>
      <c r="I330" s="23"/>
      <c r="J330" s="31"/>
      <c r="K330" s="23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 spans="1:28">
      <c r="A331" s="21"/>
      <c r="B331" s="23"/>
      <c r="C331" s="27"/>
      <c r="D331" s="23"/>
      <c r="E331" s="23"/>
      <c r="F331" s="23"/>
      <c r="G331" s="23"/>
      <c r="H331" s="23"/>
      <c r="I331" s="23"/>
      <c r="J331" s="31"/>
      <c r="K331" s="23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 spans="1:28">
      <c r="A332" s="35"/>
      <c r="B332" s="35"/>
      <c r="C332" s="192"/>
      <c r="D332" s="35"/>
      <c r="E332" s="35"/>
      <c r="F332" s="35"/>
      <c r="G332" s="35"/>
      <c r="H332" s="35"/>
      <c r="I332" s="35"/>
      <c r="J332" s="192"/>
      <c r="K332" s="35"/>
      <c r="L332" s="35"/>
      <c r="M332" s="35"/>
      <c r="N332" s="23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 spans="1:28">
      <c r="A333" s="35"/>
      <c r="B333" s="35"/>
      <c r="C333" s="192"/>
      <c r="D333" s="35"/>
      <c r="E333" s="35"/>
      <c r="F333" s="35"/>
      <c r="G333" s="35"/>
      <c r="H333" s="35"/>
      <c r="I333" s="35"/>
      <c r="J333" s="192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 spans="1:28">
      <c r="A334" s="35"/>
      <c r="B334" s="35"/>
      <c r="C334" s="192"/>
      <c r="D334" s="35"/>
      <c r="E334" s="35"/>
      <c r="F334" s="35"/>
      <c r="G334" s="35"/>
      <c r="H334" s="35"/>
      <c r="I334" s="35"/>
      <c r="J334" s="192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 spans="1:28">
      <c r="A335" s="35"/>
      <c r="B335" s="35"/>
      <c r="C335" s="192"/>
      <c r="D335" s="35"/>
      <c r="E335" s="35"/>
      <c r="F335" s="35"/>
      <c r="G335" s="35"/>
      <c r="H335" s="35"/>
      <c r="I335" s="35"/>
      <c r="J335" s="192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 spans="1:28">
      <c r="A336" s="35"/>
      <c r="B336" s="35"/>
      <c r="C336" s="192"/>
      <c r="D336" s="35"/>
      <c r="E336" s="35"/>
      <c r="F336" s="35"/>
      <c r="G336" s="35"/>
      <c r="H336" s="35"/>
      <c r="I336" s="35"/>
      <c r="J336" s="192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 spans="1:28">
      <c r="A337" s="21">
        <v>46219</v>
      </c>
      <c r="B337" s="23" t="s">
        <v>83</v>
      </c>
      <c r="C337" s="193"/>
      <c r="D337" s="35"/>
      <c r="E337" s="35"/>
      <c r="F337" s="35"/>
      <c r="G337" s="35"/>
      <c r="H337" s="35"/>
      <c r="I337" s="35"/>
      <c r="J337" s="192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 spans="1:28">
      <c r="A338" s="35"/>
      <c r="B338" s="23" t="s">
        <v>34</v>
      </c>
      <c r="C338" s="193"/>
      <c r="D338" s="35"/>
      <c r="E338" s="35"/>
      <c r="F338" s="35"/>
      <c r="G338" s="35"/>
      <c r="H338" s="35"/>
      <c r="I338" s="35"/>
      <c r="J338" s="192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 spans="1:28">
      <c r="A339" s="35"/>
      <c r="B339" s="23" t="s">
        <v>31</v>
      </c>
      <c r="C339" s="193"/>
      <c r="D339" s="35"/>
      <c r="E339" s="35"/>
      <c r="F339" s="35"/>
      <c r="G339" s="35"/>
      <c r="H339" s="35"/>
      <c r="I339" s="35"/>
      <c r="J339" s="192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 spans="1:28">
      <c r="A340" s="35"/>
      <c r="B340" s="23" t="s">
        <v>49</v>
      </c>
      <c r="C340" s="193"/>
      <c r="D340" s="35"/>
      <c r="E340" s="35"/>
      <c r="F340" s="35"/>
      <c r="G340" s="35"/>
      <c r="H340" s="35"/>
      <c r="I340" s="35"/>
      <c r="J340" s="192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 spans="1:28">
      <c r="A341" s="35"/>
      <c r="B341" s="35"/>
      <c r="C341" s="193"/>
      <c r="D341" s="35"/>
      <c r="E341" s="35"/>
      <c r="F341" s="35"/>
      <c r="G341" s="35"/>
      <c r="H341" s="35"/>
      <c r="I341" s="35"/>
      <c r="J341" s="192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 spans="1:28">
      <c r="A342" s="35"/>
      <c r="B342" s="35"/>
      <c r="C342" s="193"/>
      <c r="D342" s="35"/>
      <c r="E342" s="35"/>
      <c r="F342" s="35"/>
      <c r="G342" s="35"/>
      <c r="H342" s="35"/>
      <c r="I342" s="35"/>
      <c r="J342" s="192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 spans="1:28">
      <c r="A343" s="35"/>
      <c r="B343" s="35"/>
      <c r="C343" s="193"/>
      <c r="D343" s="35"/>
      <c r="E343" s="35"/>
      <c r="F343" s="35"/>
      <c r="G343" s="35"/>
      <c r="H343" s="35"/>
      <c r="I343" s="35"/>
      <c r="J343" s="192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 spans="1:28">
      <c r="A344" s="35"/>
      <c r="B344" s="35"/>
      <c r="C344" s="193"/>
      <c r="D344" s="35"/>
      <c r="E344" s="35"/>
      <c r="F344" s="35"/>
      <c r="G344" s="35"/>
      <c r="H344" s="35"/>
      <c r="I344" s="35"/>
      <c r="J344" s="192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 spans="1:28">
      <c r="A345" s="35"/>
      <c r="B345" s="35"/>
      <c r="C345" s="193"/>
      <c r="D345" s="35"/>
      <c r="E345" s="35"/>
      <c r="F345" s="35"/>
      <c r="G345" s="35"/>
      <c r="H345" s="35"/>
      <c r="I345" s="35"/>
      <c r="J345" s="192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 spans="1:28">
      <c r="A346" s="35"/>
      <c r="B346" s="35"/>
      <c r="C346" s="193"/>
      <c r="D346" s="35"/>
      <c r="E346" s="35"/>
      <c r="F346" s="35"/>
      <c r="G346" s="35"/>
      <c r="H346" s="35"/>
      <c r="I346" s="35"/>
      <c r="J346" s="192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 spans="1:28">
      <c r="A347" s="35"/>
      <c r="B347" s="35"/>
      <c r="C347" s="193"/>
      <c r="D347" s="35"/>
      <c r="E347" s="35"/>
      <c r="F347" s="35"/>
      <c r="G347" s="35"/>
      <c r="H347" s="35"/>
      <c r="I347" s="35"/>
      <c r="J347" s="192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 spans="1:28">
      <c r="A348" s="35"/>
      <c r="B348" s="35"/>
      <c r="C348" s="193"/>
      <c r="D348" s="35"/>
      <c r="E348" s="35"/>
      <c r="F348" s="35"/>
      <c r="G348" s="35"/>
      <c r="H348" s="35"/>
      <c r="I348" s="35"/>
      <c r="J348" s="192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 spans="1:28">
      <c r="A349" s="35"/>
      <c r="B349" s="35"/>
      <c r="C349" s="193"/>
      <c r="D349" s="35"/>
      <c r="E349" s="35"/>
      <c r="F349" s="35"/>
      <c r="G349" s="35"/>
      <c r="H349" s="35"/>
      <c r="I349" s="35"/>
      <c r="J349" s="192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 spans="1:28">
      <c r="A350" s="35"/>
      <c r="B350" s="35"/>
      <c r="C350" s="193"/>
      <c r="D350" s="35"/>
      <c r="E350" s="35"/>
      <c r="F350" s="35"/>
      <c r="G350" s="35"/>
      <c r="H350" s="35"/>
      <c r="I350" s="35"/>
      <c r="J350" s="192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 spans="1:28">
      <c r="A351" s="35"/>
      <c r="B351" s="35"/>
      <c r="C351" s="193"/>
      <c r="D351" s="35"/>
      <c r="E351" s="35"/>
      <c r="F351" s="35"/>
      <c r="G351" s="35"/>
      <c r="H351" s="35"/>
      <c r="I351" s="35"/>
      <c r="J351" s="192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 spans="1:28">
      <c r="A352" s="35"/>
      <c r="B352" s="35"/>
      <c r="C352" s="193"/>
      <c r="D352" s="35"/>
      <c r="E352" s="35"/>
      <c r="F352" s="35"/>
      <c r="G352" s="35"/>
      <c r="H352" s="35"/>
      <c r="I352" s="35"/>
      <c r="J352" s="192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 spans="1:28">
      <c r="A353" s="35"/>
      <c r="B353" s="35"/>
      <c r="C353" s="193"/>
      <c r="D353" s="35"/>
      <c r="E353" s="35"/>
      <c r="F353" s="35"/>
      <c r="G353" s="35"/>
      <c r="H353" s="35"/>
      <c r="I353" s="35"/>
      <c r="J353" s="192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 spans="1:28">
      <c r="A354" s="35"/>
      <c r="B354" s="35"/>
      <c r="C354" s="193"/>
      <c r="D354" s="35"/>
      <c r="E354" s="35"/>
      <c r="F354" s="35"/>
      <c r="G354" s="35"/>
      <c r="H354" s="35"/>
      <c r="I354" s="35"/>
      <c r="J354" s="192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 spans="1:28">
      <c r="A355" s="35"/>
      <c r="B355" s="35"/>
      <c r="C355" s="193"/>
      <c r="D355" s="35"/>
      <c r="E355" s="35"/>
      <c r="F355" s="35"/>
      <c r="G355" s="35"/>
      <c r="H355" s="35"/>
      <c r="I355" s="35"/>
      <c r="J355" s="192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 spans="1:28">
      <c r="A356" s="35"/>
      <c r="B356" s="35"/>
      <c r="C356" s="193"/>
      <c r="D356" s="35"/>
      <c r="E356" s="35"/>
      <c r="F356" s="35"/>
      <c r="G356" s="35"/>
      <c r="H356" s="35"/>
      <c r="I356" s="35"/>
      <c r="J356" s="192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 spans="1:28">
      <c r="A357" s="35"/>
      <c r="B357" s="35"/>
      <c r="C357" s="193"/>
      <c r="D357" s="35"/>
      <c r="E357" s="35"/>
      <c r="F357" s="35"/>
      <c r="G357" s="35"/>
      <c r="H357" s="35"/>
      <c r="I357" s="35"/>
      <c r="J357" s="192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 spans="1:28">
      <c r="A358" s="35"/>
      <c r="B358" s="35"/>
      <c r="C358" s="193"/>
      <c r="D358" s="35"/>
      <c r="E358" s="35"/>
      <c r="F358" s="35"/>
      <c r="G358" s="35"/>
      <c r="H358" s="35"/>
      <c r="I358" s="35"/>
      <c r="J358" s="192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 spans="1:28">
      <c r="A359" s="35"/>
      <c r="B359" s="35"/>
      <c r="C359" s="193"/>
      <c r="D359" s="35"/>
      <c r="E359" s="35"/>
      <c r="F359" s="35"/>
      <c r="G359" s="35"/>
      <c r="H359" s="35"/>
      <c r="I359" s="35"/>
      <c r="J359" s="192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 spans="1:28">
      <c r="A360" s="35"/>
      <c r="B360" s="35"/>
      <c r="C360" s="193"/>
      <c r="D360" s="35"/>
      <c r="E360" s="35"/>
      <c r="F360" s="35"/>
      <c r="G360" s="35"/>
      <c r="H360" s="35"/>
      <c r="I360" s="35"/>
      <c r="J360" s="192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 spans="1:28">
      <c r="A361" s="35"/>
      <c r="B361" s="35"/>
      <c r="C361" s="193"/>
      <c r="D361" s="35"/>
      <c r="E361" s="35"/>
      <c r="F361" s="35"/>
      <c r="G361" s="35"/>
      <c r="H361" s="35"/>
      <c r="I361" s="35"/>
      <c r="J361" s="192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 spans="1:28">
      <c r="A362" s="35"/>
      <c r="B362" s="35"/>
      <c r="C362" s="193"/>
      <c r="D362" s="35"/>
      <c r="E362" s="35"/>
      <c r="F362" s="35"/>
      <c r="G362" s="35"/>
      <c r="H362" s="35"/>
      <c r="I362" s="35"/>
      <c r="J362" s="192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 spans="1:28">
      <c r="A363" s="35"/>
      <c r="B363" s="35"/>
      <c r="C363" s="193"/>
      <c r="D363" s="35"/>
      <c r="E363" s="35"/>
      <c r="F363" s="35"/>
      <c r="G363" s="35"/>
      <c r="H363" s="35"/>
      <c r="I363" s="35"/>
      <c r="J363" s="192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 spans="1:28">
      <c r="A364" s="35"/>
      <c r="B364" s="35"/>
      <c r="C364" s="193"/>
      <c r="D364" s="35"/>
      <c r="E364" s="35"/>
      <c r="F364" s="35"/>
      <c r="G364" s="35"/>
      <c r="H364" s="35"/>
      <c r="I364" s="35"/>
      <c r="J364" s="192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 spans="1:28">
      <c r="A365" s="35"/>
      <c r="B365" s="35"/>
      <c r="C365" s="193"/>
      <c r="D365" s="35"/>
      <c r="E365" s="35"/>
      <c r="F365" s="35"/>
      <c r="G365" s="35"/>
      <c r="H365" s="35"/>
      <c r="I365" s="35"/>
      <c r="J365" s="192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 spans="1:28">
      <c r="A366" s="35"/>
      <c r="B366" s="35"/>
      <c r="C366" s="193"/>
      <c r="D366" s="35"/>
      <c r="E366" s="35"/>
      <c r="F366" s="35"/>
      <c r="G366" s="35"/>
      <c r="H366" s="35"/>
      <c r="I366" s="35"/>
      <c r="J366" s="192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 spans="1:28">
      <c r="A367" s="35"/>
      <c r="B367" s="35"/>
      <c r="C367" s="193"/>
      <c r="D367" s="35"/>
      <c r="E367" s="35"/>
      <c r="F367" s="35"/>
      <c r="G367" s="35"/>
      <c r="H367" s="35"/>
      <c r="I367" s="35"/>
      <c r="J367" s="192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 spans="1:28">
      <c r="A368" s="35"/>
      <c r="B368" s="35"/>
      <c r="C368" s="193"/>
      <c r="D368" s="35"/>
      <c r="E368" s="35"/>
      <c r="F368" s="35"/>
      <c r="G368" s="35"/>
      <c r="H368" s="35"/>
      <c r="I368" s="35"/>
      <c r="J368" s="192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 spans="1:28">
      <c r="A369" s="35"/>
      <c r="B369" s="35"/>
      <c r="C369" s="193"/>
      <c r="D369" s="35"/>
      <c r="E369" s="35"/>
      <c r="F369" s="35"/>
      <c r="G369" s="35"/>
      <c r="H369" s="35"/>
      <c r="I369" s="35"/>
      <c r="J369" s="192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 spans="1:28">
      <c r="A370" s="35"/>
      <c r="B370" s="35"/>
      <c r="C370" s="193"/>
      <c r="D370" s="35"/>
      <c r="E370" s="35"/>
      <c r="F370" s="35"/>
      <c r="G370" s="35"/>
      <c r="H370" s="35"/>
      <c r="I370" s="35"/>
      <c r="J370" s="192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 spans="1:28">
      <c r="A371" s="35"/>
      <c r="B371" s="35"/>
      <c r="C371" s="193"/>
      <c r="D371" s="35"/>
      <c r="E371" s="35"/>
      <c r="F371" s="35"/>
      <c r="G371" s="35"/>
      <c r="H371" s="35"/>
      <c r="I371" s="35"/>
      <c r="J371" s="192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 spans="1:28">
      <c r="A372" s="35"/>
      <c r="B372" s="35"/>
      <c r="C372" s="193"/>
      <c r="D372" s="35"/>
      <c r="E372" s="35"/>
      <c r="F372" s="35"/>
      <c r="G372" s="35"/>
      <c r="H372" s="35"/>
      <c r="I372" s="35"/>
      <c r="J372" s="192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 spans="1:28">
      <c r="A373" s="35"/>
      <c r="B373" s="35"/>
      <c r="C373" s="193"/>
      <c r="D373" s="35"/>
      <c r="E373" s="35"/>
      <c r="F373" s="35"/>
      <c r="G373" s="35"/>
      <c r="H373" s="35"/>
      <c r="I373" s="35"/>
      <c r="J373" s="192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 spans="1:28">
      <c r="A374" s="35"/>
      <c r="B374" s="35"/>
      <c r="C374" s="193"/>
      <c r="D374" s="35"/>
      <c r="E374" s="35"/>
      <c r="F374" s="35"/>
      <c r="G374" s="35"/>
      <c r="H374" s="35"/>
      <c r="I374" s="35"/>
      <c r="J374" s="192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 spans="1:28">
      <c r="A375" s="35"/>
      <c r="B375" s="35"/>
      <c r="C375" s="193"/>
      <c r="D375" s="35"/>
      <c r="E375" s="35"/>
      <c r="F375" s="35"/>
      <c r="G375" s="35"/>
      <c r="H375" s="35"/>
      <c r="I375" s="35"/>
      <c r="J375" s="192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 spans="1:28">
      <c r="A376" s="35"/>
      <c r="B376" s="35"/>
      <c r="C376" s="193"/>
      <c r="D376" s="35"/>
      <c r="E376" s="35"/>
      <c r="F376" s="35"/>
      <c r="G376" s="35"/>
      <c r="H376" s="35"/>
      <c r="I376" s="35"/>
      <c r="J376" s="192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 spans="1:28">
      <c r="A377" s="35"/>
      <c r="B377" s="35"/>
      <c r="C377" s="193"/>
      <c r="D377" s="35"/>
      <c r="E377" s="35"/>
      <c r="F377" s="35"/>
      <c r="G377" s="35"/>
      <c r="H377" s="35"/>
      <c r="I377" s="35"/>
      <c r="J377" s="192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 spans="1:28">
      <c r="A378" s="35"/>
      <c r="B378" s="35"/>
      <c r="C378" s="193"/>
      <c r="D378" s="35"/>
      <c r="E378" s="35"/>
      <c r="F378" s="35"/>
      <c r="G378" s="35"/>
      <c r="H378" s="35"/>
      <c r="I378" s="35"/>
      <c r="J378" s="192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 spans="1:28">
      <c r="A379" s="35"/>
      <c r="B379" s="35"/>
      <c r="C379" s="193"/>
      <c r="D379" s="35"/>
      <c r="E379" s="35"/>
      <c r="F379" s="35"/>
      <c r="G379" s="35"/>
      <c r="H379" s="35"/>
      <c r="I379" s="35"/>
      <c r="J379" s="192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 spans="1:28">
      <c r="A380" s="35"/>
      <c r="B380" s="35"/>
      <c r="C380" s="193"/>
      <c r="D380" s="35"/>
      <c r="E380" s="35"/>
      <c r="F380" s="35"/>
      <c r="G380" s="35"/>
      <c r="H380" s="35"/>
      <c r="I380" s="35"/>
      <c r="J380" s="192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 spans="1:28">
      <c r="A381" s="35"/>
      <c r="B381" s="35"/>
      <c r="C381" s="193"/>
      <c r="D381" s="35"/>
      <c r="E381" s="35"/>
      <c r="F381" s="35"/>
      <c r="G381" s="35"/>
      <c r="H381" s="35"/>
      <c r="I381" s="35"/>
      <c r="J381" s="192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 spans="1:28">
      <c r="A382" s="35"/>
      <c r="B382" s="35"/>
      <c r="C382" s="193"/>
      <c r="D382" s="35"/>
      <c r="E382" s="35"/>
      <c r="F382" s="35"/>
      <c r="G382" s="35"/>
      <c r="H382" s="35"/>
      <c r="I382" s="35"/>
      <c r="J382" s="192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 spans="1:28">
      <c r="A383" s="35"/>
      <c r="B383" s="35"/>
      <c r="C383" s="193"/>
      <c r="D383" s="35"/>
      <c r="E383" s="35"/>
      <c r="F383" s="35"/>
      <c r="G383" s="35"/>
      <c r="H383" s="35"/>
      <c r="I383" s="35"/>
      <c r="J383" s="192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 spans="1:28">
      <c r="A384" s="35"/>
      <c r="B384" s="35"/>
      <c r="C384" s="193"/>
      <c r="D384" s="35"/>
      <c r="E384" s="35"/>
      <c r="F384" s="35"/>
      <c r="G384" s="35"/>
      <c r="H384" s="35"/>
      <c r="I384" s="35"/>
      <c r="J384" s="192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 spans="1:28">
      <c r="A385" s="35"/>
      <c r="B385" s="35"/>
      <c r="C385" s="193"/>
      <c r="D385" s="35"/>
      <c r="E385" s="35"/>
      <c r="F385" s="35"/>
      <c r="G385" s="35"/>
      <c r="H385" s="35"/>
      <c r="I385" s="35"/>
      <c r="J385" s="192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 spans="1:28">
      <c r="A386" s="35"/>
      <c r="B386" s="35"/>
      <c r="C386" s="193"/>
      <c r="D386" s="35"/>
      <c r="E386" s="35"/>
      <c r="F386" s="35"/>
      <c r="G386" s="35"/>
      <c r="H386" s="35"/>
      <c r="I386" s="35"/>
      <c r="J386" s="192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 spans="1:28">
      <c r="A387" s="35"/>
      <c r="B387" s="35"/>
      <c r="C387" s="193"/>
      <c r="D387" s="35"/>
      <c r="E387" s="35"/>
      <c r="F387" s="35"/>
      <c r="G387" s="35"/>
      <c r="H387" s="35"/>
      <c r="I387" s="35"/>
      <c r="J387" s="192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 spans="1:28">
      <c r="A388" s="35"/>
      <c r="B388" s="35"/>
      <c r="C388" s="193"/>
      <c r="D388" s="35"/>
      <c r="E388" s="35"/>
      <c r="F388" s="35"/>
      <c r="G388" s="35"/>
      <c r="H388" s="35"/>
      <c r="I388" s="35"/>
      <c r="J388" s="192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 spans="1:28">
      <c r="A389" s="35"/>
      <c r="B389" s="35"/>
      <c r="C389" s="193"/>
      <c r="D389" s="35"/>
      <c r="E389" s="35"/>
      <c r="F389" s="35"/>
      <c r="G389" s="35"/>
      <c r="H389" s="35"/>
      <c r="I389" s="35"/>
      <c r="J389" s="192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 spans="1:28">
      <c r="A390" s="35"/>
      <c r="B390" s="35"/>
      <c r="C390" s="193"/>
      <c r="D390" s="35"/>
      <c r="E390" s="35"/>
      <c r="F390" s="35"/>
      <c r="G390" s="35"/>
      <c r="H390" s="35"/>
      <c r="I390" s="35"/>
      <c r="J390" s="192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 spans="1:28">
      <c r="A391" s="35"/>
      <c r="B391" s="35"/>
      <c r="C391" s="193"/>
      <c r="D391" s="35"/>
      <c r="E391" s="35"/>
      <c r="F391" s="35"/>
      <c r="G391" s="35"/>
      <c r="H391" s="35"/>
      <c r="I391" s="35"/>
      <c r="J391" s="192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 spans="1:28">
      <c r="A392" s="35"/>
      <c r="B392" s="35"/>
      <c r="C392" s="193"/>
      <c r="D392" s="35"/>
      <c r="E392" s="35"/>
      <c r="F392" s="35"/>
      <c r="G392" s="35"/>
      <c r="H392" s="35"/>
      <c r="I392" s="35"/>
      <c r="J392" s="192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 spans="1:28">
      <c r="A393" s="35"/>
      <c r="B393" s="35"/>
      <c r="C393" s="193"/>
      <c r="D393" s="35"/>
      <c r="E393" s="35"/>
      <c r="F393" s="35"/>
      <c r="G393" s="35"/>
      <c r="H393" s="35"/>
      <c r="I393" s="35"/>
      <c r="J393" s="192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 spans="1:28">
      <c r="A394" s="35"/>
      <c r="B394" s="35"/>
      <c r="C394" s="193"/>
      <c r="D394" s="35"/>
      <c r="E394" s="35"/>
      <c r="F394" s="35"/>
      <c r="G394" s="35"/>
      <c r="H394" s="35"/>
      <c r="I394" s="35"/>
      <c r="J394" s="192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 spans="1:28">
      <c r="A395" s="35"/>
      <c r="B395" s="35"/>
      <c r="C395" s="193"/>
      <c r="D395" s="35"/>
      <c r="E395" s="35"/>
      <c r="F395" s="35"/>
      <c r="G395" s="35"/>
      <c r="H395" s="35"/>
      <c r="I395" s="35"/>
      <c r="J395" s="192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 spans="1:28">
      <c r="A396" s="35"/>
      <c r="B396" s="35"/>
      <c r="C396" s="193"/>
      <c r="D396" s="35"/>
      <c r="E396" s="35"/>
      <c r="F396" s="35"/>
      <c r="G396" s="35"/>
      <c r="H396" s="35"/>
      <c r="I396" s="35"/>
      <c r="J396" s="192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 spans="1:28">
      <c r="A397" s="35"/>
      <c r="B397" s="35"/>
      <c r="C397" s="193"/>
      <c r="D397" s="35"/>
      <c r="E397" s="35"/>
      <c r="F397" s="35"/>
      <c r="G397" s="35"/>
      <c r="H397" s="35"/>
      <c r="I397" s="35"/>
      <c r="J397" s="192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 spans="1:28">
      <c r="A398" s="35"/>
      <c r="B398" s="35"/>
      <c r="C398" s="193"/>
      <c r="D398" s="35"/>
      <c r="E398" s="35"/>
      <c r="F398" s="35"/>
      <c r="G398" s="35"/>
      <c r="H398" s="35"/>
      <c r="I398" s="35"/>
      <c r="J398" s="192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 spans="1:28">
      <c r="A399" s="35"/>
      <c r="B399" s="35"/>
      <c r="C399" s="193"/>
      <c r="D399" s="35"/>
      <c r="E399" s="35"/>
      <c r="F399" s="35"/>
      <c r="G399" s="35"/>
      <c r="H399" s="35"/>
      <c r="I399" s="35"/>
      <c r="J399" s="192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 spans="1:28">
      <c r="A400" s="35"/>
      <c r="B400" s="35"/>
      <c r="C400" s="193"/>
      <c r="D400" s="35"/>
      <c r="E400" s="35"/>
      <c r="F400" s="35"/>
      <c r="G400" s="35"/>
      <c r="H400" s="35"/>
      <c r="I400" s="35"/>
      <c r="J400" s="192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 spans="1:28">
      <c r="A401" s="35"/>
      <c r="B401" s="35"/>
      <c r="C401" s="193"/>
      <c r="D401" s="35"/>
      <c r="E401" s="35"/>
      <c r="F401" s="35"/>
      <c r="G401" s="35"/>
      <c r="H401" s="35"/>
      <c r="I401" s="35"/>
      <c r="J401" s="192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 spans="1:28">
      <c r="A402" s="35"/>
      <c r="B402" s="35"/>
      <c r="C402" s="193"/>
      <c r="D402" s="35"/>
      <c r="E402" s="35"/>
      <c r="F402" s="35"/>
      <c r="G402" s="35"/>
      <c r="H402" s="35"/>
      <c r="I402" s="35"/>
      <c r="J402" s="192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 spans="1:28">
      <c r="A403" s="35"/>
      <c r="B403" s="35"/>
      <c r="C403" s="193"/>
      <c r="D403" s="35"/>
      <c r="E403" s="35"/>
      <c r="F403" s="35"/>
      <c r="G403" s="35"/>
      <c r="H403" s="35"/>
      <c r="I403" s="35"/>
      <c r="J403" s="192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 spans="1:28">
      <c r="A404" s="35"/>
      <c r="B404" s="35"/>
      <c r="C404" s="193"/>
      <c r="D404" s="35"/>
      <c r="E404" s="35"/>
      <c r="F404" s="35"/>
      <c r="G404" s="35"/>
      <c r="H404" s="35"/>
      <c r="I404" s="35"/>
      <c r="J404" s="192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 spans="1:28">
      <c r="A405" s="35"/>
      <c r="B405" s="35"/>
      <c r="C405" s="193"/>
      <c r="D405" s="35"/>
      <c r="E405" s="35"/>
      <c r="F405" s="35"/>
      <c r="G405" s="35"/>
      <c r="H405" s="35"/>
      <c r="I405" s="35"/>
      <c r="J405" s="192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 spans="1:28">
      <c r="A406" s="35"/>
      <c r="B406" s="35"/>
      <c r="C406" s="193"/>
      <c r="D406" s="35"/>
      <c r="E406" s="35"/>
      <c r="F406" s="35"/>
      <c r="G406" s="35"/>
      <c r="H406" s="35"/>
      <c r="I406" s="35"/>
      <c r="J406" s="192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 spans="1:28">
      <c r="A407" s="35"/>
      <c r="B407" s="35"/>
      <c r="C407" s="193"/>
      <c r="D407" s="35"/>
      <c r="E407" s="35"/>
      <c r="F407" s="35"/>
      <c r="G407" s="35"/>
      <c r="H407" s="35"/>
      <c r="I407" s="35"/>
      <c r="J407" s="192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 spans="1:28">
      <c r="A408" s="35"/>
      <c r="B408" s="35"/>
      <c r="C408" s="193"/>
      <c r="D408" s="35"/>
      <c r="E408" s="35"/>
      <c r="F408" s="35"/>
      <c r="G408" s="35"/>
      <c r="H408" s="35"/>
      <c r="I408" s="35"/>
      <c r="J408" s="192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 spans="1:28">
      <c r="A409" s="35"/>
      <c r="B409" s="35"/>
      <c r="C409" s="193"/>
      <c r="D409" s="35"/>
      <c r="E409" s="35"/>
      <c r="F409" s="35"/>
      <c r="G409" s="35"/>
      <c r="H409" s="35"/>
      <c r="I409" s="35"/>
      <c r="J409" s="192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 spans="1:28">
      <c r="A410" s="35"/>
      <c r="B410" s="35"/>
      <c r="C410" s="193"/>
      <c r="D410" s="35"/>
      <c r="E410" s="35"/>
      <c r="F410" s="35"/>
      <c r="G410" s="35"/>
      <c r="H410" s="35"/>
      <c r="I410" s="35"/>
      <c r="J410" s="192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 spans="1:28">
      <c r="A411" s="35"/>
      <c r="B411" s="35"/>
      <c r="C411" s="193"/>
      <c r="D411" s="35"/>
      <c r="E411" s="35"/>
      <c r="F411" s="35"/>
      <c r="G411" s="35"/>
      <c r="H411" s="35"/>
      <c r="I411" s="35"/>
      <c r="J411" s="192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 spans="1:28">
      <c r="A412" s="35"/>
      <c r="B412" s="35"/>
      <c r="C412" s="193"/>
      <c r="D412" s="35"/>
      <c r="E412" s="35"/>
      <c r="F412" s="35"/>
      <c r="G412" s="35"/>
      <c r="H412" s="35"/>
      <c r="I412" s="35"/>
      <c r="J412" s="192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 spans="1:28">
      <c r="A413" s="35"/>
      <c r="B413" s="35"/>
      <c r="C413" s="193"/>
      <c r="D413" s="35"/>
      <c r="E413" s="35"/>
      <c r="F413" s="35"/>
      <c r="G413" s="35"/>
      <c r="H413" s="35"/>
      <c r="I413" s="35"/>
      <c r="J413" s="192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 spans="1:28">
      <c r="A414" s="35"/>
      <c r="B414" s="35"/>
      <c r="C414" s="193"/>
      <c r="D414" s="35"/>
      <c r="E414" s="35"/>
      <c r="F414" s="35"/>
      <c r="G414" s="35"/>
      <c r="H414" s="35"/>
      <c r="I414" s="35"/>
      <c r="J414" s="192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 spans="1:28">
      <c r="A415" s="35"/>
      <c r="B415" s="35"/>
      <c r="C415" s="193"/>
      <c r="D415" s="35"/>
      <c r="E415" s="35"/>
      <c r="F415" s="35"/>
      <c r="G415" s="35"/>
      <c r="H415" s="35"/>
      <c r="I415" s="35"/>
      <c r="J415" s="192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 spans="1:28">
      <c r="A416" s="35"/>
      <c r="B416" s="35"/>
      <c r="C416" s="193"/>
      <c r="D416" s="35"/>
      <c r="E416" s="35"/>
      <c r="F416" s="35"/>
      <c r="G416" s="35"/>
      <c r="H416" s="35"/>
      <c r="I416" s="35"/>
      <c r="J416" s="192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 spans="1:28">
      <c r="A417" s="35"/>
      <c r="B417" s="35"/>
      <c r="C417" s="193"/>
      <c r="D417" s="35"/>
      <c r="E417" s="35"/>
      <c r="F417" s="35"/>
      <c r="G417" s="35"/>
      <c r="H417" s="35"/>
      <c r="I417" s="35"/>
      <c r="J417" s="192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 spans="1:28">
      <c r="A418" s="35"/>
      <c r="B418" s="35"/>
      <c r="C418" s="193"/>
      <c r="D418" s="35"/>
      <c r="E418" s="35"/>
      <c r="F418" s="35"/>
      <c r="G418" s="35"/>
      <c r="H418" s="35"/>
      <c r="I418" s="35"/>
      <c r="J418" s="192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 spans="1:28">
      <c r="A419" s="35"/>
      <c r="B419" s="35"/>
      <c r="C419" s="193"/>
      <c r="D419" s="35"/>
      <c r="E419" s="35"/>
      <c r="F419" s="35"/>
      <c r="G419" s="35"/>
      <c r="H419" s="35"/>
      <c r="I419" s="35"/>
      <c r="J419" s="192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 spans="1:28">
      <c r="A420" s="35"/>
      <c r="B420" s="35"/>
      <c r="C420" s="193"/>
      <c r="D420" s="35"/>
      <c r="E420" s="35"/>
      <c r="F420" s="35"/>
      <c r="G420" s="35"/>
      <c r="H420" s="35"/>
      <c r="I420" s="35"/>
      <c r="J420" s="192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 spans="1:28">
      <c r="A421" s="35"/>
      <c r="B421" s="35"/>
      <c r="C421" s="193"/>
      <c r="D421" s="35"/>
      <c r="E421" s="35"/>
      <c r="F421" s="35"/>
      <c r="G421" s="35"/>
      <c r="H421" s="35"/>
      <c r="I421" s="35"/>
      <c r="J421" s="192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 spans="1:28">
      <c r="A422" s="35"/>
      <c r="B422" s="35"/>
      <c r="C422" s="193"/>
      <c r="D422" s="35"/>
      <c r="E422" s="35"/>
      <c r="F422" s="35"/>
      <c r="G422" s="35"/>
      <c r="H422" s="35"/>
      <c r="I422" s="35"/>
      <c r="J422" s="192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 spans="1:28">
      <c r="A423" s="35"/>
      <c r="B423" s="35"/>
      <c r="C423" s="193"/>
      <c r="D423" s="35"/>
      <c r="E423" s="35"/>
      <c r="F423" s="35"/>
      <c r="G423" s="35"/>
      <c r="H423" s="35"/>
      <c r="I423" s="35"/>
      <c r="J423" s="192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 spans="1:28">
      <c r="A424" s="35"/>
      <c r="B424" s="35"/>
      <c r="C424" s="193"/>
      <c r="D424" s="35"/>
      <c r="E424" s="35"/>
      <c r="F424" s="35"/>
      <c r="G424" s="35"/>
      <c r="H424" s="35"/>
      <c r="I424" s="35"/>
      <c r="J424" s="192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 spans="1:28">
      <c r="A425" s="35"/>
      <c r="B425" s="35"/>
      <c r="C425" s="193"/>
      <c r="D425" s="35"/>
      <c r="E425" s="35"/>
      <c r="F425" s="35"/>
      <c r="G425" s="35"/>
      <c r="H425" s="35"/>
      <c r="I425" s="35"/>
      <c r="J425" s="192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 spans="1:28">
      <c r="A426" s="35"/>
      <c r="B426" s="35"/>
      <c r="C426" s="193"/>
      <c r="D426" s="35"/>
      <c r="E426" s="35"/>
      <c r="F426" s="35"/>
      <c r="G426" s="35"/>
      <c r="H426" s="35"/>
      <c r="I426" s="35"/>
      <c r="J426" s="192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 spans="1:28">
      <c r="A427" s="35"/>
      <c r="B427" s="35"/>
      <c r="C427" s="193"/>
      <c r="D427" s="35"/>
      <c r="E427" s="35"/>
      <c r="F427" s="35"/>
      <c r="G427" s="35"/>
      <c r="H427" s="35"/>
      <c r="I427" s="35"/>
      <c r="J427" s="192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 spans="1:28">
      <c r="A428" s="35"/>
      <c r="B428" s="35"/>
      <c r="C428" s="193"/>
      <c r="D428" s="35"/>
      <c r="E428" s="35"/>
      <c r="F428" s="35"/>
      <c r="G428" s="35"/>
      <c r="H428" s="35"/>
      <c r="I428" s="35"/>
      <c r="J428" s="192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 spans="1:28">
      <c r="A429" s="35"/>
      <c r="B429" s="35"/>
      <c r="C429" s="193"/>
      <c r="D429" s="35"/>
      <c r="E429" s="35"/>
      <c r="F429" s="35"/>
      <c r="G429" s="35"/>
      <c r="H429" s="35"/>
      <c r="I429" s="35"/>
      <c r="J429" s="192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 spans="1:28">
      <c r="A430" s="35"/>
      <c r="B430" s="35"/>
      <c r="C430" s="193"/>
      <c r="D430" s="35"/>
      <c r="E430" s="35"/>
      <c r="F430" s="35"/>
      <c r="G430" s="35"/>
      <c r="H430" s="35"/>
      <c r="I430" s="35"/>
      <c r="J430" s="192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 spans="1:28">
      <c r="A431" s="35"/>
      <c r="B431" s="35"/>
      <c r="C431" s="193"/>
      <c r="D431" s="35"/>
      <c r="E431" s="35"/>
      <c r="F431" s="35"/>
      <c r="G431" s="35"/>
      <c r="H431" s="35"/>
      <c r="I431" s="35"/>
      <c r="J431" s="192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 spans="1:28">
      <c r="A432" s="35"/>
      <c r="B432" s="35"/>
      <c r="C432" s="193"/>
      <c r="D432" s="35"/>
      <c r="E432" s="35"/>
      <c r="F432" s="35"/>
      <c r="G432" s="35"/>
      <c r="H432" s="35"/>
      <c r="I432" s="35"/>
      <c r="J432" s="192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 spans="1:28">
      <c r="A433" s="35"/>
      <c r="B433" s="35"/>
      <c r="C433" s="193"/>
      <c r="D433" s="35"/>
      <c r="E433" s="35"/>
      <c r="F433" s="35"/>
      <c r="G433" s="35"/>
      <c r="H433" s="35"/>
      <c r="I433" s="35"/>
      <c r="J433" s="192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 spans="1:28">
      <c r="A434" s="35"/>
      <c r="B434" s="35"/>
      <c r="C434" s="193"/>
      <c r="D434" s="35"/>
      <c r="E434" s="35"/>
      <c r="F434" s="35"/>
      <c r="G434" s="35"/>
      <c r="H434" s="35"/>
      <c r="I434" s="35"/>
      <c r="J434" s="192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 spans="1:28">
      <c r="A435" s="35"/>
      <c r="B435" s="35"/>
      <c r="C435" s="193"/>
      <c r="D435" s="35"/>
      <c r="E435" s="35"/>
      <c r="F435" s="35"/>
      <c r="G435" s="35"/>
      <c r="H435" s="35"/>
      <c r="I435" s="35"/>
      <c r="J435" s="192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 spans="1:28">
      <c r="A436" s="35"/>
      <c r="B436" s="35"/>
      <c r="C436" s="193"/>
      <c r="D436" s="35"/>
      <c r="E436" s="35"/>
      <c r="F436" s="35"/>
      <c r="G436" s="35"/>
      <c r="H436" s="35"/>
      <c r="I436" s="35"/>
      <c r="J436" s="192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 spans="1:28">
      <c r="A437" s="35"/>
      <c r="B437" s="35"/>
      <c r="C437" s="193"/>
      <c r="D437" s="35"/>
      <c r="E437" s="35"/>
      <c r="F437" s="35"/>
      <c r="G437" s="35"/>
      <c r="H437" s="35"/>
      <c r="I437" s="35"/>
      <c r="J437" s="192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 spans="1:28">
      <c r="A438" s="35"/>
      <c r="B438" s="35"/>
      <c r="C438" s="193"/>
      <c r="D438" s="35"/>
      <c r="E438" s="35"/>
      <c r="F438" s="35"/>
      <c r="G438" s="35"/>
      <c r="H438" s="35"/>
      <c r="I438" s="35"/>
      <c r="J438" s="192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 spans="1:28">
      <c r="A439" s="35"/>
      <c r="B439" s="35"/>
      <c r="C439" s="193"/>
      <c r="D439" s="35"/>
      <c r="E439" s="35"/>
      <c r="F439" s="35"/>
      <c r="G439" s="35"/>
      <c r="H439" s="35"/>
      <c r="I439" s="35"/>
      <c r="J439" s="192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 spans="1:28">
      <c r="A440" s="35"/>
      <c r="B440" s="35"/>
      <c r="C440" s="193"/>
      <c r="D440" s="35"/>
      <c r="E440" s="35"/>
      <c r="F440" s="35"/>
      <c r="G440" s="35"/>
      <c r="H440" s="35"/>
      <c r="I440" s="35"/>
      <c r="J440" s="192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 spans="1:28">
      <c r="A441" s="35"/>
      <c r="B441" s="35"/>
      <c r="C441" s="193"/>
      <c r="D441" s="35"/>
      <c r="E441" s="35"/>
      <c r="F441" s="35"/>
      <c r="G441" s="35"/>
      <c r="H441" s="35"/>
      <c r="I441" s="35"/>
      <c r="J441" s="192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 spans="1:28">
      <c r="A442" s="35"/>
      <c r="B442" s="35"/>
      <c r="C442" s="193"/>
      <c r="D442" s="35"/>
      <c r="E442" s="35"/>
      <c r="F442" s="35"/>
      <c r="G442" s="35"/>
      <c r="H442" s="35"/>
      <c r="I442" s="35"/>
      <c r="J442" s="192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 spans="1:28">
      <c r="A443" s="35"/>
      <c r="B443" s="35"/>
      <c r="C443" s="193"/>
      <c r="D443" s="35"/>
      <c r="E443" s="35"/>
      <c r="F443" s="35"/>
      <c r="G443" s="35"/>
      <c r="H443" s="35"/>
      <c r="I443" s="35"/>
      <c r="J443" s="192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 spans="1:28">
      <c r="A444" s="35"/>
      <c r="B444" s="35"/>
      <c r="C444" s="193"/>
      <c r="D444" s="35"/>
      <c r="E444" s="35"/>
      <c r="F444" s="35"/>
      <c r="G444" s="35"/>
      <c r="H444" s="35"/>
      <c r="I444" s="35"/>
      <c r="J444" s="192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 spans="1:28">
      <c r="A445" s="35"/>
      <c r="B445" s="35"/>
      <c r="C445" s="193"/>
      <c r="D445" s="35"/>
      <c r="E445" s="35"/>
      <c r="F445" s="35"/>
      <c r="G445" s="35"/>
      <c r="H445" s="35"/>
      <c r="I445" s="35"/>
      <c r="J445" s="192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 spans="1:28">
      <c r="A446" s="35"/>
      <c r="B446" s="35"/>
      <c r="C446" s="193"/>
      <c r="D446" s="35"/>
      <c r="E446" s="35"/>
      <c r="F446" s="35"/>
      <c r="G446" s="35"/>
      <c r="H446" s="35"/>
      <c r="I446" s="35"/>
      <c r="J446" s="192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 spans="1:28">
      <c r="A447" s="35"/>
      <c r="B447" s="35"/>
      <c r="C447" s="193"/>
      <c r="D447" s="35"/>
      <c r="E447" s="35"/>
      <c r="F447" s="35"/>
      <c r="G447" s="35"/>
      <c r="H447" s="35"/>
      <c r="I447" s="35"/>
      <c r="J447" s="192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 spans="1:28">
      <c r="A448" s="35"/>
      <c r="B448" s="35"/>
      <c r="C448" s="193"/>
      <c r="D448" s="35"/>
      <c r="E448" s="35"/>
      <c r="F448" s="35"/>
      <c r="G448" s="35"/>
      <c r="H448" s="35"/>
      <c r="I448" s="35"/>
      <c r="J448" s="192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 spans="1:28">
      <c r="A449" s="35"/>
      <c r="B449" s="35"/>
      <c r="C449" s="193"/>
      <c r="D449" s="35"/>
      <c r="E449" s="35"/>
      <c r="F449" s="35"/>
      <c r="G449" s="35"/>
      <c r="H449" s="35"/>
      <c r="I449" s="35"/>
      <c r="J449" s="192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 spans="1:28">
      <c r="A450" s="35"/>
      <c r="B450" s="35"/>
      <c r="C450" s="193"/>
      <c r="D450" s="35"/>
      <c r="E450" s="35"/>
      <c r="F450" s="35"/>
      <c r="G450" s="35"/>
      <c r="H450" s="35"/>
      <c r="I450" s="35"/>
      <c r="J450" s="192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 spans="1:28">
      <c r="A451" s="35"/>
      <c r="B451" s="35"/>
      <c r="C451" s="193"/>
      <c r="D451" s="35"/>
      <c r="E451" s="35"/>
      <c r="F451" s="35"/>
      <c r="G451" s="35"/>
      <c r="H451" s="35"/>
      <c r="I451" s="35"/>
      <c r="J451" s="192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 spans="1:28">
      <c r="A452" s="35"/>
      <c r="B452" s="35"/>
      <c r="C452" s="193"/>
      <c r="D452" s="35"/>
      <c r="E452" s="35"/>
      <c r="F452" s="35"/>
      <c r="G452" s="35"/>
      <c r="H452" s="35"/>
      <c r="I452" s="35"/>
      <c r="J452" s="192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 spans="1:28">
      <c r="A453" s="35"/>
      <c r="B453" s="35"/>
      <c r="C453" s="193"/>
      <c r="D453" s="35"/>
      <c r="E453" s="35"/>
      <c r="F453" s="35"/>
      <c r="G453" s="35"/>
      <c r="H453" s="35"/>
      <c r="I453" s="35"/>
      <c r="J453" s="192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 spans="1:28">
      <c r="A454" s="35"/>
      <c r="B454" s="35"/>
      <c r="C454" s="193"/>
      <c r="D454" s="35"/>
      <c r="E454" s="35"/>
      <c r="F454" s="35"/>
      <c r="G454" s="35"/>
      <c r="H454" s="35"/>
      <c r="I454" s="35"/>
      <c r="J454" s="192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 spans="1:28">
      <c r="A455" s="35"/>
      <c r="B455" s="35"/>
      <c r="C455" s="193"/>
      <c r="D455" s="35"/>
      <c r="E455" s="35"/>
      <c r="F455" s="35"/>
      <c r="G455" s="35"/>
      <c r="H455" s="35"/>
      <c r="I455" s="35"/>
      <c r="J455" s="192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 spans="1:28">
      <c r="A456" s="35"/>
      <c r="B456" s="35"/>
      <c r="C456" s="193"/>
      <c r="D456" s="35"/>
      <c r="E456" s="35"/>
      <c r="F456" s="35"/>
      <c r="G456" s="35"/>
      <c r="H456" s="35"/>
      <c r="I456" s="35"/>
      <c r="J456" s="192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 spans="1:28">
      <c r="A457" s="35"/>
      <c r="B457" s="35"/>
      <c r="C457" s="193"/>
      <c r="D457" s="35"/>
      <c r="E457" s="35"/>
      <c r="F457" s="35"/>
      <c r="G457" s="35"/>
      <c r="H457" s="35"/>
      <c r="I457" s="35"/>
      <c r="J457" s="192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 spans="1:28">
      <c r="A458" s="35"/>
      <c r="B458" s="35"/>
      <c r="C458" s="193"/>
      <c r="D458" s="35"/>
      <c r="E458" s="35"/>
      <c r="F458" s="35"/>
      <c r="G458" s="35"/>
      <c r="H458" s="35"/>
      <c r="I458" s="35"/>
      <c r="J458" s="192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 spans="1:28">
      <c r="A459" s="35"/>
      <c r="B459" s="35"/>
      <c r="C459" s="193"/>
      <c r="D459" s="35"/>
      <c r="E459" s="35"/>
      <c r="F459" s="35"/>
      <c r="G459" s="35"/>
      <c r="H459" s="35"/>
      <c r="I459" s="35"/>
      <c r="J459" s="192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 spans="1:28">
      <c r="A460" s="35"/>
      <c r="B460" s="35"/>
      <c r="C460" s="193"/>
      <c r="D460" s="35"/>
      <c r="E460" s="35"/>
      <c r="F460" s="35"/>
      <c r="G460" s="35"/>
      <c r="H460" s="35"/>
      <c r="I460" s="35"/>
      <c r="J460" s="192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 spans="1:28">
      <c r="A461" s="35"/>
      <c r="B461" s="35"/>
      <c r="C461" s="193"/>
      <c r="D461" s="35"/>
      <c r="E461" s="35"/>
      <c r="F461" s="35"/>
      <c r="G461" s="35"/>
      <c r="H461" s="35"/>
      <c r="I461" s="35"/>
      <c r="J461" s="192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 spans="1:28">
      <c r="A462" s="35"/>
      <c r="B462" s="35"/>
      <c r="C462" s="193"/>
      <c r="D462" s="35"/>
      <c r="E462" s="35"/>
      <c r="F462" s="35"/>
      <c r="G462" s="35"/>
      <c r="H462" s="35"/>
      <c r="I462" s="35"/>
      <c r="J462" s="192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 spans="1:28">
      <c r="A463" s="35"/>
      <c r="B463" s="35"/>
      <c r="C463" s="193"/>
      <c r="D463" s="35"/>
      <c r="E463" s="35"/>
      <c r="F463" s="35"/>
      <c r="G463" s="35"/>
      <c r="H463" s="35"/>
      <c r="I463" s="35"/>
      <c r="J463" s="192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 spans="1:28">
      <c r="A464" s="35"/>
      <c r="B464" s="35"/>
      <c r="C464" s="193"/>
      <c r="D464" s="35"/>
      <c r="E464" s="35"/>
      <c r="F464" s="35"/>
      <c r="G464" s="35"/>
      <c r="H464" s="35"/>
      <c r="I464" s="35"/>
      <c r="J464" s="192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 spans="1:28">
      <c r="A465" s="35"/>
      <c r="B465" s="35"/>
      <c r="C465" s="193"/>
      <c r="D465" s="35"/>
      <c r="E465" s="35"/>
      <c r="F465" s="35"/>
      <c r="G465" s="35"/>
      <c r="H465" s="35"/>
      <c r="I465" s="35"/>
      <c r="J465" s="192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 spans="1:28">
      <c r="A466" s="35"/>
      <c r="B466" s="35"/>
      <c r="C466" s="193"/>
      <c r="D466" s="35"/>
      <c r="E466" s="35"/>
      <c r="F466" s="35"/>
      <c r="G466" s="35"/>
      <c r="H466" s="35"/>
      <c r="I466" s="35"/>
      <c r="J466" s="192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 spans="1:28">
      <c r="A467" s="35"/>
      <c r="B467" s="35"/>
      <c r="C467" s="193"/>
      <c r="D467" s="35"/>
      <c r="E467" s="35"/>
      <c r="F467" s="35"/>
      <c r="G467" s="35"/>
      <c r="H467" s="35"/>
      <c r="I467" s="35"/>
      <c r="J467" s="192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 spans="1:28">
      <c r="A468" s="35"/>
      <c r="B468" s="35"/>
      <c r="C468" s="193"/>
      <c r="D468" s="35"/>
      <c r="E468" s="35"/>
      <c r="F468" s="35"/>
      <c r="G468" s="35"/>
      <c r="H468" s="35"/>
      <c r="I468" s="35"/>
      <c r="J468" s="192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 spans="1:28">
      <c r="A469" s="35"/>
      <c r="B469" s="35"/>
      <c r="C469" s="193"/>
      <c r="D469" s="35"/>
      <c r="E469" s="35"/>
      <c r="F469" s="35"/>
      <c r="G469" s="35"/>
      <c r="H469" s="35"/>
      <c r="I469" s="35"/>
      <c r="J469" s="192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 spans="1:28">
      <c r="A470" s="35"/>
      <c r="B470" s="35"/>
      <c r="C470" s="193"/>
      <c r="D470" s="35"/>
      <c r="E470" s="35"/>
      <c r="F470" s="35"/>
      <c r="G470" s="35"/>
      <c r="H470" s="35"/>
      <c r="I470" s="35"/>
      <c r="J470" s="192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 spans="1:28">
      <c r="A471" s="35"/>
      <c r="B471" s="35"/>
      <c r="C471" s="193"/>
      <c r="D471" s="35"/>
      <c r="E471" s="35"/>
      <c r="F471" s="35"/>
      <c r="G471" s="35"/>
      <c r="H471" s="35"/>
      <c r="I471" s="35"/>
      <c r="J471" s="192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 spans="1:28">
      <c r="A472" s="35"/>
      <c r="B472" s="35"/>
      <c r="C472" s="193"/>
      <c r="D472" s="35"/>
      <c r="E472" s="35"/>
      <c r="F472" s="35"/>
      <c r="G472" s="35"/>
      <c r="H472" s="35"/>
      <c r="I472" s="35"/>
      <c r="J472" s="192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 spans="1:28">
      <c r="A473" s="35"/>
      <c r="B473" s="35"/>
      <c r="C473" s="193"/>
      <c r="D473" s="35"/>
      <c r="E473" s="35"/>
      <c r="F473" s="35"/>
      <c r="G473" s="35"/>
      <c r="H473" s="35"/>
      <c r="I473" s="35"/>
      <c r="J473" s="192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 spans="1:28">
      <c r="A474" s="35"/>
      <c r="B474" s="35"/>
      <c r="C474" s="193"/>
      <c r="D474" s="35"/>
      <c r="E474" s="35"/>
      <c r="F474" s="35"/>
      <c r="G474" s="35"/>
      <c r="H474" s="35"/>
      <c r="I474" s="35"/>
      <c r="J474" s="192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 spans="1:28">
      <c r="A475" s="35"/>
      <c r="B475" s="35"/>
      <c r="C475" s="193"/>
      <c r="D475" s="35"/>
      <c r="E475" s="35"/>
      <c r="F475" s="35"/>
      <c r="G475" s="35"/>
      <c r="H475" s="35"/>
      <c r="I475" s="35"/>
      <c r="J475" s="192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 spans="1:28">
      <c r="A476" s="35"/>
      <c r="B476" s="35"/>
      <c r="C476" s="193"/>
      <c r="D476" s="35"/>
      <c r="E476" s="35"/>
      <c r="F476" s="35"/>
      <c r="G476" s="35"/>
      <c r="H476" s="35"/>
      <c r="I476" s="35"/>
      <c r="J476" s="192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 spans="1:28">
      <c r="A477" s="35"/>
      <c r="B477" s="35"/>
      <c r="C477" s="193"/>
      <c r="D477" s="35"/>
      <c r="E477" s="35"/>
      <c r="F477" s="35"/>
      <c r="G477" s="35"/>
      <c r="H477" s="35"/>
      <c r="I477" s="35"/>
      <c r="J477" s="192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 spans="1:28">
      <c r="A478" s="35"/>
      <c r="B478" s="35"/>
      <c r="C478" s="193"/>
      <c r="D478" s="35"/>
      <c r="E478" s="35"/>
      <c r="F478" s="35"/>
      <c r="G478" s="35"/>
      <c r="H478" s="35"/>
      <c r="I478" s="35"/>
      <c r="J478" s="192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 spans="1:28">
      <c r="A479" s="35"/>
      <c r="B479" s="35"/>
      <c r="C479" s="193"/>
      <c r="D479" s="35"/>
      <c r="E479" s="35"/>
      <c r="F479" s="35"/>
      <c r="G479" s="35"/>
      <c r="H479" s="35"/>
      <c r="I479" s="35"/>
      <c r="J479" s="192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 spans="1:28">
      <c r="A480" s="35"/>
      <c r="B480" s="35"/>
      <c r="C480" s="193"/>
      <c r="D480" s="35"/>
      <c r="E480" s="35"/>
      <c r="F480" s="35"/>
      <c r="G480" s="35"/>
      <c r="H480" s="35"/>
      <c r="I480" s="35"/>
      <c r="J480" s="192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 spans="1:28">
      <c r="A481" s="35"/>
      <c r="B481" s="35"/>
      <c r="C481" s="193"/>
      <c r="D481" s="35"/>
      <c r="E481" s="35"/>
      <c r="F481" s="35"/>
      <c r="G481" s="35"/>
      <c r="H481" s="35"/>
      <c r="I481" s="35"/>
      <c r="J481" s="192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 spans="1:28">
      <c r="A482" s="35"/>
      <c r="B482" s="35"/>
      <c r="C482" s="193"/>
      <c r="D482" s="35"/>
      <c r="E482" s="35"/>
      <c r="F482" s="35"/>
      <c r="G482" s="35"/>
      <c r="H482" s="35"/>
      <c r="I482" s="35"/>
      <c r="J482" s="192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 spans="1:28">
      <c r="A483" s="35"/>
      <c r="B483" s="35"/>
      <c r="C483" s="193"/>
      <c r="D483" s="35"/>
      <c r="E483" s="35"/>
      <c r="F483" s="35"/>
      <c r="G483" s="35"/>
      <c r="H483" s="35"/>
      <c r="I483" s="35"/>
      <c r="J483" s="192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 spans="1:28">
      <c r="A484" s="35"/>
      <c r="B484" s="35"/>
      <c r="C484" s="193"/>
      <c r="D484" s="35"/>
      <c r="E484" s="35"/>
      <c r="F484" s="35"/>
      <c r="G484" s="35"/>
      <c r="H484" s="35"/>
      <c r="I484" s="35"/>
      <c r="J484" s="192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 spans="1:28">
      <c r="A485" s="35"/>
      <c r="B485" s="35"/>
      <c r="C485" s="193"/>
      <c r="D485" s="35"/>
      <c r="E485" s="35"/>
      <c r="F485" s="35"/>
      <c r="G485" s="35"/>
      <c r="H485" s="35"/>
      <c r="I485" s="35"/>
      <c r="J485" s="192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 spans="1:28">
      <c r="A486" s="35"/>
      <c r="B486" s="35"/>
      <c r="C486" s="193"/>
      <c r="D486" s="35"/>
      <c r="E486" s="35"/>
      <c r="F486" s="35"/>
      <c r="G486" s="35"/>
      <c r="H486" s="35"/>
      <c r="I486" s="35"/>
      <c r="J486" s="192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 spans="1:28">
      <c r="A487" s="35"/>
      <c r="B487" s="35"/>
      <c r="C487" s="193"/>
      <c r="D487" s="35"/>
      <c r="E487" s="35"/>
      <c r="F487" s="35"/>
      <c r="G487" s="35"/>
      <c r="H487" s="35"/>
      <c r="I487" s="35"/>
      <c r="J487" s="192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 spans="1:28">
      <c r="A488" s="35"/>
      <c r="B488" s="35"/>
      <c r="C488" s="193"/>
      <c r="D488" s="35"/>
      <c r="E488" s="35"/>
      <c r="F488" s="35"/>
      <c r="G488" s="35"/>
      <c r="H488" s="35"/>
      <c r="I488" s="35"/>
      <c r="J488" s="192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 spans="1:28">
      <c r="A489" s="35"/>
      <c r="B489" s="35"/>
      <c r="C489" s="193"/>
      <c r="D489" s="35"/>
      <c r="E489" s="35"/>
      <c r="F489" s="35"/>
      <c r="G489" s="35"/>
      <c r="H489" s="35"/>
      <c r="I489" s="35"/>
      <c r="J489" s="192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 spans="1:28">
      <c r="A490" s="35"/>
      <c r="B490" s="35"/>
      <c r="C490" s="193"/>
      <c r="D490" s="35"/>
      <c r="E490" s="35"/>
      <c r="F490" s="35"/>
      <c r="G490" s="35"/>
      <c r="H490" s="35"/>
      <c r="I490" s="35"/>
      <c r="J490" s="192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 spans="1:28">
      <c r="A491" s="35"/>
      <c r="B491" s="35"/>
      <c r="C491" s="193"/>
      <c r="D491" s="35"/>
      <c r="E491" s="35"/>
      <c r="F491" s="35"/>
      <c r="G491" s="35"/>
      <c r="H491" s="35"/>
      <c r="I491" s="35"/>
      <c r="J491" s="192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 spans="1:28">
      <c r="A492" s="35"/>
      <c r="B492" s="35"/>
      <c r="C492" s="193"/>
      <c r="D492" s="35"/>
      <c r="E492" s="35"/>
      <c r="F492" s="35"/>
      <c r="G492" s="35"/>
      <c r="H492" s="35"/>
      <c r="I492" s="35"/>
      <c r="J492" s="192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 spans="1:28">
      <c r="A493" s="35"/>
      <c r="B493" s="35"/>
      <c r="C493" s="193"/>
      <c r="D493" s="35"/>
      <c r="E493" s="35"/>
      <c r="F493" s="35"/>
      <c r="G493" s="35"/>
      <c r="H493" s="35"/>
      <c r="I493" s="35"/>
      <c r="J493" s="192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 spans="1:28">
      <c r="A494" s="35"/>
      <c r="B494" s="35"/>
      <c r="C494" s="193"/>
      <c r="D494" s="35"/>
      <c r="E494" s="35"/>
      <c r="F494" s="35"/>
      <c r="G494" s="35"/>
      <c r="H494" s="35"/>
      <c r="I494" s="35"/>
      <c r="J494" s="192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 spans="1:28">
      <c r="A495" s="35"/>
      <c r="B495" s="35"/>
      <c r="C495" s="193"/>
      <c r="D495" s="35"/>
      <c r="E495" s="35"/>
      <c r="F495" s="35"/>
      <c r="G495" s="35"/>
      <c r="H495" s="35"/>
      <c r="I495" s="35"/>
      <c r="J495" s="192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 spans="1:28">
      <c r="A496" s="35"/>
      <c r="B496" s="35"/>
      <c r="C496" s="193"/>
      <c r="D496" s="35"/>
      <c r="E496" s="35"/>
      <c r="F496" s="35"/>
      <c r="G496" s="35"/>
      <c r="H496" s="35"/>
      <c r="I496" s="35"/>
      <c r="J496" s="192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 spans="1:28">
      <c r="A497" s="35"/>
      <c r="B497" s="35"/>
      <c r="C497" s="193"/>
      <c r="D497" s="35"/>
      <c r="E497" s="35"/>
      <c r="F497" s="35"/>
      <c r="G497" s="35"/>
      <c r="H497" s="35"/>
      <c r="I497" s="35"/>
      <c r="J497" s="192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 spans="1:28">
      <c r="A498" s="35"/>
      <c r="B498" s="35"/>
      <c r="C498" s="193"/>
      <c r="D498" s="35"/>
      <c r="E498" s="35"/>
      <c r="F498" s="35"/>
      <c r="G498" s="35"/>
      <c r="H498" s="35"/>
      <c r="I498" s="35"/>
      <c r="J498" s="192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 spans="1:28">
      <c r="A499" s="35"/>
      <c r="B499" s="35"/>
      <c r="C499" s="193"/>
      <c r="D499" s="35"/>
      <c r="E499" s="35"/>
      <c r="F499" s="35"/>
      <c r="G499" s="35"/>
      <c r="H499" s="35"/>
      <c r="I499" s="35"/>
      <c r="J499" s="192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 spans="1:28">
      <c r="A500" s="35"/>
      <c r="B500" s="35"/>
      <c r="C500" s="193"/>
      <c r="D500" s="35"/>
      <c r="E500" s="35"/>
      <c r="F500" s="35"/>
      <c r="G500" s="35"/>
      <c r="H500" s="35"/>
      <c r="I500" s="35"/>
      <c r="J500" s="192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 spans="1:28">
      <c r="A501" s="35"/>
      <c r="B501" s="35"/>
      <c r="C501" s="193"/>
      <c r="D501" s="35"/>
      <c r="E501" s="35"/>
      <c r="F501" s="35"/>
      <c r="G501" s="35"/>
      <c r="H501" s="35"/>
      <c r="I501" s="35"/>
      <c r="J501" s="192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 spans="1:28">
      <c r="A502" s="35"/>
      <c r="B502" s="35"/>
      <c r="C502" s="193"/>
      <c r="D502" s="35"/>
      <c r="E502" s="35"/>
      <c r="F502" s="35"/>
      <c r="G502" s="35"/>
      <c r="H502" s="35"/>
      <c r="I502" s="35"/>
      <c r="J502" s="192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 spans="1:28">
      <c r="A503" s="35"/>
      <c r="B503" s="35"/>
      <c r="C503" s="193"/>
      <c r="D503" s="35"/>
      <c r="E503" s="35"/>
      <c r="F503" s="35"/>
      <c r="G503" s="35"/>
      <c r="H503" s="35"/>
      <c r="I503" s="35"/>
      <c r="J503" s="192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 spans="1:28">
      <c r="A504" s="35"/>
      <c r="B504" s="35"/>
      <c r="C504" s="193"/>
      <c r="D504" s="35"/>
      <c r="E504" s="35"/>
      <c r="F504" s="35"/>
      <c r="G504" s="35"/>
      <c r="H504" s="35"/>
      <c r="I504" s="35"/>
      <c r="J504" s="192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 spans="1:28">
      <c r="A505" s="35"/>
      <c r="B505" s="35"/>
      <c r="C505" s="193"/>
      <c r="D505" s="35"/>
      <c r="E505" s="35"/>
      <c r="F505" s="35"/>
      <c r="G505" s="35"/>
      <c r="H505" s="35"/>
      <c r="I505" s="35"/>
      <c r="J505" s="192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 spans="1:28">
      <c r="A506" s="35"/>
      <c r="B506" s="35"/>
      <c r="C506" s="193"/>
      <c r="D506" s="35"/>
      <c r="E506" s="35"/>
      <c r="F506" s="35"/>
      <c r="G506" s="35"/>
      <c r="H506" s="35"/>
      <c r="I506" s="35"/>
      <c r="J506" s="192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 spans="1:28">
      <c r="A507" s="35"/>
      <c r="B507" s="35"/>
      <c r="C507" s="193"/>
      <c r="D507" s="35"/>
      <c r="E507" s="35"/>
      <c r="F507" s="35"/>
      <c r="G507" s="35"/>
      <c r="H507" s="35"/>
      <c r="I507" s="35"/>
      <c r="J507" s="192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 spans="1:28">
      <c r="A508" s="35"/>
      <c r="B508" s="35"/>
      <c r="C508" s="193"/>
      <c r="D508" s="35"/>
      <c r="E508" s="35"/>
      <c r="F508" s="35"/>
      <c r="G508" s="35"/>
      <c r="H508" s="35"/>
      <c r="I508" s="35"/>
      <c r="J508" s="192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 spans="1:28">
      <c r="A509" s="35"/>
      <c r="B509" s="35"/>
      <c r="C509" s="193"/>
      <c r="D509" s="35"/>
      <c r="E509" s="35"/>
      <c r="F509" s="35"/>
      <c r="G509" s="35"/>
      <c r="H509" s="35"/>
      <c r="I509" s="35"/>
      <c r="J509" s="192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 spans="1:28">
      <c r="A510" s="35"/>
      <c r="B510" s="35"/>
      <c r="C510" s="193"/>
      <c r="D510" s="35"/>
      <c r="E510" s="35"/>
      <c r="F510" s="35"/>
      <c r="G510" s="35"/>
      <c r="H510" s="35"/>
      <c r="I510" s="35"/>
      <c r="J510" s="192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 spans="1:28">
      <c r="A511" s="35"/>
      <c r="B511" s="35"/>
      <c r="C511" s="193"/>
      <c r="D511" s="35"/>
      <c r="E511" s="35"/>
      <c r="F511" s="35"/>
      <c r="G511" s="35"/>
      <c r="H511" s="35"/>
      <c r="I511" s="35"/>
      <c r="J511" s="192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 spans="1:28">
      <c r="A512" s="35"/>
      <c r="B512" s="35"/>
      <c r="C512" s="193"/>
      <c r="D512" s="35"/>
      <c r="E512" s="35"/>
      <c r="F512" s="35"/>
      <c r="G512" s="35"/>
      <c r="H512" s="35"/>
      <c r="I512" s="35"/>
      <c r="J512" s="192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 spans="1:28">
      <c r="A513" s="35"/>
      <c r="B513" s="35"/>
      <c r="C513" s="193"/>
      <c r="D513" s="35"/>
      <c r="E513" s="35"/>
      <c r="F513" s="35"/>
      <c r="G513" s="35"/>
      <c r="H513" s="35"/>
      <c r="I513" s="35"/>
      <c r="J513" s="192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 spans="1:28">
      <c r="A514" s="35"/>
      <c r="B514" s="35"/>
      <c r="C514" s="193"/>
      <c r="D514" s="35"/>
      <c r="E514" s="35"/>
      <c r="F514" s="35"/>
      <c r="G514" s="35"/>
      <c r="H514" s="35"/>
      <c r="I514" s="35"/>
      <c r="J514" s="192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 spans="1:28">
      <c r="A515" s="35"/>
      <c r="B515" s="35"/>
      <c r="C515" s="193"/>
      <c r="D515" s="35"/>
      <c r="E515" s="35"/>
      <c r="F515" s="35"/>
      <c r="G515" s="35"/>
      <c r="H515" s="35"/>
      <c r="I515" s="35"/>
      <c r="J515" s="192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 spans="1:28">
      <c r="A516" s="35"/>
      <c r="B516" s="35"/>
      <c r="C516" s="193"/>
      <c r="D516" s="35"/>
      <c r="E516" s="35"/>
      <c r="F516" s="35"/>
      <c r="G516" s="35"/>
      <c r="H516" s="35"/>
      <c r="I516" s="35"/>
      <c r="J516" s="192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 spans="1:28">
      <c r="A517" s="35"/>
      <c r="B517" s="35"/>
      <c r="C517" s="193"/>
      <c r="D517" s="35"/>
      <c r="E517" s="35"/>
      <c r="F517" s="35"/>
      <c r="G517" s="35"/>
      <c r="H517" s="35"/>
      <c r="I517" s="35"/>
      <c r="J517" s="192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 spans="1:28">
      <c r="A518" s="35"/>
      <c r="B518" s="35"/>
      <c r="C518" s="193"/>
      <c r="D518" s="35"/>
      <c r="E518" s="35"/>
      <c r="F518" s="35"/>
      <c r="G518" s="35"/>
      <c r="H518" s="35"/>
      <c r="I518" s="35"/>
      <c r="J518" s="192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 spans="1:28">
      <c r="A519" s="35"/>
      <c r="B519" s="35"/>
      <c r="C519" s="193"/>
      <c r="D519" s="35"/>
      <c r="E519" s="35"/>
      <c r="F519" s="35"/>
      <c r="G519" s="35"/>
      <c r="H519" s="35"/>
      <c r="I519" s="35"/>
      <c r="J519" s="192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 spans="1:28">
      <c r="A520" s="35"/>
      <c r="B520" s="35"/>
      <c r="C520" s="193"/>
      <c r="D520" s="35"/>
      <c r="E520" s="35"/>
      <c r="F520" s="35"/>
      <c r="G520" s="35"/>
      <c r="H520" s="35"/>
      <c r="I520" s="35"/>
      <c r="J520" s="192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 spans="1:28">
      <c r="A521" s="35"/>
      <c r="B521" s="35"/>
      <c r="C521" s="193"/>
      <c r="D521" s="35"/>
      <c r="E521" s="35"/>
      <c r="F521" s="35"/>
      <c r="G521" s="35"/>
      <c r="H521" s="35"/>
      <c r="I521" s="35"/>
      <c r="J521" s="192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 spans="1:28">
      <c r="A522" s="35"/>
      <c r="B522" s="35"/>
      <c r="C522" s="193"/>
      <c r="D522" s="35"/>
      <c r="E522" s="35"/>
      <c r="F522" s="35"/>
      <c r="G522" s="35"/>
      <c r="H522" s="35"/>
      <c r="I522" s="35"/>
      <c r="J522" s="192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 spans="1:28">
      <c r="A523" s="35"/>
      <c r="B523" s="35"/>
      <c r="C523" s="193"/>
      <c r="D523" s="35"/>
      <c r="E523" s="35"/>
      <c r="F523" s="35"/>
      <c r="G523" s="35"/>
      <c r="H523" s="35"/>
      <c r="I523" s="35"/>
      <c r="J523" s="192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 spans="1:28">
      <c r="A524" s="35"/>
      <c r="B524" s="35"/>
      <c r="C524" s="193"/>
      <c r="D524" s="35"/>
      <c r="E524" s="35"/>
      <c r="F524" s="35"/>
      <c r="G524" s="35"/>
      <c r="H524" s="35"/>
      <c r="I524" s="35"/>
      <c r="J524" s="192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 spans="1:28">
      <c r="A525" s="35"/>
      <c r="B525" s="35"/>
      <c r="C525" s="193"/>
      <c r="D525" s="35"/>
      <c r="E525" s="35"/>
      <c r="F525" s="35"/>
      <c r="G525" s="35"/>
      <c r="H525" s="35"/>
      <c r="I525" s="35"/>
      <c r="J525" s="192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 spans="1:28">
      <c r="A526" s="35"/>
      <c r="B526" s="35"/>
      <c r="C526" s="193"/>
      <c r="D526" s="35"/>
      <c r="E526" s="35"/>
      <c r="F526" s="35"/>
      <c r="G526" s="35"/>
      <c r="H526" s="35"/>
      <c r="I526" s="35"/>
      <c r="J526" s="192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 spans="1:28">
      <c r="A527" s="35"/>
      <c r="B527" s="35"/>
      <c r="C527" s="193"/>
      <c r="D527" s="35"/>
      <c r="E527" s="35"/>
      <c r="F527" s="35"/>
      <c r="G527" s="35"/>
      <c r="H527" s="35"/>
      <c r="I527" s="35"/>
      <c r="J527" s="192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 spans="1:28">
      <c r="A528" s="35"/>
      <c r="B528" s="35"/>
      <c r="C528" s="193"/>
      <c r="D528" s="35"/>
      <c r="E528" s="35"/>
      <c r="F528" s="35"/>
      <c r="G528" s="35"/>
      <c r="H528" s="35"/>
      <c r="I528" s="35"/>
      <c r="J528" s="192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 spans="1:28">
      <c r="A529" s="35"/>
      <c r="B529" s="35"/>
      <c r="C529" s="193"/>
      <c r="D529" s="35"/>
      <c r="E529" s="35"/>
      <c r="F529" s="35"/>
      <c r="G529" s="35"/>
      <c r="H529" s="35"/>
      <c r="I529" s="35"/>
      <c r="J529" s="192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 spans="1:28">
      <c r="A530" s="35"/>
      <c r="B530" s="35"/>
      <c r="C530" s="193"/>
      <c r="D530" s="35"/>
      <c r="E530" s="35"/>
      <c r="F530" s="35"/>
      <c r="G530" s="35"/>
      <c r="H530" s="35"/>
      <c r="I530" s="35"/>
      <c r="J530" s="192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 spans="1:28">
      <c r="A531" s="35"/>
      <c r="B531" s="35"/>
      <c r="C531" s="193"/>
      <c r="D531" s="35"/>
      <c r="E531" s="35"/>
      <c r="F531" s="35"/>
      <c r="G531" s="35"/>
      <c r="H531" s="35"/>
      <c r="I531" s="35"/>
      <c r="J531" s="192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 spans="1:28">
      <c r="A532" s="35"/>
      <c r="B532" s="35"/>
      <c r="C532" s="193"/>
      <c r="D532" s="35"/>
      <c r="E532" s="35"/>
      <c r="F532" s="35"/>
      <c r="G532" s="35"/>
      <c r="H532" s="35"/>
      <c r="I532" s="35"/>
      <c r="J532" s="192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 spans="1:28">
      <c r="A533" s="35"/>
      <c r="B533" s="35"/>
      <c r="C533" s="193"/>
      <c r="D533" s="35"/>
      <c r="E533" s="35"/>
      <c r="F533" s="35"/>
      <c r="G533" s="35"/>
      <c r="H533" s="35"/>
      <c r="I533" s="35"/>
      <c r="J533" s="192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 spans="1:28">
      <c r="A534" s="35"/>
      <c r="B534" s="35"/>
      <c r="C534" s="193"/>
      <c r="D534" s="35"/>
      <c r="E534" s="35"/>
      <c r="F534" s="35"/>
      <c r="G534" s="35"/>
      <c r="H534" s="35"/>
      <c r="I534" s="35"/>
      <c r="J534" s="192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 spans="1:28">
      <c r="A535" s="35"/>
      <c r="B535" s="35"/>
      <c r="C535" s="193"/>
      <c r="D535" s="35"/>
      <c r="E535" s="35"/>
      <c r="F535" s="35"/>
      <c r="G535" s="35"/>
      <c r="H535" s="35"/>
      <c r="I535" s="35"/>
      <c r="J535" s="192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 spans="1:28">
      <c r="A536" s="35"/>
      <c r="B536" s="35"/>
      <c r="C536" s="193"/>
      <c r="D536" s="35"/>
      <c r="E536" s="35"/>
      <c r="F536" s="35"/>
      <c r="G536" s="35"/>
      <c r="H536" s="35"/>
      <c r="I536" s="35"/>
      <c r="J536" s="192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 spans="1:28">
      <c r="A537" s="35"/>
      <c r="B537" s="35"/>
      <c r="C537" s="193"/>
      <c r="D537" s="35"/>
      <c r="E537" s="35"/>
      <c r="F537" s="35"/>
      <c r="G537" s="35"/>
      <c r="H537" s="35"/>
      <c r="I537" s="35"/>
      <c r="J537" s="192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 spans="1:28">
      <c r="A538" s="35"/>
      <c r="B538" s="35"/>
      <c r="C538" s="193"/>
      <c r="D538" s="35"/>
      <c r="E538" s="35"/>
      <c r="F538" s="35"/>
      <c r="G538" s="35"/>
      <c r="H538" s="35"/>
      <c r="I538" s="35"/>
      <c r="J538" s="192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 spans="1:28">
      <c r="A539" s="35"/>
      <c r="B539" s="35"/>
      <c r="C539" s="193"/>
      <c r="D539" s="35"/>
      <c r="E539" s="35"/>
      <c r="F539" s="35"/>
      <c r="G539" s="35"/>
      <c r="H539" s="35"/>
      <c r="I539" s="35"/>
      <c r="J539" s="192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 spans="1:28">
      <c r="A540" s="35"/>
      <c r="B540" s="35"/>
      <c r="C540" s="193"/>
      <c r="D540" s="35"/>
      <c r="E540" s="35"/>
      <c r="F540" s="35"/>
      <c r="G540" s="35"/>
      <c r="H540" s="35"/>
      <c r="I540" s="35"/>
      <c r="J540" s="192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 spans="1:28">
      <c r="A541" s="35"/>
      <c r="B541" s="35"/>
      <c r="C541" s="193"/>
      <c r="D541" s="35"/>
      <c r="E541" s="35"/>
      <c r="F541" s="35"/>
      <c r="G541" s="35"/>
      <c r="H541" s="35"/>
      <c r="I541" s="35"/>
      <c r="J541" s="192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 spans="1:28">
      <c r="A542" s="35"/>
      <c r="B542" s="35"/>
      <c r="C542" s="193"/>
      <c r="D542" s="35"/>
      <c r="E542" s="35"/>
      <c r="F542" s="35"/>
      <c r="G542" s="35"/>
      <c r="H542" s="35"/>
      <c r="I542" s="35"/>
      <c r="J542" s="192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 spans="1:28">
      <c r="A543" s="35"/>
      <c r="B543" s="35"/>
      <c r="C543" s="193"/>
      <c r="D543" s="35"/>
      <c r="E543" s="35"/>
      <c r="F543" s="35"/>
      <c r="G543" s="35"/>
      <c r="H543" s="35"/>
      <c r="I543" s="35"/>
      <c r="J543" s="192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 spans="1:28">
      <c r="A544" s="35"/>
      <c r="B544" s="35"/>
      <c r="C544" s="193"/>
      <c r="D544" s="35"/>
      <c r="E544" s="35"/>
      <c r="F544" s="35"/>
      <c r="G544" s="35"/>
      <c r="H544" s="35"/>
      <c r="I544" s="35"/>
      <c r="J544" s="192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 spans="1:28">
      <c r="A545" s="35"/>
      <c r="B545" s="35"/>
      <c r="C545" s="193"/>
      <c r="D545" s="35"/>
      <c r="E545" s="35"/>
      <c r="F545" s="35"/>
      <c r="G545" s="35"/>
      <c r="H545" s="35"/>
      <c r="I545" s="35"/>
      <c r="J545" s="192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 spans="1:28">
      <c r="A546" s="35"/>
      <c r="B546" s="35"/>
      <c r="C546" s="193"/>
      <c r="D546" s="35"/>
      <c r="E546" s="35"/>
      <c r="F546" s="35"/>
      <c r="G546" s="35"/>
      <c r="H546" s="35"/>
      <c r="I546" s="35"/>
      <c r="J546" s="192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 spans="1:28">
      <c r="A547" s="35"/>
      <c r="B547" s="35"/>
      <c r="C547" s="193"/>
      <c r="D547" s="35"/>
      <c r="E547" s="35"/>
      <c r="F547" s="35"/>
      <c r="G547" s="35"/>
      <c r="H547" s="35"/>
      <c r="I547" s="35"/>
      <c r="J547" s="192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 spans="1:28">
      <c r="A548" s="35"/>
      <c r="B548" s="35"/>
      <c r="C548" s="193"/>
      <c r="D548" s="35"/>
      <c r="E548" s="35"/>
      <c r="F548" s="35"/>
      <c r="G548" s="35"/>
      <c r="H548" s="35"/>
      <c r="I548" s="35"/>
      <c r="J548" s="192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 spans="1:28">
      <c r="A549" s="35"/>
      <c r="B549" s="35"/>
      <c r="C549" s="193"/>
      <c r="D549" s="35"/>
      <c r="E549" s="35"/>
      <c r="F549" s="35"/>
      <c r="G549" s="35"/>
      <c r="H549" s="35"/>
      <c r="I549" s="35"/>
      <c r="J549" s="192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 spans="1:28">
      <c r="A550" s="35"/>
      <c r="B550" s="35"/>
      <c r="C550" s="193"/>
      <c r="D550" s="35"/>
      <c r="E550" s="35"/>
      <c r="F550" s="35"/>
      <c r="G550" s="35"/>
      <c r="H550" s="35"/>
      <c r="I550" s="35"/>
      <c r="J550" s="192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 spans="1:28">
      <c r="A551" s="35"/>
      <c r="B551" s="35"/>
      <c r="C551" s="193"/>
      <c r="D551" s="35"/>
      <c r="E551" s="35"/>
      <c r="F551" s="35"/>
      <c r="G551" s="35"/>
      <c r="H551" s="35"/>
      <c r="I551" s="35"/>
      <c r="J551" s="192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 spans="1:28">
      <c r="A552" s="35"/>
      <c r="B552" s="35"/>
      <c r="C552" s="193"/>
      <c r="D552" s="35"/>
      <c r="E552" s="35"/>
      <c r="F552" s="35"/>
      <c r="G552" s="35"/>
      <c r="H552" s="35"/>
      <c r="I552" s="35"/>
      <c r="J552" s="192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 spans="1:28">
      <c r="A553" s="35"/>
      <c r="B553" s="35"/>
      <c r="C553" s="193"/>
      <c r="D553" s="35"/>
      <c r="E553" s="35"/>
      <c r="F553" s="35"/>
      <c r="G553" s="35"/>
      <c r="H553" s="35"/>
      <c r="I553" s="35"/>
      <c r="J553" s="192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 spans="1:28">
      <c r="A554" s="35"/>
      <c r="B554" s="35"/>
      <c r="C554" s="193"/>
      <c r="D554" s="35"/>
      <c r="E554" s="35"/>
      <c r="F554" s="35"/>
      <c r="G554" s="35"/>
      <c r="H554" s="35"/>
      <c r="I554" s="35"/>
      <c r="J554" s="192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 spans="1:28">
      <c r="A555" s="35"/>
      <c r="B555" s="35"/>
      <c r="C555" s="193"/>
      <c r="D555" s="35"/>
      <c r="E555" s="35"/>
      <c r="F555" s="35"/>
      <c r="G555" s="35"/>
      <c r="H555" s="35"/>
      <c r="I555" s="35"/>
      <c r="J555" s="192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 spans="1:28">
      <c r="A556" s="35"/>
      <c r="B556" s="35"/>
      <c r="C556" s="193"/>
      <c r="D556" s="35"/>
      <c r="E556" s="35"/>
      <c r="F556" s="35"/>
      <c r="G556" s="35"/>
      <c r="H556" s="35"/>
      <c r="I556" s="35"/>
      <c r="J556" s="192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 spans="1:28">
      <c r="A557" s="35"/>
      <c r="B557" s="35"/>
      <c r="C557" s="193"/>
      <c r="D557" s="35"/>
      <c r="E557" s="35"/>
      <c r="F557" s="35"/>
      <c r="G557" s="35"/>
      <c r="H557" s="35"/>
      <c r="I557" s="35"/>
      <c r="J557" s="192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 spans="1:28">
      <c r="A558" s="35"/>
      <c r="B558" s="35"/>
      <c r="C558" s="193"/>
      <c r="D558" s="35"/>
      <c r="E558" s="35"/>
      <c r="F558" s="35"/>
      <c r="G558" s="35"/>
      <c r="H558" s="35"/>
      <c r="I558" s="35"/>
      <c r="J558" s="192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 spans="1:28">
      <c r="A559" s="35"/>
      <c r="B559" s="35"/>
      <c r="C559" s="193"/>
      <c r="D559" s="35"/>
      <c r="E559" s="35"/>
      <c r="F559" s="35"/>
      <c r="G559" s="35"/>
      <c r="H559" s="35"/>
      <c r="I559" s="35"/>
      <c r="J559" s="192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 spans="1:28">
      <c r="A560" s="35"/>
      <c r="B560" s="35"/>
      <c r="C560" s="193"/>
      <c r="D560" s="35"/>
      <c r="E560" s="35"/>
      <c r="F560" s="35"/>
      <c r="G560" s="35"/>
      <c r="H560" s="35"/>
      <c r="I560" s="35"/>
      <c r="J560" s="192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 spans="1:28">
      <c r="A561" s="35"/>
      <c r="B561" s="35"/>
      <c r="C561" s="193"/>
      <c r="D561" s="35"/>
      <c r="E561" s="35"/>
      <c r="F561" s="35"/>
      <c r="G561" s="35"/>
      <c r="H561" s="35"/>
      <c r="I561" s="35"/>
      <c r="J561" s="192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 spans="1:28">
      <c r="A562" s="35"/>
      <c r="B562" s="35"/>
      <c r="C562" s="193"/>
      <c r="D562" s="35"/>
      <c r="E562" s="35"/>
      <c r="F562" s="35"/>
      <c r="G562" s="35"/>
      <c r="H562" s="35"/>
      <c r="I562" s="35"/>
      <c r="J562" s="192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 spans="1:28">
      <c r="A563" s="35"/>
      <c r="B563" s="35"/>
      <c r="C563" s="193"/>
      <c r="D563" s="35"/>
      <c r="E563" s="35"/>
      <c r="F563" s="35"/>
      <c r="G563" s="35"/>
      <c r="H563" s="35"/>
      <c r="I563" s="35"/>
      <c r="J563" s="192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 spans="1:28">
      <c r="A564" s="35"/>
      <c r="B564" s="35"/>
      <c r="C564" s="193"/>
      <c r="D564" s="35"/>
      <c r="E564" s="35"/>
      <c r="F564" s="35"/>
      <c r="G564" s="35"/>
      <c r="H564" s="35"/>
      <c r="I564" s="35"/>
      <c r="J564" s="192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 spans="1:28">
      <c r="A565" s="35"/>
      <c r="B565" s="35"/>
      <c r="C565" s="193"/>
      <c r="D565" s="35"/>
      <c r="E565" s="35"/>
      <c r="F565" s="35"/>
      <c r="G565" s="35"/>
      <c r="H565" s="35"/>
      <c r="I565" s="35"/>
      <c r="J565" s="192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 spans="1:28">
      <c r="A566" s="35"/>
      <c r="B566" s="35"/>
      <c r="C566" s="193"/>
      <c r="D566" s="35"/>
      <c r="E566" s="35"/>
      <c r="F566" s="35"/>
      <c r="G566" s="35"/>
      <c r="H566" s="35"/>
      <c r="I566" s="35"/>
      <c r="J566" s="192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 spans="1:28">
      <c r="A567" s="35"/>
      <c r="B567" s="35"/>
      <c r="C567" s="193"/>
      <c r="D567" s="35"/>
      <c r="E567" s="35"/>
      <c r="F567" s="35"/>
      <c r="G567" s="35"/>
      <c r="H567" s="35"/>
      <c r="I567" s="35"/>
      <c r="J567" s="192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 spans="1:28">
      <c r="A568" s="35"/>
      <c r="B568" s="35"/>
      <c r="C568" s="193"/>
      <c r="D568" s="35"/>
      <c r="E568" s="35"/>
      <c r="F568" s="35"/>
      <c r="G568" s="35"/>
      <c r="H568" s="35"/>
      <c r="I568" s="35"/>
      <c r="J568" s="192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 spans="1:28">
      <c r="A569" s="35"/>
      <c r="B569" s="35"/>
      <c r="C569" s="193"/>
      <c r="D569" s="35"/>
      <c r="E569" s="35"/>
      <c r="F569" s="35"/>
      <c r="G569" s="35"/>
      <c r="H569" s="35"/>
      <c r="I569" s="35"/>
      <c r="J569" s="192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 spans="1:28">
      <c r="A570" s="35"/>
      <c r="B570" s="35"/>
      <c r="C570" s="193"/>
      <c r="D570" s="35"/>
      <c r="E570" s="35"/>
      <c r="F570" s="35"/>
      <c r="G570" s="35"/>
      <c r="H570" s="35"/>
      <c r="I570" s="35"/>
      <c r="J570" s="192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 spans="1:28">
      <c r="A571" s="35"/>
      <c r="B571" s="35"/>
      <c r="C571" s="193"/>
      <c r="D571" s="35"/>
      <c r="E571" s="35"/>
      <c r="F571" s="35"/>
      <c r="G571" s="35"/>
      <c r="H571" s="35"/>
      <c r="I571" s="35"/>
      <c r="J571" s="192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 spans="1:28">
      <c r="A572" s="35"/>
      <c r="B572" s="35"/>
      <c r="C572" s="193"/>
      <c r="D572" s="35"/>
      <c r="E572" s="35"/>
      <c r="F572" s="35"/>
      <c r="G572" s="35"/>
      <c r="H572" s="35"/>
      <c r="I572" s="35"/>
      <c r="J572" s="192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 spans="1:28">
      <c r="A573" s="35"/>
      <c r="B573" s="35"/>
      <c r="C573" s="193"/>
      <c r="D573" s="35"/>
      <c r="E573" s="35"/>
      <c r="F573" s="35"/>
      <c r="G573" s="35"/>
      <c r="H573" s="35"/>
      <c r="I573" s="35"/>
      <c r="J573" s="192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 spans="1:28">
      <c r="A574" s="35"/>
      <c r="B574" s="35"/>
      <c r="C574" s="193"/>
      <c r="D574" s="35"/>
      <c r="E574" s="35"/>
      <c r="F574" s="35"/>
      <c r="G574" s="35"/>
      <c r="H574" s="35"/>
      <c r="I574" s="35"/>
      <c r="J574" s="192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 spans="1:28">
      <c r="A575" s="35"/>
      <c r="B575" s="35"/>
      <c r="C575" s="193"/>
      <c r="D575" s="35"/>
      <c r="E575" s="35"/>
      <c r="F575" s="35"/>
      <c r="G575" s="35"/>
      <c r="H575" s="35"/>
      <c r="I575" s="35"/>
      <c r="J575" s="192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 spans="1:28">
      <c r="A576" s="35"/>
      <c r="B576" s="35"/>
      <c r="C576" s="193"/>
      <c r="D576" s="35"/>
      <c r="E576" s="35"/>
      <c r="F576" s="35"/>
      <c r="G576" s="35"/>
      <c r="H576" s="35"/>
      <c r="I576" s="35"/>
      <c r="J576" s="192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 spans="1:28">
      <c r="A577" s="35"/>
      <c r="B577" s="35"/>
      <c r="C577" s="193"/>
      <c r="D577" s="35"/>
      <c r="E577" s="35"/>
      <c r="F577" s="35"/>
      <c r="G577" s="35"/>
      <c r="H577" s="35"/>
      <c r="I577" s="35"/>
      <c r="J577" s="192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 spans="1:28">
      <c r="A578" s="35"/>
      <c r="B578" s="35"/>
      <c r="C578" s="193"/>
      <c r="D578" s="35"/>
      <c r="E578" s="35"/>
      <c r="F578" s="35"/>
      <c r="G578" s="35"/>
      <c r="H578" s="35"/>
      <c r="I578" s="35"/>
      <c r="J578" s="192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 spans="1:28">
      <c r="A579" s="35"/>
      <c r="B579" s="35"/>
      <c r="C579" s="193"/>
      <c r="D579" s="35"/>
      <c r="E579" s="35"/>
      <c r="F579" s="35"/>
      <c r="G579" s="35"/>
      <c r="H579" s="35"/>
      <c r="I579" s="35"/>
      <c r="J579" s="192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 spans="1:28">
      <c r="A580" s="35"/>
      <c r="B580" s="35"/>
      <c r="C580" s="193"/>
      <c r="D580" s="35"/>
      <c r="E580" s="35"/>
      <c r="F580" s="35"/>
      <c r="G580" s="35"/>
      <c r="H580" s="35"/>
      <c r="I580" s="35"/>
      <c r="J580" s="192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 spans="1:28">
      <c r="A581" s="35"/>
      <c r="B581" s="35"/>
      <c r="C581" s="193"/>
      <c r="D581" s="35"/>
      <c r="E581" s="35"/>
      <c r="F581" s="35"/>
      <c r="G581" s="35"/>
      <c r="H581" s="35"/>
      <c r="I581" s="35"/>
      <c r="J581" s="192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 spans="1:28">
      <c r="A582" s="35"/>
      <c r="B582" s="35"/>
      <c r="C582" s="193"/>
      <c r="D582" s="35"/>
      <c r="E582" s="35"/>
      <c r="F582" s="35"/>
      <c r="G582" s="35"/>
      <c r="H582" s="35"/>
      <c r="I582" s="35"/>
      <c r="J582" s="192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 spans="1:28">
      <c r="A583" s="35"/>
      <c r="B583" s="35"/>
      <c r="C583" s="193"/>
      <c r="D583" s="35"/>
      <c r="E583" s="35"/>
      <c r="F583" s="35"/>
      <c r="G583" s="35"/>
      <c r="H583" s="35"/>
      <c r="I583" s="35"/>
      <c r="J583" s="192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 spans="1:28">
      <c r="A584" s="35"/>
      <c r="B584" s="35"/>
      <c r="C584" s="193"/>
      <c r="D584" s="35"/>
      <c r="E584" s="35"/>
      <c r="F584" s="35"/>
      <c r="G584" s="35"/>
      <c r="H584" s="35"/>
      <c r="I584" s="35"/>
      <c r="J584" s="192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 spans="1:28">
      <c r="A585" s="35"/>
      <c r="B585" s="35"/>
      <c r="C585" s="193"/>
      <c r="D585" s="35"/>
      <c r="E585" s="35"/>
      <c r="F585" s="35"/>
      <c r="G585" s="35"/>
      <c r="H585" s="35"/>
      <c r="I585" s="35"/>
      <c r="J585" s="192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 spans="1:28">
      <c r="A586" s="35"/>
      <c r="B586" s="35"/>
      <c r="C586" s="193"/>
      <c r="D586" s="35"/>
      <c r="E586" s="35"/>
      <c r="F586" s="35"/>
      <c r="G586" s="35"/>
      <c r="H586" s="35"/>
      <c r="I586" s="35"/>
      <c r="J586" s="192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 spans="1:28">
      <c r="A587" s="35"/>
      <c r="B587" s="35"/>
      <c r="C587" s="193"/>
      <c r="D587" s="35"/>
      <c r="E587" s="35"/>
      <c r="F587" s="35"/>
      <c r="G587" s="35"/>
      <c r="H587" s="35"/>
      <c r="I587" s="35"/>
      <c r="J587" s="192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 spans="1:28">
      <c r="A588" s="35"/>
      <c r="B588" s="35"/>
      <c r="C588" s="193"/>
      <c r="D588" s="35"/>
      <c r="E588" s="35"/>
      <c r="F588" s="35"/>
      <c r="G588" s="35"/>
      <c r="H588" s="35"/>
      <c r="I588" s="35"/>
      <c r="J588" s="192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 spans="1:28">
      <c r="A589" s="35"/>
      <c r="B589" s="35"/>
      <c r="C589" s="193"/>
      <c r="D589" s="35"/>
      <c r="E589" s="35"/>
      <c r="F589" s="35"/>
      <c r="G589" s="35"/>
      <c r="H589" s="35"/>
      <c r="I589" s="35"/>
      <c r="J589" s="192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 spans="1:28">
      <c r="A590" s="35"/>
      <c r="B590" s="35"/>
      <c r="C590" s="193"/>
      <c r="D590" s="35"/>
      <c r="E590" s="35"/>
      <c r="F590" s="35"/>
      <c r="G590" s="35"/>
      <c r="H590" s="35"/>
      <c r="I590" s="35"/>
      <c r="J590" s="192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 spans="1:28">
      <c r="A591" s="35"/>
      <c r="B591" s="35"/>
      <c r="C591" s="193"/>
      <c r="D591" s="35"/>
      <c r="E591" s="35"/>
      <c r="F591" s="35"/>
      <c r="G591" s="35"/>
      <c r="H591" s="35"/>
      <c r="I591" s="35"/>
      <c r="J591" s="192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 spans="1:28">
      <c r="A592" s="35"/>
      <c r="B592" s="35"/>
      <c r="C592" s="193"/>
      <c r="D592" s="35"/>
      <c r="E592" s="35"/>
      <c r="F592" s="35"/>
      <c r="G592" s="35"/>
      <c r="H592" s="35"/>
      <c r="I592" s="35"/>
      <c r="J592" s="192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 spans="1:28">
      <c r="A593" s="35"/>
      <c r="B593" s="35"/>
      <c r="C593" s="193"/>
      <c r="D593" s="35"/>
      <c r="E593" s="35"/>
      <c r="F593" s="35"/>
      <c r="G593" s="35"/>
      <c r="H593" s="35"/>
      <c r="I593" s="35"/>
      <c r="J593" s="192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 spans="1:28">
      <c r="A594" s="35"/>
      <c r="B594" s="35"/>
      <c r="C594" s="193"/>
      <c r="D594" s="35"/>
      <c r="E594" s="35"/>
      <c r="F594" s="35"/>
      <c r="G594" s="35"/>
      <c r="H594" s="35"/>
      <c r="I594" s="35"/>
      <c r="J594" s="192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 spans="1:28">
      <c r="A595" s="35"/>
      <c r="B595" s="35"/>
      <c r="C595" s="193"/>
      <c r="D595" s="35"/>
      <c r="E595" s="35"/>
      <c r="F595" s="35"/>
      <c r="G595" s="35"/>
      <c r="H595" s="35"/>
      <c r="I595" s="35"/>
      <c r="J595" s="192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 spans="1:28">
      <c r="A596" s="35"/>
      <c r="B596" s="35"/>
      <c r="C596" s="193"/>
      <c r="D596" s="35"/>
      <c r="E596" s="35"/>
      <c r="F596" s="35"/>
      <c r="G596" s="35"/>
      <c r="H596" s="35"/>
      <c r="I596" s="35"/>
      <c r="J596" s="192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 spans="1:28">
      <c r="A597" s="35"/>
      <c r="B597" s="35"/>
      <c r="C597" s="193"/>
      <c r="D597" s="35"/>
      <c r="E597" s="35"/>
      <c r="F597" s="35"/>
      <c r="G597" s="35"/>
      <c r="H597" s="35"/>
      <c r="I597" s="35"/>
      <c r="J597" s="192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 spans="1:28">
      <c r="A598" s="35"/>
      <c r="B598" s="35"/>
      <c r="C598" s="193"/>
      <c r="D598" s="35"/>
      <c r="E598" s="35"/>
      <c r="F598" s="35"/>
      <c r="G598" s="35"/>
      <c r="H598" s="35"/>
      <c r="I598" s="35"/>
      <c r="J598" s="192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 spans="1:28">
      <c r="A599" s="35"/>
      <c r="B599" s="35"/>
      <c r="C599" s="193"/>
      <c r="D599" s="35"/>
      <c r="E599" s="35"/>
      <c r="F599" s="35"/>
      <c r="G599" s="35"/>
      <c r="H599" s="35"/>
      <c r="I599" s="35"/>
      <c r="J599" s="192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 spans="1:28">
      <c r="A600" s="35"/>
      <c r="B600" s="35"/>
      <c r="C600" s="193"/>
      <c r="D600" s="35"/>
      <c r="E600" s="35"/>
      <c r="F600" s="35"/>
      <c r="G600" s="35"/>
      <c r="H600" s="35"/>
      <c r="I600" s="35"/>
      <c r="J600" s="192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 spans="1:28">
      <c r="A601" s="35"/>
      <c r="B601" s="35"/>
      <c r="C601" s="193"/>
      <c r="D601" s="35"/>
      <c r="E601" s="35"/>
      <c r="F601" s="35"/>
      <c r="G601" s="35"/>
      <c r="H601" s="35"/>
      <c r="I601" s="35"/>
      <c r="J601" s="192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 spans="1:28">
      <c r="A602" s="35"/>
      <c r="B602" s="35"/>
      <c r="C602" s="193"/>
      <c r="D602" s="35"/>
      <c r="E602" s="35"/>
      <c r="F602" s="35"/>
      <c r="G602" s="35"/>
      <c r="H602" s="35"/>
      <c r="I602" s="35"/>
      <c r="J602" s="192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 spans="1:28">
      <c r="A603" s="35"/>
      <c r="B603" s="35"/>
      <c r="C603" s="193"/>
      <c r="D603" s="35"/>
      <c r="E603" s="35"/>
      <c r="F603" s="35"/>
      <c r="G603" s="35"/>
      <c r="H603" s="35"/>
      <c r="I603" s="35"/>
      <c r="J603" s="192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 spans="1:28">
      <c r="A604" s="35"/>
      <c r="B604" s="35"/>
      <c r="C604" s="193"/>
      <c r="D604" s="35"/>
      <c r="E604" s="35"/>
      <c r="F604" s="35"/>
      <c r="G604" s="35"/>
      <c r="H604" s="35"/>
      <c r="I604" s="35"/>
      <c r="J604" s="192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 spans="1:28">
      <c r="A605" s="35"/>
      <c r="B605" s="35"/>
      <c r="C605" s="193"/>
      <c r="D605" s="35"/>
      <c r="E605" s="35"/>
      <c r="F605" s="35"/>
      <c r="G605" s="35"/>
      <c r="H605" s="35"/>
      <c r="I605" s="35"/>
      <c r="J605" s="192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 spans="1:28">
      <c r="A606" s="35"/>
      <c r="B606" s="35"/>
      <c r="C606" s="193"/>
      <c r="D606" s="35"/>
      <c r="E606" s="35"/>
      <c r="F606" s="35"/>
      <c r="G606" s="35"/>
      <c r="H606" s="35"/>
      <c r="I606" s="35"/>
      <c r="J606" s="192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 spans="1:28">
      <c r="A607" s="35"/>
      <c r="B607" s="35"/>
      <c r="C607" s="193"/>
      <c r="D607" s="35"/>
      <c r="E607" s="35"/>
      <c r="F607" s="35"/>
      <c r="G607" s="35"/>
      <c r="H607" s="35"/>
      <c r="I607" s="35"/>
      <c r="J607" s="192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 spans="1:28">
      <c r="A608" s="35"/>
      <c r="B608" s="35"/>
      <c r="C608" s="193"/>
      <c r="D608" s="35"/>
      <c r="E608" s="35"/>
      <c r="F608" s="35"/>
      <c r="G608" s="35"/>
      <c r="H608" s="35"/>
      <c r="I608" s="35"/>
      <c r="J608" s="192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 spans="1:28">
      <c r="A609" s="35"/>
      <c r="B609" s="35"/>
      <c r="C609" s="193"/>
      <c r="D609" s="35"/>
      <c r="E609" s="35"/>
      <c r="F609" s="35"/>
      <c r="G609" s="35"/>
      <c r="H609" s="35"/>
      <c r="I609" s="35"/>
      <c r="J609" s="192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 spans="1:28">
      <c r="A610" s="35"/>
      <c r="B610" s="35"/>
      <c r="C610" s="193"/>
      <c r="D610" s="35"/>
      <c r="E610" s="35"/>
      <c r="F610" s="35"/>
      <c r="G610" s="35"/>
      <c r="H610" s="35"/>
      <c r="I610" s="35"/>
      <c r="J610" s="192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 spans="1:28">
      <c r="A611" s="35"/>
      <c r="B611" s="35"/>
      <c r="C611" s="193"/>
      <c r="D611" s="35"/>
      <c r="E611" s="35"/>
      <c r="F611" s="35"/>
      <c r="G611" s="35"/>
      <c r="H611" s="35"/>
      <c r="I611" s="35"/>
      <c r="J611" s="192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 spans="1:28">
      <c r="A612" s="35"/>
      <c r="B612" s="35"/>
      <c r="C612" s="193"/>
      <c r="D612" s="35"/>
      <c r="E612" s="35"/>
      <c r="F612" s="35"/>
      <c r="G612" s="35"/>
      <c r="H612" s="35"/>
      <c r="I612" s="35"/>
      <c r="J612" s="192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 spans="1:28">
      <c r="A613" s="35"/>
      <c r="B613" s="35"/>
      <c r="C613" s="193"/>
      <c r="D613" s="35"/>
      <c r="E613" s="35"/>
      <c r="F613" s="35"/>
      <c r="G613" s="35"/>
      <c r="H613" s="35"/>
      <c r="I613" s="35"/>
      <c r="J613" s="192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 spans="1:28">
      <c r="A614" s="35"/>
      <c r="B614" s="35"/>
      <c r="C614" s="193"/>
      <c r="D614" s="35"/>
      <c r="E614" s="35"/>
      <c r="F614" s="35"/>
      <c r="G614" s="35"/>
      <c r="H614" s="35"/>
      <c r="I614" s="35"/>
      <c r="J614" s="192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 spans="1:28">
      <c r="A615" s="35"/>
      <c r="B615" s="35"/>
      <c r="C615" s="193"/>
      <c r="D615" s="35"/>
      <c r="E615" s="35"/>
      <c r="F615" s="35"/>
      <c r="G615" s="35"/>
      <c r="H615" s="35"/>
      <c r="I615" s="35"/>
      <c r="J615" s="192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 spans="1:28">
      <c r="A616" s="35"/>
      <c r="B616" s="35"/>
      <c r="C616" s="193"/>
      <c r="D616" s="35"/>
      <c r="E616" s="35"/>
      <c r="F616" s="35"/>
      <c r="G616" s="35"/>
      <c r="H616" s="35"/>
      <c r="I616" s="35"/>
      <c r="J616" s="192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 spans="1:28">
      <c r="A617" s="35"/>
      <c r="B617" s="35"/>
      <c r="C617" s="193"/>
      <c r="D617" s="35"/>
      <c r="E617" s="35"/>
      <c r="F617" s="35"/>
      <c r="G617" s="35"/>
      <c r="H617" s="35"/>
      <c r="I617" s="35"/>
      <c r="J617" s="192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 spans="1:28">
      <c r="A618" s="35"/>
      <c r="B618" s="35"/>
      <c r="C618" s="193"/>
      <c r="D618" s="35"/>
      <c r="E618" s="35"/>
      <c r="F618" s="35"/>
      <c r="G618" s="35"/>
      <c r="H618" s="35"/>
      <c r="I618" s="35"/>
      <c r="J618" s="192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 spans="1:28">
      <c r="A619" s="35"/>
      <c r="B619" s="35"/>
      <c r="C619" s="193"/>
      <c r="D619" s="35"/>
      <c r="E619" s="35"/>
      <c r="F619" s="35"/>
      <c r="G619" s="35"/>
      <c r="H619" s="35"/>
      <c r="I619" s="35"/>
      <c r="J619" s="192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 spans="1:28">
      <c r="A620" s="35"/>
      <c r="B620" s="35"/>
      <c r="C620" s="193"/>
      <c r="D620" s="35"/>
      <c r="E620" s="35"/>
      <c r="F620" s="35"/>
      <c r="G620" s="35"/>
      <c r="H620" s="35"/>
      <c r="I620" s="35"/>
      <c r="J620" s="192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 spans="1:28">
      <c r="A621" s="35"/>
      <c r="B621" s="35"/>
      <c r="C621" s="193"/>
      <c r="D621" s="35"/>
      <c r="E621" s="35"/>
      <c r="F621" s="35"/>
      <c r="G621" s="35"/>
      <c r="H621" s="35"/>
      <c r="I621" s="35"/>
      <c r="J621" s="192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 spans="1:28">
      <c r="A622" s="35"/>
      <c r="B622" s="35"/>
      <c r="C622" s="193"/>
      <c r="D622" s="35"/>
      <c r="E622" s="35"/>
      <c r="F622" s="35"/>
      <c r="G622" s="35"/>
      <c r="H622" s="35"/>
      <c r="I622" s="35"/>
      <c r="J622" s="192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 spans="1:28">
      <c r="A623" s="35"/>
      <c r="B623" s="35"/>
      <c r="C623" s="193"/>
      <c r="D623" s="35"/>
      <c r="E623" s="35"/>
      <c r="F623" s="35"/>
      <c r="G623" s="35"/>
      <c r="H623" s="35"/>
      <c r="I623" s="35"/>
      <c r="J623" s="192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 spans="1:28">
      <c r="A624" s="35"/>
      <c r="B624" s="35"/>
      <c r="C624" s="193"/>
      <c r="D624" s="35"/>
      <c r="E624" s="35"/>
      <c r="F624" s="35"/>
      <c r="G624" s="35"/>
      <c r="H624" s="35"/>
      <c r="I624" s="35"/>
      <c r="J624" s="192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 spans="1:28">
      <c r="A625" s="35"/>
      <c r="B625" s="35"/>
      <c r="C625" s="193"/>
      <c r="D625" s="35"/>
      <c r="E625" s="35"/>
      <c r="F625" s="35"/>
      <c r="G625" s="35"/>
      <c r="H625" s="35"/>
      <c r="I625" s="35"/>
      <c r="J625" s="192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 spans="1:28">
      <c r="A626" s="35"/>
      <c r="B626" s="35"/>
      <c r="C626" s="193"/>
      <c r="D626" s="35"/>
      <c r="E626" s="35"/>
      <c r="F626" s="35"/>
      <c r="G626" s="35"/>
      <c r="H626" s="35"/>
      <c r="I626" s="35"/>
      <c r="J626" s="192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 spans="1:28">
      <c r="A627" s="35"/>
      <c r="B627" s="35"/>
      <c r="C627" s="193"/>
      <c r="D627" s="35"/>
      <c r="E627" s="35"/>
      <c r="F627" s="35"/>
      <c r="G627" s="35"/>
      <c r="H627" s="35"/>
      <c r="I627" s="35"/>
      <c r="J627" s="192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 spans="1:28">
      <c r="A628" s="35"/>
      <c r="B628" s="35"/>
      <c r="C628" s="193"/>
      <c r="D628" s="35"/>
      <c r="E628" s="35"/>
      <c r="F628" s="35"/>
      <c r="G628" s="35"/>
      <c r="H628" s="35"/>
      <c r="I628" s="35"/>
      <c r="J628" s="192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 spans="1:28">
      <c r="A629" s="35"/>
      <c r="B629" s="35"/>
      <c r="C629" s="193"/>
      <c r="D629" s="35"/>
      <c r="E629" s="35"/>
      <c r="F629" s="35"/>
      <c r="G629" s="35"/>
      <c r="H629" s="35"/>
      <c r="I629" s="35"/>
      <c r="J629" s="192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 spans="1:28">
      <c r="A630" s="35"/>
      <c r="B630" s="35"/>
      <c r="C630" s="193"/>
      <c r="D630" s="35"/>
      <c r="E630" s="35"/>
      <c r="F630" s="35"/>
      <c r="G630" s="35"/>
      <c r="H630" s="35"/>
      <c r="I630" s="35"/>
      <c r="J630" s="192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 spans="1:28">
      <c r="A631" s="35"/>
      <c r="B631" s="35"/>
      <c r="C631" s="193"/>
      <c r="D631" s="35"/>
      <c r="E631" s="35"/>
      <c r="F631" s="35"/>
      <c r="G631" s="35"/>
      <c r="H631" s="35"/>
      <c r="I631" s="35"/>
      <c r="J631" s="192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 spans="1:28">
      <c r="A632" s="35"/>
      <c r="B632" s="35"/>
      <c r="C632" s="193"/>
      <c r="D632" s="35"/>
      <c r="E632" s="35"/>
      <c r="F632" s="35"/>
      <c r="G632" s="35"/>
      <c r="H632" s="35"/>
      <c r="I632" s="35"/>
      <c r="J632" s="192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 spans="1:28">
      <c r="A633" s="35"/>
      <c r="B633" s="35"/>
      <c r="C633" s="193"/>
      <c r="D633" s="35"/>
      <c r="E633" s="35"/>
      <c r="F633" s="35"/>
      <c r="G633" s="35"/>
      <c r="H633" s="35"/>
      <c r="I633" s="35"/>
      <c r="J633" s="192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 spans="1:28">
      <c r="A634" s="35"/>
      <c r="B634" s="35"/>
      <c r="C634" s="193"/>
      <c r="D634" s="35"/>
      <c r="E634" s="35"/>
      <c r="F634" s="35"/>
      <c r="G634" s="35"/>
      <c r="H634" s="35"/>
      <c r="I634" s="35"/>
      <c r="J634" s="192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 spans="1:28">
      <c r="A635" s="35"/>
      <c r="B635" s="35"/>
      <c r="C635" s="193"/>
      <c r="D635" s="35"/>
      <c r="E635" s="35"/>
      <c r="F635" s="35"/>
      <c r="G635" s="35"/>
      <c r="H635" s="35"/>
      <c r="I635" s="35"/>
      <c r="J635" s="192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 spans="1:28">
      <c r="A636" s="35"/>
      <c r="B636" s="35"/>
      <c r="C636" s="193"/>
      <c r="D636" s="35"/>
      <c r="E636" s="35"/>
      <c r="F636" s="35"/>
      <c r="G636" s="35"/>
      <c r="H636" s="35"/>
      <c r="I636" s="35"/>
      <c r="J636" s="192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 spans="1:28">
      <c r="A637" s="35"/>
      <c r="B637" s="35"/>
      <c r="C637" s="193"/>
      <c r="D637" s="35"/>
      <c r="E637" s="35"/>
      <c r="F637" s="35"/>
      <c r="G637" s="35"/>
      <c r="H637" s="35"/>
      <c r="I637" s="35"/>
      <c r="J637" s="192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 spans="1:28">
      <c r="A638" s="35"/>
      <c r="B638" s="35"/>
      <c r="C638" s="193"/>
      <c r="D638" s="35"/>
      <c r="E638" s="35"/>
      <c r="F638" s="35"/>
      <c r="G638" s="35"/>
      <c r="H638" s="35"/>
      <c r="I638" s="35"/>
      <c r="J638" s="192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 spans="1:28">
      <c r="A639" s="35"/>
      <c r="B639" s="35"/>
      <c r="C639" s="193"/>
      <c r="D639" s="35"/>
      <c r="E639" s="35"/>
      <c r="F639" s="35"/>
      <c r="G639" s="35"/>
      <c r="H639" s="35"/>
      <c r="I639" s="35"/>
      <c r="J639" s="192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 spans="1:28">
      <c r="A640" s="35"/>
      <c r="B640" s="35"/>
      <c r="C640" s="193"/>
      <c r="D640" s="35"/>
      <c r="E640" s="35"/>
      <c r="F640" s="35"/>
      <c r="G640" s="35"/>
      <c r="H640" s="35"/>
      <c r="I640" s="35"/>
      <c r="J640" s="192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 spans="1:28">
      <c r="A641" s="35"/>
      <c r="B641" s="35"/>
      <c r="C641" s="193"/>
      <c r="D641" s="35"/>
      <c r="E641" s="35"/>
      <c r="F641" s="35"/>
      <c r="G641" s="35"/>
      <c r="H641" s="35"/>
      <c r="I641" s="35"/>
      <c r="J641" s="192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 spans="1:28">
      <c r="A642" s="35"/>
      <c r="B642" s="35"/>
      <c r="C642" s="193"/>
      <c r="D642" s="35"/>
      <c r="E642" s="35"/>
      <c r="F642" s="35"/>
      <c r="G642" s="35"/>
      <c r="H642" s="35"/>
      <c r="I642" s="35"/>
      <c r="J642" s="192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 spans="1:28">
      <c r="A643" s="35"/>
      <c r="B643" s="35"/>
      <c r="C643" s="193"/>
      <c r="D643" s="35"/>
      <c r="E643" s="35"/>
      <c r="F643" s="35"/>
      <c r="G643" s="35"/>
      <c r="H643" s="35"/>
      <c r="I643" s="35"/>
      <c r="J643" s="192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 spans="1:28">
      <c r="A644" s="35"/>
      <c r="B644" s="35"/>
      <c r="C644" s="193"/>
      <c r="D644" s="35"/>
      <c r="E644" s="35"/>
      <c r="F644" s="35"/>
      <c r="G644" s="35"/>
      <c r="H644" s="35"/>
      <c r="I644" s="35"/>
      <c r="J644" s="192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 spans="1:28">
      <c r="A645" s="35"/>
      <c r="B645" s="35"/>
      <c r="C645" s="193"/>
      <c r="D645" s="35"/>
      <c r="E645" s="35"/>
      <c r="F645" s="35"/>
      <c r="G645" s="35"/>
      <c r="H645" s="35"/>
      <c r="I645" s="35"/>
      <c r="J645" s="192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 spans="1:28">
      <c r="A646" s="35"/>
      <c r="B646" s="35"/>
      <c r="C646" s="193"/>
      <c r="D646" s="35"/>
      <c r="E646" s="35"/>
      <c r="F646" s="35"/>
      <c r="G646" s="35"/>
      <c r="H646" s="35"/>
      <c r="I646" s="35"/>
      <c r="J646" s="192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 spans="1:28">
      <c r="A647" s="35"/>
      <c r="B647" s="35"/>
      <c r="C647" s="193"/>
      <c r="D647" s="35"/>
      <c r="E647" s="35"/>
      <c r="F647" s="35"/>
      <c r="G647" s="35"/>
      <c r="H647" s="35"/>
      <c r="I647" s="35"/>
      <c r="J647" s="192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 spans="1:28">
      <c r="A648" s="35"/>
      <c r="B648" s="35"/>
      <c r="C648" s="193"/>
      <c r="D648" s="35"/>
      <c r="E648" s="35"/>
      <c r="F648" s="35"/>
      <c r="G648" s="35"/>
      <c r="H648" s="35"/>
      <c r="I648" s="35"/>
      <c r="J648" s="192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 spans="1:28">
      <c r="A649" s="35"/>
      <c r="B649" s="35"/>
      <c r="C649" s="193"/>
      <c r="D649" s="35"/>
      <c r="E649" s="35"/>
      <c r="F649" s="35"/>
      <c r="G649" s="35"/>
      <c r="H649" s="35"/>
      <c r="I649" s="35"/>
      <c r="J649" s="192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 spans="1:28">
      <c r="A650" s="35"/>
      <c r="B650" s="35"/>
      <c r="C650" s="193"/>
      <c r="D650" s="35"/>
      <c r="E650" s="35"/>
      <c r="F650" s="35"/>
      <c r="G650" s="35"/>
      <c r="H650" s="35"/>
      <c r="I650" s="35"/>
      <c r="J650" s="192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 spans="1:28">
      <c r="A651" s="35"/>
      <c r="B651" s="35"/>
      <c r="C651" s="193"/>
      <c r="D651" s="35"/>
      <c r="E651" s="35"/>
      <c r="F651" s="35"/>
      <c r="G651" s="35"/>
      <c r="H651" s="35"/>
      <c r="I651" s="35"/>
      <c r="J651" s="192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 spans="1:28">
      <c r="A652" s="35"/>
      <c r="B652" s="35"/>
      <c r="C652" s="193"/>
      <c r="D652" s="35"/>
      <c r="E652" s="35"/>
      <c r="F652" s="35"/>
      <c r="G652" s="35"/>
      <c r="H652" s="35"/>
      <c r="I652" s="35"/>
      <c r="J652" s="192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 spans="1:28">
      <c r="A653" s="35"/>
      <c r="B653" s="35"/>
      <c r="C653" s="193"/>
      <c r="D653" s="35"/>
      <c r="E653" s="35"/>
      <c r="F653" s="35"/>
      <c r="G653" s="35"/>
      <c r="H653" s="35"/>
      <c r="I653" s="35"/>
      <c r="J653" s="192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 spans="1:28">
      <c r="A654" s="35"/>
      <c r="B654" s="35"/>
      <c r="C654" s="193"/>
      <c r="D654" s="35"/>
      <c r="E654" s="35"/>
      <c r="F654" s="35"/>
      <c r="G654" s="35"/>
      <c r="H654" s="35"/>
      <c r="I654" s="35"/>
      <c r="J654" s="192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 spans="1:28">
      <c r="A655" s="35"/>
      <c r="B655" s="35"/>
      <c r="C655" s="193"/>
      <c r="D655" s="35"/>
      <c r="E655" s="35"/>
      <c r="F655" s="35"/>
      <c r="G655" s="35"/>
      <c r="H655" s="35"/>
      <c r="I655" s="35"/>
      <c r="J655" s="192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 spans="1:28">
      <c r="A656" s="35"/>
      <c r="B656" s="35"/>
      <c r="C656" s="193"/>
      <c r="D656" s="35"/>
      <c r="E656" s="35"/>
      <c r="F656" s="35"/>
      <c r="G656" s="35"/>
      <c r="H656" s="35"/>
      <c r="I656" s="35"/>
      <c r="J656" s="192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 spans="1:28">
      <c r="A657" s="35"/>
      <c r="B657" s="35"/>
      <c r="C657" s="193"/>
      <c r="D657" s="35"/>
      <c r="E657" s="35"/>
      <c r="F657" s="35"/>
      <c r="G657" s="35"/>
      <c r="H657" s="35"/>
      <c r="I657" s="35"/>
      <c r="J657" s="192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 spans="1:28">
      <c r="A658" s="35"/>
      <c r="B658" s="35"/>
      <c r="C658" s="193"/>
      <c r="D658" s="35"/>
      <c r="E658" s="35"/>
      <c r="F658" s="35"/>
      <c r="G658" s="35"/>
      <c r="H658" s="35"/>
      <c r="I658" s="35"/>
      <c r="J658" s="192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 spans="1:28">
      <c r="A659" s="35"/>
      <c r="B659" s="35"/>
      <c r="C659" s="193"/>
      <c r="D659" s="35"/>
      <c r="E659" s="35"/>
      <c r="F659" s="35"/>
      <c r="G659" s="35"/>
      <c r="H659" s="35"/>
      <c r="I659" s="35"/>
      <c r="J659" s="192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 spans="1:28">
      <c r="A660" s="35"/>
      <c r="B660" s="35"/>
      <c r="C660" s="193"/>
      <c r="D660" s="35"/>
      <c r="E660" s="35"/>
      <c r="F660" s="35"/>
      <c r="G660" s="35"/>
      <c r="H660" s="35"/>
      <c r="I660" s="35"/>
      <c r="J660" s="192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 spans="1:28">
      <c r="A661" s="35"/>
      <c r="B661" s="35"/>
      <c r="C661" s="193"/>
      <c r="D661" s="35"/>
      <c r="E661" s="35"/>
      <c r="F661" s="35"/>
      <c r="G661" s="35"/>
      <c r="H661" s="35"/>
      <c r="I661" s="35"/>
      <c r="J661" s="192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 spans="1:28">
      <c r="A662" s="35"/>
      <c r="B662" s="35"/>
      <c r="C662" s="193"/>
      <c r="D662" s="35"/>
      <c r="E662" s="35"/>
      <c r="F662" s="35"/>
      <c r="G662" s="35"/>
      <c r="H662" s="35"/>
      <c r="I662" s="35"/>
      <c r="J662" s="192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 spans="1:28">
      <c r="A663" s="35"/>
      <c r="B663" s="35"/>
      <c r="C663" s="193"/>
      <c r="D663" s="35"/>
      <c r="E663" s="35"/>
      <c r="F663" s="35"/>
      <c r="G663" s="35"/>
      <c r="H663" s="35"/>
      <c r="I663" s="35"/>
      <c r="J663" s="192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 spans="1:28">
      <c r="A664" s="35"/>
      <c r="B664" s="35"/>
      <c r="C664" s="193"/>
      <c r="D664" s="35"/>
      <c r="E664" s="35"/>
      <c r="F664" s="35"/>
      <c r="G664" s="35"/>
      <c r="H664" s="35"/>
      <c r="I664" s="35"/>
      <c r="J664" s="192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 spans="1:28">
      <c r="A665" s="35"/>
      <c r="B665" s="35"/>
      <c r="C665" s="193"/>
      <c r="D665" s="35"/>
      <c r="E665" s="35"/>
      <c r="F665" s="35"/>
      <c r="G665" s="35"/>
      <c r="H665" s="35"/>
      <c r="I665" s="35"/>
      <c r="J665" s="192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 spans="1:28">
      <c r="A666" s="35"/>
      <c r="B666" s="35"/>
      <c r="C666" s="193"/>
      <c r="D666" s="35"/>
      <c r="E666" s="35"/>
      <c r="F666" s="35"/>
      <c r="G666" s="35"/>
      <c r="H666" s="35"/>
      <c r="I666" s="35"/>
      <c r="J666" s="192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 spans="1:28">
      <c r="A667" s="35"/>
      <c r="B667" s="35"/>
      <c r="C667" s="193"/>
      <c r="D667" s="35"/>
      <c r="E667" s="35"/>
      <c r="F667" s="35"/>
      <c r="G667" s="35"/>
      <c r="H667" s="35"/>
      <c r="I667" s="35"/>
      <c r="J667" s="192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 spans="1:28">
      <c r="A668" s="35"/>
      <c r="B668" s="35"/>
      <c r="C668" s="193"/>
      <c r="D668" s="35"/>
      <c r="E668" s="35"/>
      <c r="F668" s="35"/>
      <c r="G668" s="35"/>
      <c r="H668" s="35"/>
      <c r="I668" s="35"/>
      <c r="J668" s="192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 spans="1:28">
      <c r="A669" s="35"/>
      <c r="B669" s="35"/>
      <c r="C669" s="193"/>
      <c r="D669" s="35"/>
      <c r="E669" s="35"/>
      <c r="F669" s="35"/>
      <c r="G669" s="35"/>
      <c r="H669" s="35"/>
      <c r="I669" s="35"/>
      <c r="J669" s="192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 spans="1:28">
      <c r="A670" s="35"/>
      <c r="B670" s="35"/>
      <c r="C670" s="193"/>
      <c r="D670" s="35"/>
      <c r="E670" s="35"/>
      <c r="F670" s="35"/>
      <c r="G670" s="35"/>
      <c r="H670" s="35"/>
      <c r="I670" s="35"/>
      <c r="J670" s="192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 spans="1:28">
      <c r="A671" s="35"/>
      <c r="B671" s="35"/>
      <c r="C671" s="193"/>
      <c r="D671" s="35"/>
      <c r="E671" s="35"/>
      <c r="F671" s="35"/>
      <c r="G671" s="35"/>
      <c r="H671" s="35"/>
      <c r="I671" s="35"/>
      <c r="J671" s="192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 spans="1:28">
      <c r="A672" s="35"/>
      <c r="B672" s="35"/>
      <c r="C672" s="193"/>
      <c r="D672" s="35"/>
      <c r="E672" s="35"/>
      <c r="F672" s="35"/>
      <c r="G672" s="35"/>
      <c r="H672" s="35"/>
      <c r="I672" s="35"/>
      <c r="J672" s="192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 spans="1:28">
      <c r="A673" s="35"/>
      <c r="B673" s="35"/>
      <c r="C673" s="193"/>
      <c r="D673" s="35"/>
      <c r="E673" s="35"/>
      <c r="F673" s="35"/>
      <c r="G673" s="35"/>
      <c r="H673" s="35"/>
      <c r="I673" s="35"/>
      <c r="J673" s="192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 spans="1:28">
      <c r="A674" s="35"/>
      <c r="B674" s="35"/>
      <c r="C674" s="193"/>
      <c r="D674" s="35"/>
      <c r="E674" s="35"/>
      <c r="F674" s="35"/>
      <c r="G674" s="35"/>
      <c r="H674" s="35"/>
      <c r="I674" s="35"/>
      <c r="J674" s="192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 spans="1:28">
      <c r="A675" s="35"/>
      <c r="B675" s="35"/>
      <c r="C675" s="193"/>
      <c r="D675" s="35"/>
      <c r="E675" s="35"/>
      <c r="F675" s="35"/>
      <c r="G675" s="35"/>
      <c r="H675" s="35"/>
      <c r="I675" s="35"/>
      <c r="J675" s="192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 spans="1:28">
      <c r="A676" s="35"/>
      <c r="B676" s="35"/>
      <c r="C676" s="193"/>
      <c r="D676" s="35"/>
      <c r="E676" s="35"/>
      <c r="F676" s="35"/>
      <c r="G676" s="35"/>
      <c r="H676" s="35"/>
      <c r="I676" s="35"/>
      <c r="J676" s="192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 spans="1:28">
      <c r="A677" s="35"/>
      <c r="B677" s="35"/>
      <c r="C677" s="193"/>
      <c r="D677" s="35"/>
      <c r="E677" s="35"/>
      <c r="F677" s="35"/>
      <c r="G677" s="35"/>
      <c r="H677" s="35"/>
      <c r="I677" s="35"/>
      <c r="J677" s="192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 spans="1:28">
      <c r="A678" s="35"/>
      <c r="B678" s="35"/>
      <c r="C678" s="193"/>
      <c r="D678" s="35"/>
      <c r="E678" s="35"/>
      <c r="F678" s="35"/>
      <c r="G678" s="35"/>
      <c r="H678" s="35"/>
      <c r="I678" s="35"/>
      <c r="J678" s="192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 spans="1:28">
      <c r="A679" s="35"/>
      <c r="B679" s="35"/>
      <c r="C679" s="193"/>
      <c r="D679" s="35"/>
      <c r="E679" s="35"/>
      <c r="F679" s="35"/>
      <c r="G679" s="35"/>
      <c r="H679" s="35"/>
      <c r="I679" s="35"/>
      <c r="J679" s="192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 spans="1:28">
      <c r="A680" s="35"/>
      <c r="B680" s="35"/>
      <c r="C680" s="193"/>
      <c r="D680" s="35"/>
      <c r="E680" s="35"/>
      <c r="F680" s="35"/>
      <c r="G680" s="35"/>
      <c r="H680" s="35"/>
      <c r="I680" s="35"/>
      <c r="J680" s="192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 spans="1:28">
      <c r="A681" s="35"/>
      <c r="B681" s="35"/>
      <c r="C681" s="193"/>
      <c r="D681" s="35"/>
      <c r="E681" s="35"/>
      <c r="F681" s="35"/>
      <c r="G681" s="35"/>
      <c r="H681" s="35"/>
      <c r="I681" s="35"/>
      <c r="J681" s="192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 spans="1:28">
      <c r="A682" s="35"/>
      <c r="B682" s="35"/>
      <c r="C682" s="193"/>
      <c r="D682" s="35"/>
      <c r="E682" s="35"/>
      <c r="F682" s="35"/>
      <c r="G682" s="35"/>
      <c r="H682" s="35"/>
      <c r="I682" s="35"/>
      <c r="J682" s="192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 spans="1:28">
      <c r="A683" s="35"/>
      <c r="B683" s="35"/>
      <c r="C683" s="193"/>
      <c r="D683" s="35"/>
      <c r="E683" s="35"/>
      <c r="F683" s="35"/>
      <c r="G683" s="35"/>
      <c r="H683" s="35"/>
      <c r="I683" s="35"/>
      <c r="J683" s="192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 spans="1:28">
      <c r="A684" s="35"/>
      <c r="B684" s="35"/>
      <c r="C684" s="193"/>
      <c r="D684" s="35"/>
      <c r="E684" s="35"/>
      <c r="F684" s="35"/>
      <c r="G684" s="35"/>
      <c r="H684" s="35"/>
      <c r="I684" s="35"/>
      <c r="J684" s="192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 spans="1:28">
      <c r="A685" s="35"/>
      <c r="B685" s="35"/>
      <c r="C685" s="193"/>
      <c r="D685" s="35"/>
      <c r="E685" s="35"/>
      <c r="F685" s="35"/>
      <c r="G685" s="35"/>
      <c r="H685" s="35"/>
      <c r="I685" s="35"/>
      <c r="J685" s="192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 spans="1:28">
      <c r="A686" s="35"/>
      <c r="B686" s="35"/>
      <c r="C686" s="193"/>
      <c r="D686" s="35"/>
      <c r="E686" s="35"/>
      <c r="F686" s="35"/>
      <c r="G686" s="35"/>
      <c r="H686" s="35"/>
      <c r="I686" s="35"/>
      <c r="J686" s="192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 spans="1:28">
      <c r="A687" s="35"/>
      <c r="B687" s="35"/>
      <c r="C687" s="193"/>
      <c r="D687" s="35"/>
      <c r="E687" s="35"/>
      <c r="F687" s="35"/>
      <c r="G687" s="35"/>
      <c r="H687" s="35"/>
      <c r="I687" s="35"/>
      <c r="J687" s="192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 spans="1:28">
      <c r="A688" s="35"/>
      <c r="B688" s="35"/>
      <c r="C688" s="193"/>
      <c r="D688" s="35"/>
      <c r="E688" s="35"/>
      <c r="F688" s="35"/>
      <c r="G688" s="35"/>
      <c r="H688" s="35"/>
      <c r="I688" s="35"/>
      <c r="J688" s="192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 spans="1:28">
      <c r="A689" s="35"/>
      <c r="B689" s="35"/>
      <c r="C689" s="193"/>
      <c r="D689" s="35"/>
      <c r="E689" s="35"/>
      <c r="F689" s="35"/>
      <c r="G689" s="35"/>
      <c r="H689" s="35"/>
      <c r="I689" s="35"/>
      <c r="J689" s="192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 spans="1:28">
      <c r="A690" s="35"/>
      <c r="B690" s="35"/>
      <c r="C690" s="193"/>
      <c r="D690" s="35"/>
      <c r="E690" s="35"/>
      <c r="F690" s="35"/>
      <c r="G690" s="35"/>
      <c r="H690" s="35"/>
      <c r="I690" s="35"/>
      <c r="J690" s="192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 spans="1:28">
      <c r="A691" s="35"/>
      <c r="B691" s="35"/>
      <c r="C691" s="193"/>
      <c r="D691" s="35"/>
      <c r="E691" s="35"/>
      <c r="F691" s="35"/>
      <c r="G691" s="35"/>
      <c r="H691" s="35"/>
      <c r="I691" s="35"/>
      <c r="J691" s="192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 spans="1:28">
      <c r="A692" s="35"/>
      <c r="B692" s="35"/>
      <c r="C692" s="193"/>
      <c r="D692" s="35"/>
      <c r="E692" s="35"/>
      <c r="F692" s="35"/>
      <c r="G692" s="35"/>
      <c r="H692" s="35"/>
      <c r="I692" s="35"/>
      <c r="J692" s="192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 spans="1:28">
      <c r="A693" s="35"/>
      <c r="B693" s="35"/>
      <c r="C693" s="193"/>
      <c r="D693" s="35"/>
      <c r="E693" s="35"/>
      <c r="F693" s="35"/>
      <c r="G693" s="35"/>
      <c r="H693" s="35"/>
      <c r="I693" s="35"/>
      <c r="J693" s="192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 spans="1:28">
      <c r="A694" s="35"/>
      <c r="B694" s="35"/>
      <c r="C694" s="193"/>
      <c r="D694" s="35"/>
      <c r="E694" s="35"/>
      <c r="F694" s="35"/>
      <c r="G694" s="35"/>
      <c r="H694" s="35"/>
      <c r="I694" s="35"/>
      <c r="J694" s="192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 spans="1:28">
      <c r="A695" s="35"/>
      <c r="B695" s="35"/>
      <c r="C695" s="193"/>
      <c r="D695" s="35"/>
      <c r="E695" s="35"/>
      <c r="F695" s="35"/>
      <c r="G695" s="35"/>
      <c r="H695" s="35"/>
      <c r="I695" s="35"/>
      <c r="J695" s="192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 spans="1:28">
      <c r="A696" s="35"/>
      <c r="B696" s="35"/>
      <c r="C696" s="193"/>
      <c r="D696" s="35"/>
      <c r="E696" s="35"/>
      <c r="F696" s="35"/>
      <c r="G696" s="35"/>
      <c r="H696" s="35"/>
      <c r="I696" s="35"/>
      <c r="J696" s="192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 spans="1:28">
      <c r="A697" s="35"/>
      <c r="B697" s="35"/>
      <c r="C697" s="193"/>
      <c r="D697" s="35"/>
      <c r="E697" s="35"/>
      <c r="F697" s="35"/>
      <c r="G697" s="35"/>
      <c r="H697" s="35"/>
      <c r="I697" s="35"/>
      <c r="J697" s="192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 spans="1:28">
      <c r="A698" s="35"/>
      <c r="B698" s="35"/>
      <c r="C698" s="193"/>
      <c r="D698" s="35"/>
      <c r="E698" s="35"/>
      <c r="F698" s="35"/>
      <c r="G698" s="35"/>
      <c r="H698" s="35"/>
      <c r="I698" s="35"/>
      <c r="J698" s="192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 spans="1:28">
      <c r="A699" s="35"/>
      <c r="B699" s="35"/>
      <c r="C699" s="193"/>
      <c r="D699" s="35"/>
      <c r="E699" s="35"/>
      <c r="F699" s="35"/>
      <c r="G699" s="35"/>
      <c r="H699" s="35"/>
      <c r="I699" s="35"/>
      <c r="J699" s="192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 spans="1:28">
      <c r="A700" s="35"/>
      <c r="B700" s="35"/>
      <c r="C700" s="193"/>
      <c r="D700" s="35"/>
      <c r="E700" s="35"/>
      <c r="F700" s="35"/>
      <c r="G700" s="35"/>
      <c r="H700" s="35"/>
      <c r="I700" s="35"/>
      <c r="J700" s="192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 spans="1:28">
      <c r="A701" s="35"/>
      <c r="B701" s="35"/>
      <c r="C701" s="193"/>
      <c r="D701" s="35"/>
      <c r="E701" s="35"/>
      <c r="F701" s="35"/>
      <c r="G701" s="35"/>
      <c r="H701" s="35"/>
      <c r="I701" s="35"/>
      <c r="J701" s="192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 spans="1:28">
      <c r="A702" s="35"/>
      <c r="B702" s="35"/>
      <c r="C702" s="193"/>
      <c r="D702" s="35"/>
      <c r="E702" s="35"/>
      <c r="F702" s="35"/>
      <c r="G702" s="35"/>
      <c r="H702" s="35"/>
      <c r="I702" s="35"/>
      <c r="J702" s="192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 spans="1:28">
      <c r="A703" s="35"/>
      <c r="B703" s="35"/>
      <c r="C703" s="193"/>
      <c r="D703" s="35"/>
      <c r="E703" s="35"/>
      <c r="F703" s="35"/>
      <c r="G703" s="35"/>
      <c r="H703" s="35"/>
      <c r="I703" s="35"/>
      <c r="J703" s="192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 spans="1:28">
      <c r="A704" s="35"/>
      <c r="B704" s="35"/>
      <c r="C704" s="193"/>
      <c r="D704" s="35"/>
      <c r="E704" s="35"/>
      <c r="F704" s="35"/>
      <c r="G704" s="35"/>
      <c r="H704" s="35"/>
      <c r="I704" s="35"/>
      <c r="J704" s="192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 spans="1:28">
      <c r="A705" s="35"/>
      <c r="B705" s="35"/>
      <c r="C705" s="193"/>
      <c r="D705" s="35"/>
      <c r="E705" s="35"/>
      <c r="F705" s="35"/>
      <c r="G705" s="35"/>
      <c r="H705" s="35"/>
      <c r="I705" s="35"/>
      <c r="J705" s="192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 spans="1:28">
      <c r="A706" s="35"/>
      <c r="B706" s="35"/>
      <c r="C706" s="193"/>
      <c r="D706" s="35"/>
      <c r="E706" s="35"/>
      <c r="F706" s="35"/>
      <c r="G706" s="35"/>
      <c r="H706" s="35"/>
      <c r="I706" s="35"/>
      <c r="J706" s="192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 spans="1:28">
      <c r="A707" s="35"/>
      <c r="B707" s="35"/>
      <c r="C707" s="193"/>
      <c r="D707" s="35"/>
      <c r="E707" s="35"/>
      <c r="F707" s="35"/>
      <c r="G707" s="35"/>
      <c r="H707" s="35"/>
      <c r="I707" s="35"/>
      <c r="J707" s="192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 spans="1:28">
      <c r="A708" s="35"/>
      <c r="B708" s="35"/>
      <c r="C708" s="193"/>
      <c r="D708" s="35"/>
      <c r="E708" s="35"/>
      <c r="F708" s="35"/>
      <c r="G708" s="35"/>
      <c r="H708" s="35"/>
      <c r="I708" s="35"/>
      <c r="J708" s="192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 spans="1:28">
      <c r="A709" s="35"/>
      <c r="B709" s="35"/>
      <c r="C709" s="193"/>
      <c r="D709" s="35"/>
      <c r="E709" s="35"/>
      <c r="F709" s="35"/>
      <c r="G709" s="35"/>
      <c r="H709" s="35"/>
      <c r="I709" s="35"/>
      <c r="J709" s="192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 spans="1:28">
      <c r="A710" s="35"/>
      <c r="B710" s="35"/>
      <c r="C710" s="193"/>
      <c r="D710" s="35"/>
      <c r="E710" s="35"/>
      <c r="F710" s="35"/>
      <c r="G710" s="35"/>
      <c r="H710" s="35"/>
      <c r="I710" s="35"/>
      <c r="J710" s="192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 spans="1:28">
      <c r="A711" s="35"/>
      <c r="B711" s="35"/>
      <c r="C711" s="193"/>
      <c r="D711" s="35"/>
      <c r="E711" s="35"/>
      <c r="F711" s="35"/>
      <c r="G711" s="35"/>
      <c r="H711" s="35"/>
      <c r="I711" s="35"/>
      <c r="J711" s="192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 spans="1:28">
      <c r="A712" s="35"/>
      <c r="B712" s="35"/>
      <c r="C712" s="193"/>
      <c r="D712" s="35"/>
      <c r="E712" s="35"/>
      <c r="F712" s="35"/>
      <c r="G712" s="35"/>
      <c r="H712" s="35"/>
      <c r="I712" s="35"/>
      <c r="J712" s="192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 spans="1:28">
      <c r="A713" s="35"/>
      <c r="B713" s="35"/>
      <c r="C713" s="193"/>
      <c r="D713" s="35"/>
      <c r="E713" s="35"/>
      <c r="F713" s="35"/>
      <c r="G713" s="35"/>
      <c r="H713" s="35"/>
      <c r="I713" s="35"/>
      <c r="J713" s="192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 spans="1:28">
      <c r="A714" s="35"/>
      <c r="B714" s="35"/>
      <c r="C714" s="193"/>
      <c r="D714" s="35"/>
      <c r="E714" s="35"/>
      <c r="F714" s="35"/>
      <c r="G714" s="35"/>
      <c r="H714" s="35"/>
      <c r="I714" s="35"/>
      <c r="J714" s="192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 spans="1:28">
      <c r="A715" s="35"/>
      <c r="B715" s="35"/>
      <c r="C715" s="193"/>
      <c r="D715" s="35"/>
      <c r="E715" s="35"/>
      <c r="F715" s="35"/>
      <c r="G715" s="35"/>
      <c r="H715" s="35"/>
      <c r="I715" s="35"/>
      <c r="J715" s="192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 spans="1:28">
      <c r="A716" s="35"/>
      <c r="B716" s="35"/>
      <c r="C716" s="193"/>
      <c r="D716" s="35"/>
      <c r="E716" s="35"/>
      <c r="F716" s="35"/>
      <c r="G716" s="35"/>
      <c r="H716" s="35"/>
      <c r="I716" s="35"/>
      <c r="J716" s="192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 spans="1:28">
      <c r="A717" s="35"/>
      <c r="B717" s="35"/>
      <c r="C717" s="193"/>
      <c r="D717" s="35"/>
      <c r="E717" s="35"/>
      <c r="F717" s="35"/>
      <c r="G717" s="35"/>
      <c r="H717" s="35"/>
      <c r="I717" s="35"/>
      <c r="J717" s="192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 spans="1:28">
      <c r="A718" s="35"/>
      <c r="B718" s="35"/>
      <c r="C718" s="193"/>
      <c r="D718" s="35"/>
      <c r="E718" s="35"/>
      <c r="F718" s="35"/>
      <c r="G718" s="35"/>
      <c r="H718" s="35"/>
      <c r="I718" s="35"/>
      <c r="J718" s="192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 spans="1:28">
      <c r="A719" s="35"/>
      <c r="B719" s="35"/>
      <c r="C719" s="193"/>
      <c r="D719" s="35"/>
      <c r="E719" s="35"/>
      <c r="F719" s="35"/>
      <c r="G719" s="35"/>
      <c r="H719" s="35"/>
      <c r="I719" s="35"/>
      <c r="J719" s="192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 spans="1:28">
      <c r="A720" s="35"/>
      <c r="B720" s="35"/>
      <c r="C720" s="193"/>
      <c r="D720" s="35"/>
      <c r="E720" s="35"/>
      <c r="F720" s="35"/>
      <c r="G720" s="35"/>
      <c r="H720" s="35"/>
      <c r="I720" s="35"/>
      <c r="J720" s="192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 spans="1:28">
      <c r="A721" s="35"/>
      <c r="B721" s="35"/>
      <c r="C721" s="193"/>
      <c r="D721" s="35"/>
      <c r="E721" s="35"/>
      <c r="F721" s="35"/>
      <c r="G721" s="35"/>
      <c r="H721" s="35"/>
      <c r="I721" s="35"/>
      <c r="J721" s="192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 spans="1:28">
      <c r="A722" s="35"/>
      <c r="B722" s="35"/>
      <c r="C722" s="193"/>
      <c r="D722" s="35"/>
      <c r="E722" s="35"/>
      <c r="F722" s="35"/>
      <c r="G722" s="35"/>
      <c r="H722" s="35"/>
      <c r="I722" s="35"/>
      <c r="J722" s="192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 spans="1:28">
      <c r="A723" s="35"/>
      <c r="B723" s="35"/>
      <c r="C723" s="193"/>
      <c r="D723" s="35"/>
      <c r="E723" s="35"/>
      <c r="F723" s="35"/>
      <c r="G723" s="35"/>
      <c r="H723" s="35"/>
      <c r="I723" s="35"/>
      <c r="J723" s="192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 spans="1:28">
      <c r="A724" s="35"/>
      <c r="B724" s="35"/>
      <c r="C724" s="193"/>
      <c r="D724" s="35"/>
      <c r="E724" s="35"/>
      <c r="F724" s="35"/>
      <c r="G724" s="35"/>
      <c r="H724" s="35"/>
      <c r="I724" s="35"/>
      <c r="J724" s="192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 spans="1:28">
      <c r="A725" s="35"/>
      <c r="B725" s="35"/>
      <c r="C725" s="193"/>
      <c r="D725" s="35"/>
      <c r="E725" s="35"/>
      <c r="F725" s="35"/>
      <c r="G725" s="35"/>
      <c r="H725" s="35"/>
      <c r="I725" s="35"/>
      <c r="J725" s="192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 spans="1:28">
      <c r="A726" s="35"/>
      <c r="B726" s="35"/>
      <c r="C726" s="193"/>
      <c r="D726" s="35"/>
      <c r="E726" s="35"/>
      <c r="F726" s="35"/>
      <c r="G726" s="35"/>
      <c r="H726" s="35"/>
      <c r="I726" s="35"/>
      <c r="J726" s="192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 spans="1:28">
      <c r="A727" s="35"/>
      <c r="B727" s="35"/>
      <c r="C727" s="193"/>
      <c r="D727" s="35"/>
      <c r="E727" s="35"/>
      <c r="F727" s="35"/>
      <c r="G727" s="35"/>
      <c r="H727" s="35"/>
      <c r="I727" s="35"/>
      <c r="J727" s="192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 spans="1:28">
      <c r="A728" s="35"/>
      <c r="B728" s="35"/>
      <c r="C728" s="193"/>
      <c r="D728" s="35"/>
      <c r="E728" s="35"/>
      <c r="F728" s="35"/>
      <c r="G728" s="35"/>
      <c r="H728" s="35"/>
      <c r="I728" s="35"/>
      <c r="J728" s="192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 spans="1:28">
      <c r="A729" s="35"/>
      <c r="B729" s="35"/>
      <c r="C729" s="193"/>
      <c r="D729" s="35"/>
      <c r="E729" s="35"/>
      <c r="F729" s="35"/>
      <c r="G729" s="35"/>
      <c r="H729" s="35"/>
      <c r="I729" s="35"/>
      <c r="J729" s="192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 spans="1:28">
      <c r="A730" s="35"/>
      <c r="B730" s="35"/>
      <c r="C730" s="193"/>
      <c r="D730" s="35"/>
      <c r="E730" s="35"/>
      <c r="F730" s="35"/>
      <c r="G730" s="35"/>
      <c r="H730" s="35"/>
      <c r="I730" s="35"/>
      <c r="J730" s="192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 spans="1:28">
      <c r="A731" s="35"/>
      <c r="B731" s="35"/>
      <c r="C731" s="193"/>
      <c r="D731" s="35"/>
      <c r="E731" s="35"/>
      <c r="F731" s="35"/>
      <c r="G731" s="35"/>
      <c r="H731" s="35"/>
      <c r="I731" s="35"/>
      <c r="J731" s="192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 spans="1:28">
      <c r="A732" s="35"/>
      <c r="B732" s="35"/>
      <c r="C732" s="193"/>
      <c r="D732" s="35"/>
      <c r="E732" s="35"/>
      <c r="F732" s="35"/>
      <c r="G732" s="35"/>
      <c r="H732" s="35"/>
      <c r="I732" s="35"/>
      <c r="J732" s="192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 spans="1:28">
      <c r="A733" s="35"/>
      <c r="B733" s="35"/>
      <c r="C733" s="193"/>
      <c r="D733" s="35"/>
      <c r="E733" s="35"/>
      <c r="F733" s="35"/>
      <c r="G733" s="35"/>
      <c r="H733" s="35"/>
      <c r="I733" s="35"/>
      <c r="J733" s="192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 spans="1:28">
      <c r="A734" s="35"/>
      <c r="B734" s="35"/>
      <c r="C734" s="193"/>
      <c r="D734" s="35"/>
      <c r="E734" s="35"/>
      <c r="F734" s="35"/>
      <c r="G734" s="35"/>
      <c r="H734" s="35"/>
      <c r="I734" s="35"/>
      <c r="J734" s="192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 spans="1:28">
      <c r="A735" s="35"/>
      <c r="B735" s="35"/>
      <c r="C735" s="193"/>
      <c r="D735" s="35"/>
      <c r="E735" s="35"/>
      <c r="F735" s="35"/>
      <c r="G735" s="35"/>
      <c r="H735" s="35"/>
      <c r="I735" s="35"/>
      <c r="J735" s="192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 spans="1:28">
      <c r="A736" s="35"/>
      <c r="B736" s="35"/>
      <c r="C736" s="193"/>
      <c r="D736" s="35"/>
      <c r="E736" s="35"/>
      <c r="F736" s="35"/>
      <c r="G736" s="35"/>
      <c r="H736" s="35"/>
      <c r="I736" s="35"/>
      <c r="J736" s="192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 spans="1:28">
      <c r="A737" s="35"/>
      <c r="B737" s="35"/>
      <c r="C737" s="193"/>
      <c r="D737" s="35"/>
      <c r="E737" s="35"/>
      <c r="F737" s="35"/>
      <c r="G737" s="35"/>
      <c r="H737" s="35"/>
      <c r="I737" s="35"/>
      <c r="J737" s="192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 spans="1:28">
      <c r="A738" s="35"/>
      <c r="B738" s="35"/>
      <c r="C738" s="193"/>
      <c r="D738" s="35"/>
      <c r="E738" s="35"/>
      <c r="F738" s="35"/>
      <c r="G738" s="35"/>
      <c r="H738" s="35"/>
      <c r="I738" s="35"/>
      <c r="J738" s="192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 spans="1:28">
      <c r="A739" s="35"/>
      <c r="B739" s="35"/>
      <c r="C739" s="193"/>
      <c r="D739" s="35"/>
      <c r="E739" s="35"/>
      <c r="F739" s="35"/>
      <c r="G739" s="35"/>
      <c r="H739" s="35"/>
      <c r="I739" s="35"/>
      <c r="J739" s="192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 spans="1:28">
      <c r="A740" s="35"/>
      <c r="B740" s="35"/>
      <c r="C740" s="193"/>
      <c r="D740" s="35"/>
      <c r="E740" s="35"/>
      <c r="F740" s="35"/>
      <c r="G740" s="35"/>
      <c r="H740" s="35"/>
      <c r="I740" s="35"/>
      <c r="J740" s="192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 spans="1:28">
      <c r="A741" s="35"/>
      <c r="B741" s="35"/>
      <c r="C741" s="193"/>
      <c r="D741" s="35"/>
      <c r="E741" s="35"/>
      <c r="F741" s="35"/>
      <c r="G741" s="35"/>
      <c r="H741" s="35"/>
      <c r="I741" s="35"/>
      <c r="J741" s="192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 spans="1:28">
      <c r="A742" s="35"/>
      <c r="B742" s="35"/>
      <c r="C742" s="193"/>
      <c r="D742" s="35"/>
      <c r="E742" s="35"/>
      <c r="F742" s="35"/>
      <c r="G742" s="35"/>
      <c r="H742" s="35"/>
      <c r="I742" s="35"/>
      <c r="J742" s="192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 spans="1:28">
      <c r="A743" s="35"/>
      <c r="B743" s="35"/>
      <c r="C743" s="193"/>
      <c r="D743" s="35"/>
      <c r="E743" s="35"/>
      <c r="F743" s="35"/>
      <c r="G743" s="35"/>
      <c r="H743" s="35"/>
      <c r="I743" s="35"/>
      <c r="J743" s="192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 spans="1:28">
      <c r="A744" s="35"/>
      <c r="B744" s="35"/>
      <c r="C744" s="193"/>
      <c r="D744" s="35"/>
      <c r="E744" s="35"/>
      <c r="F744" s="35"/>
      <c r="G744" s="35"/>
      <c r="H744" s="35"/>
      <c r="I744" s="35"/>
      <c r="J744" s="192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 spans="1:28">
      <c r="A745" s="35"/>
      <c r="B745" s="35"/>
      <c r="C745" s="193"/>
      <c r="D745" s="35"/>
      <c r="E745" s="35"/>
      <c r="F745" s="35"/>
      <c r="G745" s="35"/>
      <c r="H745" s="35"/>
      <c r="I745" s="35"/>
      <c r="J745" s="192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 spans="1:28">
      <c r="A746" s="35"/>
      <c r="B746" s="35"/>
      <c r="C746" s="193"/>
      <c r="D746" s="35"/>
      <c r="E746" s="35"/>
      <c r="F746" s="35"/>
      <c r="G746" s="35"/>
      <c r="H746" s="35"/>
      <c r="I746" s="35"/>
      <c r="J746" s="192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 spans="1:28">
      <c r="A747" s="35"/>
      <c r="B747" s="35"/>
      <c r="C747" s="193"/>
      <c r="D747" s="35"/>
      <c r="E747" s="35"/>
      <c r="F747" s="35"/>
      <c r="G747" s="35"/>
      <c r="H747" s="35"/>
      <c r="I747" s="35"/>
      <c r="J747" s="192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 spans="1:28">
      <c r="A748" s="35"/>
      <c r="B748" s="35"/>
      <c r="C748" s="193"/>
      <c r="D748" s="35"/>
      <c r="E748" s="35"/>
      <c r="F748" s="35"/>
      <c r="G748" s="35"/>
      <c r="H748" s="35"/>
      <c r="I748" s="35"/>
      <c r="J748" s="192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 spans="1:28">
      <c r="A749" s="35"/>
      <c r="B749" s="35"/>
      <c r="C749" s="193"/>
      <c r="D749" s="35"/>
      <c r="E749" s="35"/>
      <c r="F749" s="35"/>
      <c r="G749" s="35"/>
      <c r="H749" s="35"/>
      <c r="I749" s="35"/>
      <c r="J749" s="192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 spans="1:28">
      <c r="A750" s="35"/>
      <c r="B750" s="35"/>
      <c r="C750" s="193"/>
      <c r="D750" s="35"/>
      <c r="E750" s="35"/>
      <c r="F750" s="35"/>
      <c r="G750" s="35"/>
      <c r="H750" s="35"/>
      <c r="I750" s="35"/>
      <c r="J750" s="192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 spans="1:28">
      <c r="A751" s="35"/>
      <c r="B751" s="35"/>
      <c r="C751" s="193"/>
      <c r="D751" s="35"/>
      <c r="E751" s="35"/>
      <c r="F751" s="35"/>
      <c r="G751" s="35"/>
      <c r="H751" s="35"/>
      <c r="I751" s="35"/>
      <c r="J751" s="192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 spans="1:28">
      <c r="A752" s="35"/>
      <c r="B752" s="35"/>
      <c r="C752" s="193"/>
      <c r="D752" s="35"/>
      <c r="E752" s="35"/>
      <c r="F752" s="35"/>
      <c r="G752" s="35"/>
      <c r="H752" s="35"/>
      <c r="I752" s="35"/>
      <c r="J752" s="192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 spans="1:28">
      <c r="A753" s="35"/>
      <c r="B753" s="35"/>
      <c r="C753" s="193"/>
      <c r="D753" s="35"/>
      <c r="E753" s="35"/>
      <c r="F753" s="35"/>
      <c r="G753" s="35"/>
      <c r="H753" s="35"/>
      <c r="I753" s="35"/>
      <c r="J753" s="192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 spans="1:28">
      <c r="A754" s="35"/>
      <c r="B754" s="35"/>
      <c r="C754" s="193"/>
      <c r="D754" s="35"/>
      <c r="E754" s="35"/>
      <c r="F754" s="35"/>
      <c r="G754" s="35"/>
      <c r="H754" s="35"/>
      <c r="I754" s="35"/>
      <c r="J754" s="192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 spans="1:28">
      <c r="A755" s="35"/>
      <c r="B755" s="35"/>
      <c r="C755" s="193"/>
      <c r="D755" s="35"/>
      <c r="E755" s="35"/>
      <c r="F755" s="35"/>
      <c r="G755" s="35"/>
      <c r="H755" s="35"/>
      <c r="I755" s="35"/>
      <c r="J755" s="192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 spans="1:28">
      <c r="A756" s="35"/>
      <c r="B756" s="35"/>
      <c r="C756" s="193"/>
      <c r="D756" s="35"/>
      <c r="E756" s="35"/>
      <c r="F756" s="35"/>
      <c r="G756" s="35"/>
      <c r="H756" s="35"/>
      <c r="I756" s="35"/>
      <c r="J756" s="192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 spans="1:28">
      <c r="A757" s="35"/>
      <c r="B757" s="35"/>
      <c r="C757" s="193"/>
      <c r="D757" s="35"/>
      <c r="E757" s="35"/>
      <c r="F757" s="35"/>
      <c r="G757" s="35"/>
      <c r="H757" s="35"/>
      <c r="I757" s="35"/>
      <c r="J757" s="192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 spans="1:28">
      <c r="A758" s="35"/>
      <c r="B758" s="35"/>
      <c r="C758" s="193"/>
      <c r="D758" s="35"/>
      <c r="E758" s="35"/>
      <c r="F758" s="35"/>
      <c r="G758" s="35"/>
      <c r="H758" s="35"/>
      <c r="I758" s="35"/>
      <c r="J758" s="192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 spans="1:28">
      <c r="A759" s="35"/>
      <c r="B759" s="35"/>
      <c r="C759" s="193"/>
      <c r="D759" s="35"/>
      <c r="E759" s="35"/>
      <c r="F759" s="35"/>
      <c r="G759" s="35"/>
      <c r="H759" s="35"/>
      <c r="I759" s="35"/>
      <c r="J759" s="192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 spans="1:28">
      <c r="A760" s="35"/>
      <c r="B760" s="35"/>
      <c r="C760" s="193"/>
      <c r="D760" s="35"/>
      <c r="E760" s="35"/>
      <c r="F760" s="35"/>
      <c r="G760" s="35"/>
      <c r="H760" s="35"/>
      <c r="I760" s="35"/>
      <c r="J760" s="192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 spans="1:28">
      <c r="A761" s="35"/>
      <c r="B761" s="35"/>
      <c r="C761" s="193"/>
      <c r="D761" s="35"/>
      <c r="E761" s="35"/>
      <c r="F761" s="35"/>
      <c r="G761" s="35"/>
      <c r="H761" s="35"/>
      <c r="I761" s="35"/>
      <c r="J761" s="192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 spans="1:28">
      <c r="A762" s="35"/>
      <c r="B762" s="35"/>
      <c r="C762" s="193"/>
      <c r="D762" s="35"/>
      <c r="E762" s="35"/>
      <c r="F762" s="35"/>
      <c r="G762" s="35"/>
      <c r="H762" s="35"/>
      <c r="I762" s="35"/>
      <c r="J762" s="192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 spans="1:28">
      <c r="A763" s="35"/>
      <c r="B763" s="35"/>
      <c r="C763" s="193"/>
      <c r="D763" s="35"/>
      <c r="E763" s="35"/>
      <c r="F763" s="35"/>
      <c r="G763" s="35"/>
      <c r="H763" s="35"/>
      <c r="I763" s="35"/>
      <c r="J763" s="192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 spans="1:28">
      <c r="A764" s="35"/>
      <c r="B764" s="35"/>
      <c r="C764" s="193"/>
      <c r="D764" s="35"/>
      <c r="E764" s="35"/>
      <c r="F764" s="35"/>
      <c r="G764" s="35"/>
      <c r="H764" s="35"/>
      <c r="I764" s="35"/>
      <c r="J764" s="192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 spans="1:28">
      <c r="A765" s="35"/>
      <c r="B765" s="35"/>
      <c r="C765" s="193"/>
      <c r="D765" s="35"/>
      <c r="E765" s="35"/>
      <c r="F765" s="35"/>
      <c r="G765" s="35"/>
      <c r="H765" s="35"/>
      <c r="I765" s="35"/>
      <c r="J765" s="192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 spans="1:28">
      <c r="A766" s="35"/>
      <c r="B766" s="35"/>
      <c r="C766" s="193"/>
      <c r="D766" s="35"/>
      <c r="E766" s="35"/>
      <c r="F766" s="35"/>
      <c r="G766" s="35"/>
      <c r="H766" s="35"/>
      <c r="I766" s="35"/>
      <c r="J766" s="192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 spans="1:28">
      <c r="A767" s="35"/>
      <c r="B767" s="35"/>
      <c r="C767" s="193"/>
      <c r="D767" s="35"/>
      <c r="E767" s="35"/>
      <c r="F767" s="35"/>
      <c r="G767" s="35"/>
      <c r="H767" s="35"/>
      <c r="I767" s="35"/>
      <c r="J767" s="192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 spans="1:28">
      <c r="A768" s="35"/>
      <c r="B768" s="35"/>
      <c r="C768" s="193"/>
      <c r="D768" s="35"/>
      <c r="E768" s="35"/>
      <c r="F768" s="35"/>
      <c r="G768" s="35"/>
      <c r="H768" s="35"/>
      <c r="I768" s="35"/>
      <c r="J768" s="192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 spans="1:28">
      <c r="A769" s="35"/>
      <c r="B769" s="35"/>
      <c r="C769" s="193"/>
      <c r="D769" s="35"/>
      <c r="E769" s="35"/>
      <c r="F769" s="35"/>
      <c r="G769" s="35"/>
      <c r="H769" s="35"/>
      <c r="I769" s="35"/>
      <c r="J769" s="192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 spans="1:28">
      <c r="A770" s="35"/>
      <c r="B770" s="35"/>
      <c r="C770" s="193"/>
      <c r="D770" s="35"/>
      <c r="E770" s="35"/>
      <c r="F770" s="35"/>
      <c r="G770" s="35"/>
      <c r="H770" s="35"/>
      <c r="I770" s="35"/>
      <c r="J770" s="192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 spans="1:28">
      <c r="A771" s="35"/>
      <c r="B771" s="35"/>
      <c r="C771" s="193"/>
      <c r="D771" s="35"/>
      <c r="E771" s="35"/>
      <c r="F771" s="35"/>
      <c r="G771" s="35"/>
      <c r="H771" s="35"/>
      <c r="I771" s="35"/>
      <c r="J771" s="192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 spans="1:28">
      <c r="A772" s="35"/>
      <c r="B772" s="35"/>
      <c r="C772" s="193"/>
      <c r="D772" s="35"/>
      <c r="E772" s="35"/>
      <c r="F772" s="35"/>
      <c r="G772" s="35"/>
      <c r="H772" s="35"/>
      <c r="I772" s="35"/>
      <c r="J772" s="192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 spans="1:28">
      <c r="A773" s="35"/>
      <c r="B773" s="35"/>
      <c r="C773" s="193"/>
      <c r="D773" s="35"/>
      <c r="E773" s="35"/>
      <c r="F773" s="35"/>
      <c r="G773" s="35"/>
      <c r="H773" s="35"/>
      <c r="I773" s="35"/>
      <c r="J773" s="192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 spans="1:28">
      <c r="A774" s="35"/>
      <c r="B774" s="35"/>
      <c r="C774" s="193"/>
      <c r="D774" s="35"/>
      <c r="E774" s="35"/>
      <c r="F774" s="35"/>
      <c r="G774" s="35"/>
      <c r="H774" s="35"/>
      <c r="I774" s="35"/>
      <c r="J774" s="192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 spans="1:28">
      <c r="A775" s="35"/>
      <c r="B775" s="35"/>
      <c r="C775" s="193"/>
      <c r="D775" s="35"/>
      <c r="E775" s="35"/>
      <c r="F775" s="35"/>
      <c r="G775" s="35"/>
      <c r="H775" s="35"/>
      <c r="I775" s="35"/>
      <c r="J775" s="192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 spans="1:28">
      <c r="A776" s="35"/>
      <c r="B776" s="35"/>
      <c r="C776" s="193"/>
      <c r="D776" s="35"/>
      <c r="E776" s="35"/>
      <c r="F776" s="35"/>
      <c r="G776" s="35"/>
      <c r="H776" s="35"/>
      <c r="I776" s="35"/>
      <c r="J776" s="192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 spans="1:28">
      <c r="A777" s="35"/>
      <c r="B777" s="35"/>
      <c r="C777" s="193"/>
      <c r="D777" s="35"/>
      <c r="E777" s="35"/>
      <c r="F777" s="35"/>
      <c r="G777" s="35"/>
      <c r="H777" s="35"/>
      <c r="I777" s="35"/>
      <c r="J777" s="192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 spans="1:28">
      <c r="A778" s="35"/>
      <c r="B778" s="35"/>
      <c r="C778" s="193"/>
      <c r="D778" s="35"/>
      <c r="E778" s="35"/>
      <c r="F778" s="35"/>
      <c r="G778" s="35"/>
      <c r="H778" s="35"/>
      <c r="I778" s="35"/>
      <c r="J778" s="192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 spans="1:28">
      <c r="A779" s="35"/>
      <c r="B779" s="35"/>
      <c r="C779" s="193"/>
      <c r="D779" s="35"/>
      <c r="E779" s="35"/>
      <c r="F779" s="35"/>
      <c r="G779" s="35"/>
      <c r="H779" s="35"/>
      <c r="I779" s="35"/>
      <c r="J779" s="192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 spans="1:28">
      <c r="A780" s="35"/>
      <c r="B780" s="35"/>
      <c r="C780" s="193"/>
      <c r="D780" s="35"/>
      <c r="E780" s="35"/>
      <c r="F780" s="35"/>
      <c r="G780" s="35"/>
      <c r="H780" s="35"/>
      <c r="I780" s="35"/>
      <c r="J780" s="192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 spans="1:28">
      <c r="A781" s="35"/>
      <c r="B781" s="35"/>
      <c r="C781" s="193"/>
      <c r="D781" s="35"/>
      <c r="E781" s="35"/>
      <c r="F781" s="35"/>
      <c r="G781" s="35"/>
      <c r="H781" s="35"/>
      <c r="I781" s="35"/>
      <c r="J781" s="192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 spans="1:28">
      <c r="A782" s="35"/>
      <c r="B782" s="35"/>
      <c r="C782" s="193"/>
      <c r="D782" s="35"/>
      <c r="E782" s="35"/>
      <c r="F782" s="35"/>
      <c r="G782" s="35"/>
      <c r="H782" s="35"/>
      <c r="I782" s="35"/>
      <c r="J782" s="192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 spans="1:28">
      <c r="A783" s="35"/>
      <c r="B783" s="35"/>
      <c r="C783" s="193"/>
      <c r="D783" s="35"/>
      <c r="E783" s="35"/>
      <c r="F783" s="35"/>
      <c r="G783" s="35"/>
      <c r="H783" s="35"/>
      <c r="I783" s="35"/>
      <c r="J783" s="192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 spans="1:28">
      <c r="A784" s="35"/>
      <c r="B784" s="35"/>
      <c r="C784" s="193"/>
      <c r="D784" s="35"/>
      <c r="E784" s="35"/>
      <c r="F784" s="35"/>
      <c r="G784" s="35"/>
      <c r="H784" s="35"/>
      <c r="I784" s="35"/>
      <c r="J784" s="192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 spans="1:28">
      <c r="A785" s="35"/>
      <c r="B785" s="35"/>
      <c r="C785" s="193"/>
      <c r="D785" s="35"/>
      <c r="E785" s="35"/>
      <c r="F785" s="35"/>
      <c r="G785" s="35"/>
      <c r="H785" s="35"/>
      <c r="I785" s="35"/>
      <c r="J785" s="192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 spans="1:28">
      <c r="A786" s="35"/>
      <c r="B786" s="35"/>
      <c r="C786" s="193"/>
      <c r="D786" s="35"/>
      <c r="E786" s="35"/>
      <c r="F786" s="35"/>
      <c r="G786" s="35"/>
      <c r="H786" s="35"/>
      <c r="I786" s="35"/>
      <c r="J786" s="192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 spans="1:28">
      <c r="A787" s="35"/>
      <c r="B787" s="35"/>
      <c r="C787" s="193"/>
      <c r="D787" s="35"/>
      <c r="E787" s="35"/>
      <c r="F787" s="35"/>
      <c r="G787" s="35"/>
      <c r="H787" s="35"/>
      <c r="I787" s="35"/>
      <c r="J787" s="192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 spans="1:28">
      <c r="A788" s="35"/>
      <c r="B788" s="35"/>
      <c r="C788" s="193"/>
      <c r="D788" s="35"/>
      <c r="E788" s="35"/>
      <c r="F788" s="35"/>
      <c r="G788" s="35"/>
      <c r="H788" s="35"/>
      <c r="I788" s="35"/>
      <c r="J788" s="192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 spans="1:28">
      <c r="A789" s="35"/>
      <c r="B789" s="35"/>
      <c r="C789" s="193"/>
      <c r="D789" s="35"/>
      <c r="E789" s="35"/>
      <c r="F789" s="35"/>
      <c r="G789" s="35"/>
      <c r="H789" s="35"/>
      <c r="I789" s="35"/>
      <c r="J789" s="192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 spans="1:28">
      <c r="A790" s="35"/>
      <c r="B790" s="35"/>
      <c r="C790" s="193"/>
      <c r="D790" s="35"/>
      <c r="E790" s="35"/>
      <c r="F790" s="35"/>
      <c r="G790" s="35"/>
      <c r="H790" s="35"/>
      <c r="I790" s="35"/>
      <c r="J790" s="192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 spans="1:28">
      <c r="A791" s="35"/>
      <c r="B791" s="35"/>
      <c r="C791" s="193"/>
      <c r="D791" s="35"/>
      <c r="E791" s="35"/>
      <c r="F791" s="35"/>
      <c r="G791" s="35"/>
      <c r="H791" s="35"/>
      <c r="I791" s="35"/>
      <c r="J791" s="192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 spans="1:28">
      <c r="A792" s="35"/>
      <c r="B792" s="35"/>
      <c r="C792" s="193"/>
      <c r="D792" s="35"/>
      <c r="E792" s="35"/>
      <c r="F792" s="35"/>
      <c r="G792" s="35"/>
      <c r="H792" s="35"/>
      <c r="I792" s="35"/>
      <c r="J792" s="192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 spans="1:28">
      <c r="A793" s="35"/>
      <c r="B793" s="35"/>
      <c r="C793" s="193"/>
      <c r="D793" s="35"/>
      <c r="E793" s="35"/>
      <c r="F793" s="35"/>
      <c r="G793" s="35"/>
      <c r="H793" s="35"/>
      <c r="I793" s="35"/>
      <c r="J793" s="192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 spans="1:28">
      <c r="A794" s="35"/>
      <c r="B794" s="35"/>
      <c r="C794" s="193"/>
      <c r="D794" s="35"/>
      <c r="E794" s="35"/>
      <c r="F794" s="35"/>
      <c r="G794" s="35"/>
      <c r="H794" s="35"/>
      <c r="I794" s="35"/>
      <c r="J794" s="192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 spans="1:28">
      <c r="A795" s="35"/>
      <c r="B795" s="35"/>
      <c r="C795" s="193"/>
      <c r="D795" s="35"/>
      <c r="E795" s="35"/>
      <c r="F795" s="35"/>
      <c r="G795" s="35"/>
      <c r="H795" s="35"/>
      <c r="I795" s="35"/>
      <c r="J795" s="192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 spans="1:28">
      <c r="A796" s="35"/>
      <c r="B796" s="35"/>
      <c r="C796" s="193"/>
      <c r="D796" s="35"/>
      <c r="E796" s="35"/>
      <c r="F796" s="35"/>
      <c r="G796" s="35"/>
      <c r="H796" s="35"/>
      <c r="I796" s="35"/>
      <c r="J796" s="192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 spans="1:28">
      <c r="A797" s="35"/>
      <c r="B797" s="35"/>
      <c r="C797" s="193"/>
      <c r="D797" s="35"/>
      <c r="E797" s="35"/>
      <c r="F797" s="35"/>
      <c r="G797" s="35"/>
      <c r="H797" s="35"/>
      <c r="I797" s="35"/>
      <c r="J797" s="192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 spans="1:28">
      <c r="A798" s="35"/>
      <c r="B798" s="35"/>
      <c r="C798" s="193"/>
      <c r="D798" s="35"/>
      <c r="E798" s="35"/>
      <c r="F798" s="35"/>
      <c r="G798" s="35"/>
      <c r="H798" s="35"/>
      <c r="I798" s="35"/>
      <c r="J798" s="192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 spans="1:28">
      <c r="A799" s="35"/>
      <c r="B799" s="35"/>
      <c r="C799" s="193"/>
      <c r="D799" s="35"/>
      <c r="E799" s="35"/>
      <c r="F799" s="35"/>
      <c r="G799" s="35"/>
      <c r="H799" s="35"/>
      <c r="I799" s="35"/>
      <c r="J799" s="192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 spans="1:28">
      <c r="A800" s="35"/>
      <c r="B800" s="35"/>
      <c r="C800" s="193"/>
      <c r="D800" s="35"/>
      <c r="E800" s="35"/>
      <c r="F800" s="35"/>
      <c r="G800" s="35"/>
      <c r="H800" s="35"/>
      <c r="I800" s="35"/>
      <c r="J800" s="192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 spans="1:28">
      <c r="A801" s="35"/>
      <c r="B801" s="35"/>
      <c r="C801" s="193"/>
      <c r="D801" s="35"/>
      <c r="E801" s="35"/>
      <c r="F801" s="35"/>
      <c r="G801" s="35"/>
      <c r="H801" s="35"/>
      <c r="I801" s="35"/>
      <c r="J801" s="192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 spans="1:28">
      <c r="A802" s="35"/>
      <c r="B802" s="35"/>
      <c r="C802" s="193"/>
      <c r="D802" s="35"/>
      <c r="E802" s="35"/>
      <c r="F802" s="35"/>
      <c r="G802" s="35"/>
      <c r="H802" s="35"/>
      <c r="I802" s="35"/>
      <c r="J802" s="192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 spans="1:28">
      <c r="A803" s="35"/>
      <c r="B803" s="35"/>
      <c r="C803" s="193"/>
      <c r="D803" s="35"/>
      <c r="E803" s="35"/>
      <c r="F803" s="35"/>
      <c r="G803" s="35"/>
      <c r="H803" s="35"/>
      <c r="I803" s="35"/>
      <c r="J803" s="192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 spans="1:28">
      <c r="A804" s="35"/>
      <c r="B804" s="35"/>
      <c r="C804" s="193"/>
      <c r="D804" s="35"/>
      <c r="E804" s="35"/>
      <c r="F804" s="35"/>
      <c r="G804" s="35"/>
      <c r="H804" s="35"/>
      <c r="I804" s="35"/>
      <c r="J804" s="192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 spans="1:28">
      <c r="A805" s="35"/>
      <c r="B805" s="35"/>
      <c r="C805" s="193"/>
      <c r="D805" s="35"/>
      <c r="E805" s="35"/>
      <c r="F805" s="35"/>
      <c r="G805" s="35"/>
      <c r="H805" s="35"/>
      <c r="I805" s="35"/>
      <c r="J805" s="192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 spans="1:28">
      <c r="A806" s="35"/>
      <c r="B806" s="35"/>
      <c r="C806" s="193"/>
      <c r="D806" s="35"/>
      <c r="E806" s="35"/>
      <c r="F806" s="35"/>
      <c r="G806" s="35"/>
      <c r="H806" s="35"/>
      <c r="I806" s="35"/>
      <c r="J806" s="192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 spans="1:28">
      <c r="A807" s="35"/>
      <c r="B807" s="35"/>
      <c r="C807" s="193"/>
      <c r="D807" s="35"/>
      <c r="E807" s="35"/>
      <c r="F807" s="35"/>
      <c r="G807" s="35"/>
      <c r="H807" s="35"/>
      <c r="I807" s="35"/>
      <c r="J807" s="192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 spans="1:28">
      <c r="A808" s="35"/>
      <c r="B808" s="35"/>
      <c r="C808" s="193"/>
      <c r="D808" s="35"/>
      <c r="E808" s="35"/>
      <c r="F808" s="35"/>
      <c r="G808" s="35"/>
      <c r="H808" s="35"/>
      <c r="I808" s="35"/>
      <c r="J808" s="192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 spans="1:28">
      <c r="A809" s="35"/>
      <c r="B809" s="35"/>
      <c r="C809" s="193"/>
      <c r="D809" s="35"/>
      <c r="E809" s="35"/>
      <c r="F809" s="35"/>
      <c r="G809" s="35"/>
      <c r="H809" s="35"/>
      <c r="I809" s="35"/>
      <c r="J809" s="192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 spans="1:28">
      <c r="A810" s="35"/>
      <c r="B810" s="35"/>
      <c r="C810" s="193"/>
      <c r="D810" s="35"/>
      <c r="E810" s="35"/>
      <c r="F810" s="35"/>
      <c r="G810" s="35"/>
      <c r="H810" s="35"/>
      <c r="I810" s="35"/>
      <c r="J810" s="192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 spans="1:28">
      <c r="A811" s="35"/>
      <c r="B811" s="35"/>
      <c r="C811" s="193"/>
      <c r="D811" s="35"/>
      <c r="E811" s="35"/>
      <c r="F811" s="35"/>
      <c r="G811" s="35"/>
      <c r="H811" s="35"/>
      <c r="I811" s="35"/>
      <c r="J811" s="192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 spans="1:28">
      <c r="A812" s="35"/>
      <c r="B812" s="35"/>
      <c r="C812" s="193"/>
      <c r="D812" s="35"/>
      <c r="E812" s="35"/>
      <c r="F812" s="35"/>
      <c r="G812" s="35"/>
      <c r="H812" s="35"/>
      <c r="I812" s="35"/>
      <c r="J812" s="192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 spans="1:28">
      <c r="A813" s="35"/>
      <c r="B813" s="35"/>
      <c r="C813" s="193"/>
      <c r="D813" s="35"/>
      <c r="E813" s="35"/>
      <c r="F813" s="35"/>
      <c r="G813" s="35"/>
      <c r="H813" s="35"/>
      <c r="I813" s="35"/>
      <c r="J813" s="192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 spans="1:28">
      <c r="A814" s="35"/>
      <c r="B814" s="35"/>
      <c r="C814" s="193"/>
      <c r="D814" s="35"/>
      <c r="E814" s="35"/>
      <c r="F814" s="35"/>
      <c r="G814" s="35"/>
      <c r="H814" s="35"/>
      <c r="I814" s="35"/>
      <c r="J814" s="192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 spans="1:28">
      <c r="A815" s="35"/>
      <c r="B815" s="35"/>
      <c r="C815" s="193"/>
      <c r="D815" s="35"/>
      <c r="E815" s="35"/>
      <c r="F815" s="35"/>
      <c r="G815" s="35"/>
      <c r="H815" s="35"/>
      <c r="I815" s="35"/>
      <c r="J815" s="192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 spans="1:28">
      <c r="A816" s="35"/>
      <c r="B816" s="35"/>
      <c r="C816" s="193"/>
      <c r="D816" s="35"/>
      <c r="E816" s="35"/>
      <c r="F816" s="35"/>
      <c r="G816" s="35"/>
      <c r="H816" s="35"/>
      <c r="I816" s="35"/>
      <c r="J816" s="192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 spans="1:28">
      <c r="A817" s="35"/>
      <c r="B817" s="35"/>
      <c r="C817" s="193"/>
      <c r="D817" s="35"/>
      <c r="E817" s="35"/>
      <c r="F817" s="35"/>
      <c r="G817" s="35"/>
      <c r="H817" s="35"/>
      <c r="I817" s="35"/>
      <c r="J817" s="192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 spans="1:28">
      <c r="A818" s="35"/>
      <c r="B818" s="35"/>
      <c r="C818" s="193"/>
      <c r="D818" s="35"/>
      <c r="E818" s="35"/>
      <c r="F818" s="35"/>
      <c r="G818" s="35"/>
      <c r="H818" s="35"/>
      <c r="I818" s="35"/>
      <c r="J818" s="192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 spans="1:28">
      <c r="A819" s="35"/>
      <c r="B819" s="35"/>
      <c r="C819" s="193"/>
      <c r="D819" s="35"/>
      <c r="E819" s="35"/>
      <c r="F819" s="35"/>
      <c r="G819" s="35"/>
      <c r="H819" s="35"/>
      <c r="I819" s="35"/>
      <c r="J819" s="192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 spans="1:28">
      <c r="A820" s="35"/>
      <c r="B820" s="35"/>
      <c r="C820" s="193"/>
      <c r="D820" s="35"/>
      <c r="E820" s="35"/>
      <c r="F820" s="35"/>
      <c r="G820" s="35"/>
      <c r="H820" s="35"/>
      <c r="I820" s="35"/>
      <c r="J820" s="192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 spans="1:28">
      <c r="A821" s="35"/>
      <c r="B821" s="35"/>
      <c r="C821" s="193"/>
      <c r="D821" s="35"/>
      <c r="E821" s="35"/>
      <c r="F821" s="35"/>
      <c r="G821" s="35"/>
      <c r="H821" s="35"/>
      <c r="I821" s="35"/>
      <c r="J821" s="192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 spans="1:28">
      <c r="A822" s="35"/>
      <c r="B822" s="35"/>
      <c r="C822" s="193"/>
      <c r="D822" s="35"/>
      <c r="E822" s="35"/>
      <c r="F822" s="35"/>
      <c r="G822" s="35"/>
      <c r="H822" s="35"/>
      <c r="I822" s="35"/>
      <c r="J822" s="192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 spans="1:28">
      <c r="A823" s="35"/>
      <c r="B823" s="35"/>
      <c r="C823" s="193"/>
      <c r="D823" s="35"/>
      <c r="E823" s="35"/>
      <c r="F823" s="35"/>
      <c r="G823" s="35"/>
      <c r="H823" s="35"/>
      <c r="I823" s="35"/>
      <c r="J823" s="192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 spans="1:28">
      <c r="A824" s="35"/>
      <c r="B824" s="35"/>
      <c r="C824" s="193"/>
      <c r="D824" s="35"/>
      <c r="E824" s="35"/>
      <c r="F824" s="35"/>
      <c r="G824" s="35"/>
      <c r="H824" s="35"/>
      <c r="I824" s="35"/>
      <c r="J824" s="192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 spans="1:28">
      <c r="A825" s="35"/>
      <c r="B825" s="35"/>
      <c r="C825" s="193"/>
      <c r="D825" s="35"/>
      <c r="E825" s="35"/>
      <c r="F825" s="35"/>
      <c r="G825" s="35"/>
      <c r="H825" s="35"/>
      <c r="I825" s="35"/>
      <c r="J825" s="192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 spans="1:28">
      <c r="A826" s="35"/>
      <c r="B826" s="35"/>
      <c r="C826" s="193"/>
      <c r="D826" s="35"/>
      <c r="E826" s="35"/>
      <c r="F826" s="35"/>
      <c r="G826" s="35"/>
      <c r="H826" s="35"/>
      <c r="I826" s="35"/>
      <c r="J826" s="192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 spans="1:28">
      <c r="A827" s="35"/>
      <c r="B827" s="35"/>
      <c r="C827" s="193"/>
      <c r="D827" s="35"/>
      <c r="E827" s="35"/>
      <c r="F827" s="35"/>
      <c r="G827" s="35"/>
      <c r="H827" s="35"/>
      <c r="I827" s="35"/>
      <c r="J827" s="192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 spans="1:28">
      <c r="A828" s="35"/>
      <c r="B828" s="35"/>
      <c r="C828" s="193"/>
      <c r="D828" s="35"/>
      <c r="E828" s="35"/>
      <c r="F828" s="35"/>
      <c r="G828" s="35"/>
      <c r="H828" s="35"/>
      <c r="I828" s="35"/>
      <c r="J828" s="192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 spans="1:28">
      <c r="A829" s="35"/>
      <c r="B829" s="35"/>
      <c r="C829" s="193"/>
      <c r="D829" s="35"/>
      <c r="E829" s="35"/>
      <c r="F829" s="35"/>
      <c r="G829" s="35"/>
      <c r="H829" s="35"/>
      <c r="I829" s="35"/>
      <c r="J829" s="192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 spans="1:28">
      <c r="A830" s="35"/>
      <c r="B830" s="35"/>
      <c r="C830" s="193"/>
      <c r="D830" s="35"/>
      <c r="E830" s="35"/>
      <c r="F830" s="35"/>
      <c r="G830" s="35"/>
      <c r="H830" s="35"/>
      <c r="I830" s="35"/>
      <c r="J830" s="192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 spans="1:28">
      <c r="A831" s="35"/>
      <c r="B831" s="35"/>
      <c r="C831" s="193"/>
      <c r="D831" s="35"/>
      <c r="E831" s="35"/>
      <c r="F831" s="35"/>
      <c r="G831" s="35"/>
      <c r="H831" s="35"/>
      <c r="I831" s="35"/>
      <c r="J831" s="192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 spans="1:28">
      <c r="A832" s="35"/>
      <c r="B832" s="35"/>
      <c r="C832" s="193"/>
      <c r="D832" s="35"/>
      <c r="E832" s="35"/>
      <c r="F832" s="35"/>
      <c r="G832" s="35"/>
      <c r="H832" s="35"/>
      <c r="I832" s="35"/>
      <c r="J832" s="192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 spans="1:28">
      <c r="A833" s="35"/>
      <c r="B833" s="35"/>
      <c r="C833" s="193"/>
      <c r="D833" s="35"/>
      <c r="E833" s="35"/>
      <c r="F833" s="35"/>
      <c r="G833" s="35"/>
      <c r="H833" s="35"/>
      <c r="I833" s="35"/>
      <c r="J833" s="192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 spans="1:28">
      <c r="A834" s="35"/>
      <c r="B834" s="35"/>
      <c r="C834" s="193"/>
      <c r="D834" s="35"/>
      <c r="E834" s="35"/>
      <c r="F834" s="35"/>
      <c r="G834" s="35"/>
      <c r="H834" s="35"/>
      <c r="I834" s="35"/>
      <c r="J834" s="192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 spans="1:28">
      <c r="A835" s="35"/>
      <c r="B835" s="35"/>
      <c r="C835" s="193"/>
      <c r="D835" s="35"/>
      <c r="E835" s="35"/>
      <c r="F835" s="35"/>
      <c r="G835" s="35"/>
      <c r="H835" s="35"/>
      <c r="I835" s="35"/>
      <c r="J835" s="192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 spans="1:28">
      <c r="A836" s="35"/>
      <c r="B836" s="35"/>
      <c r="C836" s="193"/>
      <c r="D836" s="35"/>
      <c r="E836" s="35"/>
      <c r="F836" s="35"/>
      <c r="G836" s="35"/>
      <c r="H836" s="35"/>
      <c r="I836" s="35"/>
      <c r="J836" s="192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 spans="1:28">
      <c r="A837" s="35"/>
      <c r="B837" s="35"/>
      <c r="C837" s="193"/>
      <c r="D837" s="35"/>
      <c r="E837" s="35"/>
      <c r="F837" s="35"/>
      <c r="G837" s="35"/>
      <c r="H837" s="35"/>
      <c r="I837" s="35"/>
      <c r="J837" s="192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 spans="1:28">
      <c r="A838" s="35"/>
      <c r="B838" s="35"/>
      <c r="C838" s="193"/>
      <c r="D838" s="35"/>
      <c r="E838" s="35"/>
      <c r="F838" s="35"/>
      <c r="G838" s="35"/>
      <c r="H838" s="35"/>
      <c r="I838" s="35"/>
      <c r="J838" s="192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 spans="1:28">
      <c r="A839" s="35"/>
      <c r="B839" s="35"/>
      <c r="C839" s="193"/>
      <c r="D839" s="35"/>
      <c r="E839" s="35"/>
      <c r="F839" s="35"/>
      <c r="G839" s="35"/>
      <c r="H839" s="35"/>
      <c r="I839" s="35"/>
      <c r="J839" s="192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 spans="1:28">
      <c r="A840" s="35"/>
      <c r="B840" s="35"/>
      <c r="C840" s="193"/>
      <c r="D840" s="35"/>
      <c r="E840" s="35"/>
      <c r="F840" s="35"/>
      <c r="G840" s="35"/>
      <c r="H840" s="35"/>
      <c r="I840" s="35"/>
      <c r="J840" s="192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 spans="1:28">
      <c r="A841" s="35"/>
      <c r="B841" s="35"/>
      <c r="C841" s="193"/>
      <c r="D841" s="35"/>
      <c r="E841" s="35"/>
      <c r="F841" s="35"/>
      <c r="G841" s="35"/>
      <c r="H841" s="35"/>
      <c r="I841" s="35"/>
      <c r="J841" s="192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 spans="1:28">
      <c r="A842" s="35"/>
      <c r="B842" s="35"/>
      <c r="C842" s="193"/>
      <c r="D842" s="35"/>
      <c r="E842" s="35"/>
      <c r="F842" s="35"/>
      <c r="G842" s="35"/>
      <c r="H842" s="35"/>
      <c r="I842" s="35"/>
      <c r="J842" s="192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 spans="1:28">
      <c r="A843" s="35"/>
      <c r="B843" s="35"/>
      <c r="C843" s="193"/>
      <c r="D843" s="35"/>
      <c r="E843" s="35"/>
      <c r="F843" s="35"/>
      <c r="G843" s="35"/>
      <c r="H843" s="35"/>
      <c r="I843" s="35"/>
      <c r="J843" s="192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 spans="1:28">
      <c r="A844" s="35"/>
      <c r="B844" s="35"/>
      <c r="C844" s="193"/>
      <c r="D844" s="35"/>
      <c r="E844" s="35"/>
      <c r="F844" s="35"/>
      <c r="G844" s="35"/>
      <c r="H844" s="35"/>
      <c r="I844" s="35"/>
      <c r="J844" s="192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 spans="1:28">
      <c r="A845" s="35"/>
      <c r="B845" s="35"/>
      <c r="C845" s="193"/>
      <c r="D845" s="35"/>
      <c r="E845" s="35"/>
      <c r="F845" s="35"/>
      <c r="G845" s="35"/>
      <c r="H845" s="35"/>
      <c r="I845" s="35"/>
      <c r="J845" s="192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 spans="1:28">
      <c r="A846" s="35"/>
      <c r="B846" s="35"/>
      <c r="C846" s="193"/>
      <c r="D846" s="35"/>
      <c r="E846" s="35"/>
      <c r="F846" s="35"/>
      <c r="G846" s="35"/>
      <c r="H846" s="35"/>
      <c r="I846" s="35"/>
      <c r="J846" s="192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 spans="1:28">
      <c r="A847" s="35"/>
      <c r="B847" s="35"/>
      <c r="C847" s="193"/>
      <c r="D847" s="35"/>
      <c r="E847" s="35"/>
      <c r="F847" s="35"/>
      <c r="G847" s="35"/>
      <c r="H847" s="35"/>
      <c r="I847" s="35"/>
      <c r="J847" s="192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 spans="1:28">
      <c r="A848" s="35"/>
      <c r="B848" s="35"/>
      <c r="C848" s="193"/>
      <c r="D848" s="35"/>
      <c r="E848" s="35"/>
      <c r="F848" s="35"/>
      <c r="G848" s="35"/>
      <c r="H848" s="35"/>
      <c r="I848" s="35"/>
      <c r="J848" s="192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 spans="1:28">
      <c r="A849" s="35"/>
      <c r="B849" s="35"/>
      <c r="C849" s="193"/>
      <c r="D849" s="35"/>
      <c r="E849" s="35"/>
      <c r="F849" s="35"/>
      <c r="G849" s="35"/>
      <c r="H849" s="35"/>
      <c r="I849" s="35"/>
      <c r="J849" s="192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 spans="1:28">
      <c r="A850" s="35"/>
      <c r="B850" s="35"/>
      <c r="C850" s="193"/>
      <c r="D850" s="35"/>
      <c r="E850" s="35"/>
      <c r="F850" s="35"/>
      <c r="G850" s="35"/>
      <c r="H850" s="35"/>
      <c r="I850" s="35"/>
      <c r="J850" s="192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 spans="1:28">
      <c r="A851" s="35"/>
      <c r="B851" s="35"/>
      <c r="C851" s="193"/>
      <c r="D851" s="35"/>
      <c r="E851" s="35"/>
      <c r="F851" s="35"/>
      <c r="G851" s="35"/>
      <c r="H851" s="35"/>
      <c r="I851" s="35"/>
      <c r="J851" s="192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 spans="1:28">
      <c r="A852" s="35"/>
      <c r="B852" s="35"/>
      <c r="C852" s="193"/>
      <c r="D852" s="35"/>
      <c r="E852" s="35"/>
      <c r="F852" s="35"/>
      <c r="G852" s="35"/>
      <c r="H852" s="35"/>
      <c r="I852" s="35"/>
      <c r="J852" s="192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 spans="1:28">
      <c r="A853" s="35"/>
      <c r="B853" s="35"/>
      <c r="C853" s="193"/>
      <c r="D853" s="35"/>
      <c r="E853" s="35"/>
      <c r="F853" s="35"/>
      <c r="G853" s="35"/>
      <c r="H853" s="35"/>
      <c r="I853" s="35"/>
      <c r="J853" s="192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 spans="1:28">
      <c r="A854" s="35"/>
      <c r="B854" s="35"/>
      <c r="C854" s="193"/>
      <c r="D854" s="35"/>
      <c r="E854" s="35"/>
      <c r="F854" s="35"/>
      <c r="G854" s="35"/>
      <c r="H854" s="35"/>
      <c r="I854" s="35"/>
      <c r="J854" s="192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 spans="1:28">
      <c r="A855" s="35"/>
      <c r="B855" s="35"/>
      <c r="C855" s="193"/>
      <c r="D855" s="35"/>
      <c r="E855" s="35"/>
      <c r="F855" s="35"/>
      <c r="G855" s="35"/>
      <c r="H855" s="35"/>
      <c r="I855" s="35"/>
      <c r="J855" s="192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 spans="1:28">
      <c r="A856" s="35"/>
      <c r="B856" s="35"/>
      <c r="C856" s="193"/>
      <c r="D856" s="35"/>
      <c r="E856" s="35"/>
      <c r="F856" s="35"/>
      <c r="G856" s="35"/>
      <c r="H856" s="35"/>
      <c r="I856" s="35"/>
      <c r="J856" s="192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 spans="1:28">
      <c r="A857" s="35"/>
      <c r="B857" s="35"/>
      <c r="C857" s="193"/>
      <c r="D857" s="35"/>
      <c r="E857" s="35"/>
      <c r="F857" s="35"/>
      <c r="G857" s="35"/>
      <c r="H857" s="35"/>
      <c r="I857" s="35"/>
      <c r="J857" s="192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 spans="1:28">
      <c r="A858" s="35"/>
      <c r="B858" s="35"/>
      <c r="C858" s="193"/>
      <c r="D858" s="35"/>
      <c r="E858" s="35"/>
      <c r="F858" s="35"/>
      <c r="G858" s="35"/>
      <c r="H858" s="35"/>
      <c r="I858" s="35"/>
      <c r="J858" s="192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 spans="1:28">
      <c r="A859" s="35"/>
      <c r="B859" s="35"/>
      <c r="C859" s="193"/>
      <c r="D859" s="35"/>
      <c r="E859" s="35"/>
      <c r="F859" s="35"/>
      <c r="G859" s="35"/>
      <c r="H859" s="35"/>
      <c r="I859" s="35"/>
      <c r="J859" s="192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 spans="1:28">
      <c r="A860" s="35"/>
      <c r="B860" s="35"/>
      <c r="C860" s="193"/>
      <c r="D860" s="35"/>
      <c r="E860" s="35"/>
      <c r="F860" s="35"/>
      <c r="G860" s="35"/>
      <c r="H860" s="35"/>
      <c r="I860" s="35"/>
      <c r="J860" s="192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 spans="1:28">
      <c r="A861" s="35"/>
      <c r="B861" s="35"/>
      <c r="C861" s="193"/>
      <c r="D861" s="35"/>
      <c r="E861" s="35"/>
      <c r="F861" s="35"/>
      <c r="G861" s="35"/>
      <c r="H861" s="35"/>
      <c r="I861" s="35"/>
      <c r="J861" s="192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 spans="1:28">
      <c r="A862" s="35"/>
      <c r="B862" s="35"/>
      <c r="C862" s="193"/>
      <c r="D862" s="35"/>
      <c r="E862" s="35"/>
      <c r="F862" s="35"/>
      <c r="G862" s="35"/>
      <c r="H862" s="35"/>
      <c r="I862" s="35"/>
      <c r="J862" s="192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 spans="1:28">
      <c r="A863" s="35"/>
      <c r="B863" s="35"/>
      <c r="C863" s="193"/>
      <c r="D863" s="35"/>
      <c r="E863" s="35"/>
      <c r="F863" s="35"/>
      <c r="G863" s="35"/>
      <c r="H863" s="35"/>
      <c r="I863" s="35"/>
      <c r="J863" s="192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 spans="1:28">
      <c r="A864" s="35"/>
      <c r="B864" s="35"/>
      <c r="C864" s="193"/>
      <c r="D864" s="35"/>
      <c r="E864" s="35"/>
      <c r="F864" s="35"/>
      <c r="G864" s="35"/>
      <c r="H864" s="35"/>
      <c r="I864" s="35"/>
      <c r="J864" s="192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 spans="1:28">
      <c r="A865" s="35"/>
      <c r="B865" s="35"/>
      <c r="C865" s="193"/>
      <c r="D865" s="35"/>
      <c r="E865" s="35"/>
      <c r="F865" s="35"/>
      <c r="G865" s="35"/>
      <c r="H865" s="35"/>
      <c r="I865" s="35"/>
      <c r="J865" s="192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 spans="1:28">
      <c r="A866" s="35"/>
      <c r="B866" s="35"/>
      <c r="C866" s="193"/>
      <c r="D866" s="35"/>
      <c r="E866" s="35"/>
      <c r="F866" s="35"/>
      <c r="G866" s="35"/>
      <c r="H866" s="35"/>
      <c r="I866" s="35"/>
      <c r="J866" s="192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 spans="1:28">
      <c r="A867" s="35"/>
      <c r="B867" s="35"/>
      <c r="C867" s="193"/>
      <c r="D867" s="35"/>
      <c r="E867" s="35"/>
      <c r="F867" s="35"/>
      <c r="G867" s="35"/>
      <c r="H867" s="35"/>
      <c r="I867" s="35"/>
      <c r="J867" s="192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 spans="1:28">
      <c r="A868" s="35"/>
      <c r="B868" s="35"/>
      <c r="C868" s="193"/>
      <c r="D868" s="35"/>
      <c r="E868" s="35"/>
      <c r="F868" s="35"/>
      <c r="G868" s="35"/>
      <c r="H868" s="35"/>
      <c r="I868" s="35"/>
      <c r="J868" s="192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 spans="1:28">
      <c r="A869" s="35"/>
      <c r="B869" s="35"/>
      <c r="C869" s="193"/>
      <c r="D869" s="35"/>
      <c r="E869" s="35"/>
      <c r="F869" s="35"/>
      <c r="G869" s="35"/>
      <c r="H869" s="35"/>
      <c r="I869" s="35"/>
      <c r="J869" s="192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 spans="1:28">
      <c r="A870" s="35"/>
      <c r="B870" s="35"/>
      <c r="C870" s="193"/>
      <c r="D870" s="35"/>
      <c r="E870" s="35"/>
      <c r="F870" s="35"/>
      <c r="G870" s="35"/>
      <c r="H870" s="35"/>
      <c r="I870" s="35"/>
      <c r="J870" s="192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 spans="1:28">
      <c r="A871" s="35"/>
      <c r="B871" s="35"/>
      <c r="C871" s="193"/>
      <c r="D871" s="35"/>
      <c r="E871" s="35"/>
      <c r="F871" s="35"/>
      <c r="G871" s="35"/>
      <c r="H871" s="35"/>
      <c r="I871" s="35"/>
      <c r="J871" s="192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 spans="1:28">
      <c r="A872" s="35"/>
      <c r="B872" s="35"/>
      <c r="C872" s="193"/>
      <c r="D872" s="35"/>
      <c r="E872" s="35"/>
      <c r="F872" s="35"/>
      <c r="G872" s="35"/>
      <c r="H872" s="35"/>
      <c r="I872" s="35"/>
      <c r="J872" s="192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 spans="1:28">
      <c r="A873" s="35"/>
      <c r="B873" s="35"/>
      <c r="C873" s="193"/>
      <c r="D873" s="35"/>
      <c r="E873" s="35"/>
      <c r="F873" s="35"/>
      <c r="G873" s="35"/>
      <c r="H873" s="35"/>
      <c r="I873" s="35"/>
      <c r="J873" s="192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 spans="1:28">
      <c r="A874" s="35"/>
      <c r="B874" s="35"/>
      <c r="C874" s="193"/>
      <c r="D874" s="35"/>
      <c r="E874" s="35"/>
      <c r="F874" s="35"/>
      <c r="G874" s="35"/>
      <c r="H874" s="35"/>
      <c r="I874" s="35"/>
      <c r="J874" s="192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 spans="1:28">
      <c r="A875" s="35"/>
      <c r="B875" s="35"/>
      <c r="C875" s="193"/>
      <c r="D875" s="35"/>
      <c r="E875" s="35"/>
      <c r="F875" s="35"/>
      <c r="G875" s="35"/>
      <c r="H875" s="35"/>
      <c r="I875" s="35"/>
      <c r="J875" s="192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 spans="1:28">
      <c r="A876" s="35"/>
      <c r="B876" s="35"/>
      <c r="C876" s="193"/>
      <c r="D876" s="35"/>
      <c r="E876" s="35"/>
      <c r="F876" s="35"/>
      <c r="G876" s="35"/>
      <c r="H876" s="35"/>
      <c r="I876" s="35"/>
      <c r="J876" s="192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 spans="1:28">
      <c r="A877" s="35"/>
      <c r="B877" s="35"/>
      <c r="C877" s="193"/>
      <c r="D877" s="35"/>
      <c r="E877" s="35"/>
      <c r="F877" s="35"/>
      <c r="G877" s="35"/>
      <c r="H877" s="35"/>
      <c r="I877" s="35"/>
      <c r="J877" s="192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 spans="1:28">
      <c r="A878" s="35"/>
      <c r="B878" s="35"/>
      <c r="C878" s="193"/>
      <c r="D878" s="35"/>
      <c r="E878" s="35"/>
      <c r="F878" s="35"/>
      <c r="G878" s="35"/>
      <c r="H878" s="35"/>
      <c r="I878" s="35"/>
      <c r="J878" s="192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 spans="1:28">
      <c r="A879" s="35"/>
      <c r="B879" s="35"/>
      <c r="C879" s="193"/>
      <c r="D879" s="35"/>
      <c r="E879" s="35"/>
      <c r="F879" s="35"/>
      <c r="G879" s="35"/>
      <c r="H879" s="35"/>
      <c r="I879" s="35"/>
      <c r="J879" s="192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 spans="1:28">
      <c r="A880" s="35"/>
      <c r="B880" s="35"/>
      <c r="C880" s="193"/>
      <c r="D880" s="35"/>
      <c r="E880" s="35"/>
      <c r="F880" s="35"/>
      <c r="G880" s="35"/>
      <c r="H880" s="35"/>
      <c r="I880" s="35"/>
      <c r="J880" s="192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 spans="1:28">
      <c r="A881" s="35"/>
      <c r="B881" s="35"/>
      <c r="C881" s="193"/>
      <c r="D881" s="35"/>
      <c r="E881" s="35"/>
      <c r="F881" s="35"/>
      <c r="G881" s="35"/>
      <c r="H881" s="35"/>
      <c r="I881" s="35"/>
      <c r="J881" s="192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 spans="1:28">
      <c r="A882" s="35"/>
      <c r="B882" s="35"/>
      <c r="C882" s="193"/>
      <c r="D882" s="35"/>
      <c r="E882" s="35"/>
      <c r="F882" s="35"/>
      <c r="G882" s="35"/>
      <c r="H882" s="35"/>
      <c r="I882" s="35"/>
      <c r="J882" s="192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 spans="1:28">
      <c r="A883" s="35"/>
      <c r="B883" s="35"/>
      <c r="C883" s="193"/>
      <c r="D883" s="35"/>
      <c r="E883" s="35"/>
      <c r="F883" s="35"/>
      <c r="G883" s="35"/>
      <c r="H883" s="35"/>
      <c r="I883" s="35"/>
      <c r="J883" s="192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 spans="1:28">
      <c r="A884" s="35"/>
      <c r="B884" s="35"/>
      <c r="C884" s="193"/>
      <c r="D884" s="35"/>
      <c r="E884" s="35"/>
      <c r="F884" s="35"/>
      <c r="G884" s="35"/>
      <c r="H884" s="35"/>
      <c r="I884" s="35"/>
      <c r="J884" s="192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 spans="1:28">
      <c r="A885" s="35"/>
      <c r="B885" s="35"/>
      <c r="C885" s="193"/>
      <c r="D885" s="35"/>
      <c r="E885" s="35"/>
      <c r="F885" s="35"/>
      <c r="G885" s="35"/>
      <c r="H885" s="35"/>
      <c r="I885" s="35"/>
      <c r="J885" s="192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 spans="1:28">
      <c r="A886" s="35"/>
      <c r="B886" s="35"/>
      <c r="C886" s="193"/>
      <c r="D886" s="35"/>
      <c r="E886" s="35"/>
      <c r="F886" s="35"/>
      <c r="G886" s="35"/>
      <c r="H886" s="35"/>
      <c r="I886" s="35"/>
      <c r="J886" s="192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 spans="1:28">
      <c r="A887" s="35"/>
      <c r="B887" s="35"/>
      <c r="C887" s="193"/>
      <c r="D887" s="35"/>
      <c r="E887" s="35"/>
      <c r="F887" s="35"/>
      <c r="G887" s="35"/>
      <c r="H887" s="35"/>
      <c r="I887" s="35"/>
      <c r="J887" s="192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 spans="1:28">
      <c r="A888" s="35"/>
      <c r="B888" s="35"/>
      <c r="C888" s="193"/>
      <c r="D888" s="35"/>
      <c r="E888" s="35"/>
      <c r="F888" s="35"/>
      <c r="G888" s="35"/>
      <c r="H888" s="35"/>
      <c r="I888" s="35"/>
      <c r="J888" s="192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 spans="1:28">
      <c r="A889" s="35"/>
      <c r="B889" s="35"/>
      <c r="C889" s="193"/>
      <c r="D889" s="35"/>
      <c r="E889" s="35"/>
      <c r="F889" s="35"/>
      <c r="G889" s="35"/>
      <c r="H889" s="35"/>
      <c r="I889" s="35"/>
      <c r="J889" s="192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 spans="1:28">
      <c r="A890" s="35"/>
      <c r="B890" s="35"/>
      <c r="C890" s="193"/>
      <c r="D890" s="35"/>
      <c r="E890" s="35"/>
      <c r="F890" s="35"/>
      <c r="G890" s="35"/>
      <c r="H890" s="35"/>
      <c r="I890" s="35"/>
      <c r="J890" s="192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 spans="1:28">
      <c r="A891" s="35"/>
      <c r="B891" s="35"/>
      <c r="C891" s="193"/>
      <c r="D891" s="35"/>
      <c r="E891" s="35"/>
      <c r="F891" s="35"/>
      <c r="G891" s="35"/>
      <c r="H891" s="35"/>
      <c r="I891" s="35"/>
      <c r="J891" s="192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 spans="1:28">
      <c r="A892" s="35"/>
      <c r="B892" s="35"/>
      <c r="C892" s="193"/>
      <c r="D892" s="35"/>
      <c r="E892" s="35"/>
      <c r="F892" s="35"/>
      <c r="G892" s="35"/>
      <c r="H892" s="35"/>
      <c r="I892" s="35"/>
      <c r="J892" s="192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 spans="1:28">
      <c r="A893" s="35"/>
      <c r="B893" s="35"/>
      <c r="C893" s="193"/>
      <c r="D893" s="35"/>
      <c r="E893" s="35"/>
      <c r="F893" s="35"/>
      <c r="G893" s="35"/>
      <c r="H893" s="35"/>
      <c r="I893" s="35"/>
      <c r="J893" s="192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 spans="1:28">
      <c r="A894" s="35"/>
      <c r="B894" s="35"/>
      <c r="C894" s="193"/>
      <c r="D894" s="35"/>
      <c r="E894" s="35"/>
      <c r="F894" s="35"/>
      <c r="G894" s="35"/>
      <c r="H894" s="35"/>
      <c r="I894" s="35"/>
      <c r="J894" s="192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 spans="1:28">
      <c r="A895" s="35"/>
      <c r="B895" s="35"/>
      <c r="C895" s="193"/>
      <c r="D895" s="35"/>
      <c r="E895" s="35"/>
      <c r="F895" s="35"/>
      <c r="G895" s="35"/>
      <c r="H895" s="35"/>
      <c r="I895" s="35"/>
      <c r="J895" s="192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 spans="1:28">
      <c r="A896" s="35"/>
      <c r="B896" s="35"/>
      <c r="C896" s="193"/>
      <c r="D896" s="35"/>
      <c r="E896" s="35"/>
      <c r="F896" s="35"/>
      <c r="G896" s="35"/>
      <c r="H896" s="35"/>
      <c r="I896" s="35"/>
      <c r="J896" s="192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 spans="1:28">
      <c r="A897" s="35"/>
      <c r="B897" s="35"/>
      <c r="C897" s="193"/>
      <c r="D897" s="35"/>
      <c r="E897" s="35"/>
      <c r="F897" s="35"/>
      <c r="G897" s="35"/>
      <c r="H897" s="35"/>
      <c r="I897" s="35"/>
      <c r="J897" s="192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 spans="1:28">
      <c r="A898" s="35"/>
      <c r="B898" s="35"/>
      <c r="C898" s="193"/>
      <c r="D898" s="35"/>
      <c r="E898" s="35"/>
      <c r="F898" s="35"/>
      <c r="G898" s="35"/>
      <c r="H898" s="35"/>
      <c r="I898" s="35"/>
      <c r="J898" s="192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 spans="1:28">
      <c r="A899" s="35"/>
      <c r="B899" s="35"/>
      <c r="C899" s="193"/>
      <c r="D899" s="35"/>
      <c r="E899" s="35"/>
      <c r="F899" s="35"/>
      <c r="G899" s="35"/>
      <c r="H899" s="35"/>
      <c r="I899" s="35"/>
      <c r="J899" s="192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 spans="1:28">
      <c r="A900" s="35"/>
      <c r="B900" s="35"/>
      <c r="C900" s="193"/>
      <c r="D900" s="35"/>
      <c r="E900" s="35"/>
      <c r="F900" s="35"/>
      <c r="G900" s="35"/>
      <c r="H900" s="35"/>
      <c r="I900" s="35"/>
      <c r="J900" s="192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 spans="1:28">
      <c r="A901" s="35"/>
      <c r="B901" s="35"/>
      <c r="C901" s="193"/>
      <c r="D901" s="35"/>
      <c r="E901" s="35"/>
      <c r="F901" s="35"/>
      <c r="G901" s="35"/>
      <c r="H901" s="35"/>
      <c r="I901" s="35"/>
      <c r="J901" s="192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 spans="1:28">
      <c r="A902" s="35"/>
      <c r="B902" s="35"/>
      <c r="C902" s="193"/>
      <c r="D902" s="35"/>
      <c r="E902" s="35"/>
      <c r="F902" s="35"/>
      <c r="G902" s="35"/>
      <c r="H902" s="35"/>
      <c r="I902" s="35"/>
      <c r="J902" s="192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 spans="1:28">
      <c r="A903" s="35"/>
      <c r="B903" s="35"/>
      <c r="C903" s="193"/>
      <c r="D903" s="35"/>
      <c r="E903" s="35"/>
      <c r="F903" s="35"/>
      <c r="G903" s="35"/>
      <c r="H903" s="35"/>
      <c r="I903" s="35"/>
      <c r="J903" s="192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 spans="1:28">
      <c r="A904" s="35"/>
      <c r="B904" s="35"/>
      <c r="C904" s="193"/>
      <c r="D904" s="35"/>
      <c r="E904" s="35"/>
      <c r="F904" s="35"/>
      <c r="G904" s="35"/>
      <c r="H904" s="35"/>
      <c r="I904" s="35"/>
      <c r="J904" s="192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 spans="1:28">
      <c r="A905" s="35"/>
      <c r="B905" s="35"/>
      <c r="C905" s="193"/>
      <c r="D905" s="35"/>
      <c r="E905" s="35"/>
      <c r="F905" s="35"/>
      <c r="G905" s="35"/>
      <c r="H905" s="35"/>
      <c r="I905" s="35"/>
      <c r="J905" s="192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 spans="1:28">
      <c r="A906" s="35"/>
      <c r="B906" s="35"/>
      <c r="C906" s="193"/>
      <c r="D906" s="35"/>
      <c r="E906" s="35"/>
      <c r="F906" s="35"/>
      <c r="G906" s="35"/>
      <c r="H906" s="35"/>
      <c r="I906" s="35"/>
      <c r="J906" s="192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 spans="1:28">
      <c r="A907" s="35"/>
      <c r="B907" s="35"/>
      <c r="C907" s="193"/>
      <c r="D907" s="35"/>
      <c r="E907" s="35"/>
      <c r="F907" s="35"/>
      <c r="G907" s="35"/>
      <c r="H907" s="35"/>
      <c r="I907" s="35"/>
      <c r="J907" s="192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 spans="1:28">
      <c r="A908" s="35"/>
      <c r="B908" s="35"/>
      <c r="C908" s="193"/>
      <c r="D908" s="35"/>
      <c r="E908" s="35"/>
      <c r="F908" s="35"/>
      <c r="G908" s="35"/>
      <c r="H908" s="35"/>
      <c r="I908" s="35"/>
      <c r="J908" s="192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 spans="1:28">
      <c r="A909" s="35"/>
      <c r="B909" s="35"/>
      <c r="C909" s="193"/>
      <c r="D909" s="35"/>
      <c r="E909" s="35"/>
      <c r="F909" s="35"/>
      <c r="G909" s="35"/>
      <c r="H909" s="35"/>
      <c r="I909" s="35"/>
      <c r="J909" s="192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 spans="1:28">
      <c r="A910" s="35"/>
      <c r="B910" s="35"/>
      <c r="C910" s="193"/>
      <c r="D910" s="35"/>
      <c r="E910" s="35"/>
      <c r="F910" s="35"/>
      <c r="G910" s="35"/>
      <c r="H910" s="35"/>
      <c r="I910" s="35"/>
      <c r="J910" s="192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 spans="1:28">
      <c r="A911" s="35"/>
      <c r="B911" s="35"/>
      <c r="C911" s="193"/>
      <c r="D911" s="35"/>
      <c r="E911" s="35"/>
      <c r="F911" s="35"/>
      <c r="G911" s="35"/>
      <c r="H911" s="35"/>
      <c r="I911" s="35"/>
      <c r="J911" s="192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 spans="1:28">
      <c r="A912" s="35"/>
      <c r="B912" s="35"/>
      <c r="C912" s="193"/>
      <c r="D912" s="35"/>
      <c r="E912" s="35"/>
      <c r="F912" s="35"/>
      <c r="G912" s="35"/>
      <c r="H912" s="35"/>
      <c r="I912" s="35"/>
      <c r="J912" s="192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 spans="1:28">
      <c r="A913" s="35"/>
      <c r="B913" s="35"/>
      <c r="C913" s="193"/>
      <c r="D913" s="35"/>
      <c r="E913" s="35"/>
      <c r="F913" s="35"/>
      <c r="G913" s="35"/>
      <c r="H913" s="35"/>
      <c r="I913" s="35"/>
      <c r="J913" s="192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 spans="1:28">
      <c r="A914" s="35"/>
      <c r="B914" s="35"/>
      <c r="C914" s="193"/>
      <c r="D914" s="35"/>
      <c r="E914" s="35"/>
      <c r="F914" s="35"/>
      <c r="G914" s="35"/>
      <c r="H914" s="35"/>
      <c r="I914" s="35"/>
      <c r="J914" s="192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 spans="1:28">
      <c r="A915" s="35"/>
      <c r="B915" s="35"/>
      <c r="C915" s="193"/>
      <c r="D915" s="35"/>
      <c r="E915" s="35"/>
      <c r="F915" s="35"/>
      <c r="G915" s="35"/>
      <c r="H915" s="35"/>
      <c r="I915" s="35"/>
      <c r="J915" s="192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 spans="1:28">
      <c r="A916" s="35"/>
      <c r="B916" s="35"/>
      <c r="C916" s="193"/>
      <c r="D916" s="35"/>
      <c r="E916" s="35"/>
      <c r="F916" s="35"/>
      <c r="G916" s="35"/>
      <c r="H916" s="35"/>
      <c r="I916" s="35"/>
      <c r="J916" s="192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 spans="1:28">
      <c r="A917" s="35"/>
      <c r="B917" s="35"/>
      <c r="C917" s="193"/>
      <c r="D917" s="35"/>
      <c r="E917" s="35"/>
      <c r="F917" s="35"/>
      <c r="G917" s="35"/>
      <c r="H917" s="35"/>
      <c r="I917" s="35"/>
      <c r="J917" s="192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 spans="1:28">
      <c r="A918" s="35"/>
      <c r="B918" s="35"/>
      <c r="C918" s="193"/>
      <c r="D918" s="35"/>
      <c r="E918" s="35"/>
      <c r="F918" s="35"/>
      <c r="G918" s="35"/>
      <c r="H918" s="35"/>
      <c r="I918" s="35"/>
      <c r="J918" s="192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 spans="1:28">
      <c r="A919" s="35"/>
      <c r="B919" s="35"/>
      <c r="C919" s="193"/>
      <c r="D919" s="35"/>
      <c r="E919" s="35"/>
      <c r="F919" s="35"/>
      <c r="G919" s="35"/>
      <c r="H919" s="35"/>
      <c r="I919" s="35"/>
      <c r="J919" s="192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 spans="1:28">
      <c r="A920" s="35"/>
      <c r="B920" s="35"/>
      <c r="C920" s="193"/>
      <c r="D920" s="35"/>
      <c r="E920" s="35"/>
      <c r="F920" s="35"/>
      <c r="G920" s="35"/>
      <c r="H920" s="35"/>
      <c r="I920" s="35"/>
      <c r="J920" s="192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 spans="1:28">
      <c r="A921" s="35"/>
      <c r="B921" s="35"/>
      <c r="C921" s="193"/>
      <c r="D921" s="35"/>
      <c r="E921" s="35"/>
      <c r="F921" s="35"/>
      <c r="G921" s="35"/>
      <c r="H921" s="35"/>
      <c r="I921" s="35"/>
      <c r="J921" s="192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 spans="1:28">
      <c r="A922" s="35"/>
      <c r="B922" s="35"/>
      <c r="C922" s="193"/>
      <c r="D922" s="35"/>
      <c r="E922" s="35"/>
      <c r="F922" s="35"/>
      <c r="G922" s="35"/>
      <c r="H922" s="35"/>
      <c r="I922" s="35"/>
      <c r="J922" s="192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 spans="1:28">
      <c r="A923" s="35"/>
      <c r="B923" s="35"/>
      <c r="C923" s="193"/>
      <c r="D923" s="35"/>
      <c r="E923" s="35"/>
      <c r="F923" s="35"/>
      <c r="G923" s="35"/>
      <c r="H923" s="35"/>
      <c r="I923" s="35"/>
      <c r="J923" s="192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 spans="1:28">
      <c r="A924" s="35"/>
      <c r="B924" s="35"/>
      <c r="C924" s="193"/>
      <c r="D924" s="35"/>
      <c r="E924" s="35"/>
      <c r="F924" s="35"/>
      <c r="G924" s="35"/>
      <c r="H924" s="35"/>
      <c r="I924" s="35"/>
      <c r="J924" s="192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 spans="1:28">
      <c r="A925" s="35"/>
      <c r="B925" s="35"/>
      <c r="C925" s="193"/>
      <c r="D925" s="35"/>
      <c r="E925" s="35"/>
      <c r="F925" s="35"/>
      <c r="G925" s="35"/>
      <c r="H925" s="35"/>
      <c r="I925" s="35"/>
      <c r="J925" s="192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 spans="1:28">
      <c r="A926" s="35"/>
      <c r="B926" s="35"/>
      <c r="C926" s="193"/>
      <c r="D926" s="35"/>
      <c r="E926" s="35"/>
      <c r="F926" s="35"/>
      <c r="G926" s="35"/>
      <c r="H926" s="35"/>
      <c r="I926" s="35"/>
      <c r="J926" s="192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 spans="1:28">
      <c r="A927" s="35"/>
      <c r="B927" s="35"/>
      <c r="C927" s="193"/>
      <c r="D927" s="35"/>
      <c r="E927" s="35"/>
      <c r="F927" s="35"/>
      <c r="G927" s="35"/>
      <c r="H927" s="35"/>
      <c r="I927" s="35"/>
      <c r="J927" s="192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 spans="1:28">
      <c r="A928" s="35"/>
      <c r="B928" s="35"/>
      <c r="C928" s="193"/>
      <c r="D928" s="35"/>
      <c r="E928" s="35"/>
      <c r="F928" s="35"/>
      <c r="G928" s="35"/>
      <c r="H928" s="35"/>
      <c r="I928" s="35"/>
      <c r="J928" s="192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 spans="1:28">
      <c r="A929" s="35"/>
      <c r="B929" s="35"/>
      <c r="C929" s="193"/>
      <c r="D929" s="35"/>
      <c r="E929" s="35"/>
      <c r="F929" s="35"/>
      <c r="G929" s="35"/>
      <c r="H929" s="35"/>
      <c r="I929" s="35"/>
      <c r="J929" s="192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 spans="1:28">
      <c r="A930" s="35"/>
      <c r="B930" s="35"/>
      <c r="C930" s="193"/>
      <c r="D930" s="35"/>
      <c r="E930" s="35"/>
      <c r="F930" s="35"/>
      <c r="G930" s="35"/>
      <c r="H930" s="35"/>
      <c r="I930" s="35"/>
      <c r="J930" s="192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 spans="1:28">
      <c r="A931" s="35"/>
      <c r="B931" s="35"/>
      <c r="C931" s="193"/>
      <c r="D931" s="35"/>
      <c r="E931" s="35"/>
      <c r="F931" s="35"/>
      <c r="G931" s="35"/>
      <c r="H931" s="35"/>
      <c r="I931" s="35"/>
      <c r="J931" s="192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 spans="1:28">
      <c r="A932" s="35"/>
      <c r="B932" s="35"/>
      <c r="C932" s="193"/>
      <c r="D932" s="35"/>
      <c r="E932" s="35"/>
      <c r="F932" s="35"/>
      <c r="G932" s="35"/>
      <c r="H932" s="35"/>
      <c r="I932" s="35"/>
      <c r="J932" s="192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 spans="1:28">
      <c r="A933" s="35"/>
      <c r="B933" s="35"/>
      <c r="C933" s="193"/>
      <c r="D933" s="35"/>
      <c r="E933" s="35"/>
      <c r="F933" s="35"/>
      <c r="G933" s="35"/>
      <c r="H933" s="35"/>
      <c r="I933" s="35"/>
      <c r="J933" s="192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 spans="1:28">
      <c r="A934" s="35"/>
      <c r="B934" s="35"/>
      <c r="C934" s="193"/>
      <c r="D934" s="35"/>
      <c r="E934" s="35"/>
      <c r="F934" s="35"/>
      <c r="G934" s="35"/>
      <c r="H934" s="35"/>
      <c r="I934" s="35"/>
      <c r="J934" s="192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 spans="1:28">
      <c r="A935" s="35"/>
      <c r="B935" s="35"/>
      <c r="C935" s="193"/>
      <c r="D935" s="35"/>
      <c r="E935" s="35"/>
      <c r="F935" s="35"/>
      <c r="G935" s="35"/>
      <c r="H935" s="35"/>
      <c r="I935" s="35"/>
      <c r="J935" s="192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 spans="1:28">
      <c r="A936" s="35"/>
      <c r="B936" s="35"/>
      <c r="C936" s="193"/>
      <c r="D936" s="35"/>
      <c r="E936" s="35"/>
      <c r="F936" s="35"/>
      <c r="G936" s="35"/>
      <c r="H936" s="35"/>
      <c r="I936" s="35"/>
      <c r="J936" s="192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 spans="1:28">
      <c r="A937" s="35"/>
      <c r="B937" s="35"/>
      <c r="C937" s="193"/>
      <c r="D937" s="35"/>
      <c r="E937" s="35"/>
      <c r="F937" s="35"/>
      <c r="G937" s="35"/>
      <c r="H937" s="35"/>
      <c r="I937" s="35"/>
      <c r="J937" s="192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 spans="1:28">
      <c r="A938" s="35"/>
      <c r="B938" s="35"/>
      <c r="C938" s="193"/>
      <c r="D938" s="35"/>
      <c r="E938" s="35"/>
      <c r="F938" s="35"/>
      <c r="G938" s="35"/>
      <c r="H938" s="35"/>
      <c r="I938" s="35"/>
      <c r="J938" s="192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 spans="1:28">
      <c r="A939" s="35"/>
      <c r="B939" s="35"/>
      <c r="C939" s="193"/>
      <c r="D939" s="35"/>
      <c r="E939" s="35"/>
      <c r="F939" s="35"/>
      <c r="G939" s="35"/>
      <c r="H939" s="35"/>
      <c r="I939" s="35"/>
      <c r="J939" s="192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 spans="1:28">
      <c r="A940" s="35"/>
      <c r="B940" s="35"/>
      <c r="C940" s="193"/>
      <c r="D940" s="35"/>
      <c r="E940" s="35"/>
      <c r="F940" s="35"/>
      <c r="G940" s="35"/>
      <c r="H940" s="35"/>
      <c r="I940" s="35"/>
      <c r="J940" s="192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 spans="1:28">
      <c r="A941" s="35"/>
      <c r="B941" s="35"/>
      <c r="C941" s="193"/>
      <c r="D941" s="35"/>
      <c r="E941" s="35"/>
      <c r="F941" s="35"/>
      <c r="G941" s="35"/>
      <c r="H941" s="35"/>
      <c r="I941" s="35"/>
      <c r="J941" s="192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 spans="1:28">
      <c r="A942" s="35"/>
      <c r="B942" s="35"/>
      <c r="C942" s="193"/>
      <c r="D942" s="35"/>
      <c r="E942" s="35"/>
      <c r="F942" s="35"/>
      <c r="G942" s="35"/>
      <c r="H942" s="35"/>
      <c r="I942" s="35"/>
      <c r="J942" s="192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 spans="1:28">
      <c r="A943" s="35"/>
      <c r="B943" s="35"/>
      <c r="C943" s="193"/>
      <c r="D943" s="35"/>
      <c r="E943" s="35"/>
      <c r="F943" s="35"/>
      <c r="G943" s="35"/>
      <c r="H943" s="35"/>
      <c r="I943" s="35"/>
      <c r="J943" s="192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 spans="1:28">
      <c r="A944" s="35"/>
      <c r="B944" s="35"/>
      <c r="C944" s="193"/>
      <c r="D944" s="35"/>
      <c r="E944" s="35"/>
      <c r="F944" s="35"/>
      <c r="G944" s="35"/>
      <c r="H944" s="35"/>
      <c r="I944" s="35"/>
      <c r="J944" s="192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 spans="1:28">
      <c r="A945" s="35"/>
      <c r="B945" s="35"/>
      <c r="C945" s="193"/>
      <c r="D945" s="35"/>
      <c r="E945" s="35"/>
      <c r="F945" s="35"/>
      <c r="G945" s="35"/>
      <c r="H945" s="35"/>
      <c r="I945" s="35"/>
      <c r="J945" s="192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 spans="1:28">
      <c r="A946" s="35"/>
      <c r="B946" s="35"/>
      <c r="C946" s="193"/>
      <c r="D946" s="35"/>
      <c r="E946" s="35"/>
      <c r="F946" s="35"/>
      <c r="G946" s="35"/>
      <c r="H946" s="35"/>
      <c r="I946" s="35"/>
      <c r="J946" s="192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 spans="1:28">
      <c r="A947" s="35"/>
      <c r="B947" s="35"/>
      <c r="C947" s="193"/>
      <c r="D947" s="35"/>
      <c r="E947" s="35"/>
      <c r="F947" s="35"/>
      <c r="G947" s="35"/>
      <c r="H947" s="35"/>
      <c r="I947" s="35"/>
      <c r="J947" s="192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 spans="1:28">
      <c r="A948" s="35"/>
      <c r="B948" s="35"/>
      <c r="C948" s="193"/>
      <c r="D948" s="35"/>
      <c r="E948" s="35"/>
      <c r="F948" s="35"/>
      <c r="G948" s="35"/>
      <c r="H948" s="35"/>
      <c r="I948" s="35"/>
      <c r="J948" s="192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 spans="1:28">
      <c r="A949" s="35"/>
      <c r="B949" s="35"/>
      <c r="C949" s="193"/>
      <c r="D949" s="35"/>
      <c r="E949" s="35"/>
      <c r="F949" s="35"/>
      <c r="G949" s="35"/>
      <c r="H949" s="35"/>
      <c r="I949" s="35"/>
      <c r="J949" s="192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 spans="1:28">
      <c r="A950" s="35"/>
      <c r="B950" s="35"/>
      <c r="C950" s="193"/>
      <c r="D950" s="35"/>
      <c r="E950" s="35"/>
      <c r="F950" s="35"/>
      <c r="G950" s="35"/>
      <c r="H950" s="35"/>
      <c r="I950" s="35"/>
      <c r="J950" s="192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 spans="1:28">
      <c r="A951" s="35"/>
      <c r="B951" s="35"/>
      <c r="C951" s="193"/>
      <c r="D951" s="35"/>
      <c r="E951" s="35"/>
      <c r="F951" s="35"/>
      <c r="G951" s="35"/>
      <c r="H951" s="35"/>
      <c r="I951" s="35"/>
      <c r="J951" s="192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 spans="1:28">
      <c r="A952" s="35"/>
      <c r="B952" s="35"/>
      <c r="C952" s="193"/>
      <c r="D952" s="35"/>
      <c r="E952" s="35"/>
      <c r="F952" s="35"/>
      <c r="G952" s="35"/>
      <c r="H952" s="35"/>
      <c r="I952" s="35"/>
      <c r="J952" s="192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 spans="1:28">
      <c r="A953" s="35"/>
      <c r="B953" s="35"/>
      <c r="C953" s="193"/>
      <c r="D953" s="35"/>
      <c r="E953" s="35"/>
      <c r="F953" s="35"/>
      <c r="G953" s="35"/>
      <c r="H953" s="35"/>
      <c r="I953" s="35"/>
      <c r="J953" s="192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 spans="1:28">
      <c r="A954" s="35"/>
      <c r="B954" s="35"/>
      <c r="C954" s="193"/>
      <c r="D954" s="35"/>
      <c r="E954" s="35"/>
      <c r="F954" s="35"/>
      <c r="G954" s="35"/>
      <c r="H954" s="35"/>
      <c r="I954" s="35"/>
      <c r="J954" s="192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 spans="1:28">
      <c r="A955" s="35"/>
      <c r="B955" s="35"/>
      <c r="C955" s="193"/>
      <c r="D955" s="35"/>
      <c r="E955" s="35"/>
      <c r="F955" s="35"/>
      <c r="G955" s="35"/>
      <c r="H955" s="35"/>
      <c r="I955" s="35"/>
      <c r="J955" s="192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 spans="1:28">
      <c r="A956" s="35"/>
      <c r="B956" s="35"/>
      <c r="C956" s="193"/>
      <c r="D956" s="35"/>
      <c r="E956" s="35"/>
      <c r="F956" s="35"/>
      <c r="G956" s="35"/>
      <c r="H956" s="35"/>
      <c r="I956" s="35"/>
      <c r="J956" s="192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 spans="1:28">
      <c r="A957" s="35"/>
      <c r="B957" s="35"/>
      <c r="C957" s="193"/>
      <c r="D957" s="35"/>
      <c r="E957" s="35"/>
      <c r="F957" s="35"/>
      <c r="G957" s="35"/>
      <c r="H957" s="35"/>
      <c r="I957" s="35"/>
      <c r="J957" s="192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 spans="1:28">
      <c r="A958" s="35"/>
      <c r="B958" s="35"/>
      <c r="C958" s="193"/>
      <c r="D958" s="35"/>
      <c r="E958" s="35"/>
      <c r="F958" s="35"/>
      <c r="G958" s="35"/>
      <c r="H958" s="35"/>
      <c r="I958" s="35"/>
      <c r="J958" s="192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 spans="1:28">
      <c r="A959" s="35"/>
      <c r="B959" s="35"/>
      <c r="C959" s="193"/>
      <c r="D959" s="35"/>
      <c r="E959" s="35"/>
      <c r="F959" s="35"/>
      <c r="G959" s="35"/>
      <c r="H959" s="35"/>
      <c r="I959" s="35"/>
      <c r="J959" s="192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 spans="1:28">
      <c r="A960" s="35"/>
      <c r="B960" s="35"/>
      <c r="C960" s="193"/>
      <c r="D960" s="35"/>
      <c r="E960" s="35"/>
      <c r="F960" s="35"/>
      <c r="G960" s="35"/>
      <c r="H960" s="35"/>
      <c r="I960" s="35"/>
      <c r="J960" s="192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 spans="1:28">
      <c r="A961" s="35"/>
      <c r="B961" s="35"/>
      <c r="C961" s="193"/>
      <c r="D961" s="35"/>
      <c r="E961" s="35"/>
      <c r="F961" s="35"/>
      <c r="G961" s="35"/>
      <c r="H961" s="35"/>
      <c r="I961" s="35"/>
      <c r="J961" s="192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 spans="1:28">
      <c r="A962" s="35"/>
      <c r="B962" s="35"/>
      <c r="C962" s="193"/>
      <c r="D962" s="35"/>
      <c r="E962" s="35"/>
      <c r="F962" s="35"/>
      <c r="G962" s="35"/>
      <c r="H962" s="35"/>
      <c r="I962" s="35"/>
      <c r="J962" s="192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 spans="1:28">
      <c r="A963" s="35"/>
      <c r="B963" s="35"/>
      <c r="C963" s="193"/>
      <c r="D963" s="35"/>
      <c r="E963" s="35"/>
      <c r="F963" s="35"/>
      <c r="G963" s="35"/>
      <c r="H963" s="35"/>
      <c r="I963" s="35"/>
      <c r="J963" s="192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 spans="1:28">
      <c r="A964" s="35"/>
      <c r="B964" s="35"/>
      <c r="C964" s="193"/>
      <c r="D964" s="35"/>
      <c r="E964" s="35"/>
      <c r="F964" s="35"/>
      <c r="G964" s="35"/>
      <c r="H964" s="35"/>
      <c r="I964" s="35"/>
      <c r="J964" s="192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 spans="1:28">
      <c r="A965" s="35"/>
      <c r="B965" s="35"/>
      <c r="C965" s="193"/>
      <c r="D965" s="35"/>
      <c r="E965" s="35"/>
      <c r="F965" s="35"/>
      <c r="G965" s="35"/>
      <c r="H965" s="35"/>
      <c r="I965" s="35"/>
      <c r="J965" s="192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 spans="1:28">
      <c r="A966" s="35"/>
      <c r="B966" s="35"/>
      <c r="C966" s="193"/>
      <c r="D966" s="35"/>
      <c r="E966" s="35"/>
      <c r="F966" s="35"/>
      <c r="G966" s="35"/>
      <c r="H966" s="35"/>
      <c r="I966" s="35"/>
      <c r="J966" s="192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 spans="1:28">
      <c r="A967" s="35"/>
      <c r="B967" s="35"/>
      <c r="C967" s="193"/>
      <c r="D967" s="35"/>
      <c r="E967" s="35"/>
      <c r="F967" s="35"/>
      <c r="G967" s="35"/>
      <c r="H967" s="35"/>
      <c r="I967" s="35"/>
      <c r="J967" s="192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 spans="1:28">
      <c r="A968" s="35"/>
      <c r="B968" s="35"/>
      <c r="C968" s="193"/>
      <c r="D968" s="35"/>
      <c r="E968" s="35"/>
      <c r="F968" s="35"/>
      <c r="G968" s="35"/>
      <c r="H968" s="35"/>
      <c r="I968" s="35"/>
      <c r="J968" s="192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 spans="1:28">
      <c r="A969" s="35"/>
      <c r="B969" s="35"/>
      <c r="C969" s="193"/>
      <c r="D969" s="35"/>
      <c r="E969" s="35"/>
      <c r="F969" s="35"/>
      <c r="G969" s="35"/>
      <c r="H969" s="35"/>
      <c r="I969" s="35"/>
      <c r="J969" s="192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 spans="1:28">
      <c r="A970" s="35"/>
      <c r="B970" s="35"/>
      <c r="C970" s="193"/>
      <c r="D970" s="35"/>
      <c r="E970" s="35"/>
      <c r="F970" s="35"/>
      <c r="G970" s="35"/>
      <c r="H970" s="35"/>
      <c r="I970" s="35"/>
      <c r="J970" s="192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 spans="1:28">
      <c r="A971" s="35"/>
      <c r="B971" s="35"/>
      <c r="C971" s="193"/>
      <c r="D971" s="35"/>
      <c r="E971" s="35"/>
      <c r="F971" s="35"/>
      <c r="G971" s="35"/>
      <c r="H971" s="35"/>
      <c r="I971" s="35"/>
      <c r="J971" s="192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 spans="1:28">
      <c r="A972" s="35"/>
      <c r="B972" s="35"/>
      <c r="C972" s="193"/>
      <c r="D972" s="35"/>
      <c r="E972" s="35"/>
      <c r="F972" s="35"/>
      <c r="G972" s="35"/>
      <c r="H972" s="35"/>
      <c r="I972" s="35"/>
      <c r="J972" s="192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 spans="1:28">
      <c r="A973" s="35"/>
      <c r="B973" s="35"/>
      <c r="C973" s="193"/>
      <c r="D973" s="35"/>
      <c r="E973" s="35"/>
      <c r="F973" s="35"/>
      <c r="G973" s="35"/>
      <c r="H973" s="35"/>
      <c r="I973" s="35"/>
      <c r="J973" s="192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 spans="1:28">
      <c r="A974" s="35"/>
      <c r="B974" s="35"/>
      <c r="C974" s="193"/>
      <c r="D974" s="35"/>
      <c r="E974" s="35"/>
      <c r="F974" s="35"/>
      <c r="G974" s="35"/>
      <c r="H974" s="35"/>
      <c r="I974" s="35"/>
      <c r="J974" s="192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 spans="1:28">
      <c r="A975" s="35"/>
      <c r="B975" s="35"/>
      <c r="C975" s="193"/>
      <c r="D975" s="35"/>
      <c r="E975" s="35"/>
      <c r="F975" s="35"/>
      <c r="G975" s="35"/>
      <c r="H975" s="35"/>
      <c r="I975" s="35"/>
      <c r="J975" s="192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 spans="1:28">
      <c r="A976" s="35"/>
      <c r="B976" s="35"/>
      <c r="C976" s="193"/>
      <c r="D976" s="35"/>
      <c r="E976" s="35"/>
      <c r="F976" s="35"/>
      <c r="G976" s="35"/>
      <c r="H976" s="35"/>
      <c r="I976" s="35"/>
      <c r="J976" s="192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 spans="1:28">
      <c r="A977" s="35"/>
      <c r="B977" s="35"/>
      <c r="C977" s="193"/>
      <c r="D977" s="35"/>
      <c r="E977" s="35"/>
      <c r="F977" s="35"/>
      <c r="G977" s="35"/>
      <c r="H977" s="35"/>
      <c r="I977" s="35"/>
      <c r="J977" s="192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 spans="1:28">
      <c r="A978" s="35"/>
      <c r="B978" s="35"/>
      <c r="C978" s="193"/>
      <c r="D978" s="35"/>
      <c r="E978" s="35"/>
      <c r="F978" s="35"/>
      <c r="G978" s="35"/>
      <c r="H978" s="35"/>
      <c r="I978" s="35"/>
      <c r="J978" s="192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 spans="1:28">
      <c r="A979" s="35"/>
      <c r="B979" s="35"/>
      <c r="C979" s="193"/>
      <c r="D979" s="35"/>
      <c r="E979" s="35"/>
      <c r="F979" s="35"/>
      <c r="G979" s="35"/>
      <c r="H979" s="35"/>
      <c r="I979" s="35"/>
      <c r="J979" s="192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 spans="1:28">
      <c r="A980" s="35"/>
      <c r="B980" s="35"/>
      <c r="C980" s="193"/>
      <c r="D980" s="35"/>
      <c r="E980" s="35"/>
      <c r="F980" s="35"/>
      <c r="G980" s="35"/>
      <c r="H980" s="35"/>
      <c r="I980" s="35"/>
      <c r="J980" s="192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 spans="1:28">
      <c r="A981" s="35"/>
      <c r="B981" s="35"/>
      <c r="C981" s="193"/>
      <c r="D981" s="35"/>
      <c r="E981" s="35"/>
      <c r="F981" s="35"/>
      <c r="G981" s="35"/>
      <c r="H981" s="35"/>
      <c r="I981" s="35"/>
      <c r="J981" s="192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 spans="1:28">
      <c r="A982" s="35"/>
      <c r="B982" s="35"/>
      <c r="C982" s="193"/>
      <c r="D982" s="35"/>
      <c r="E982" s="35"/>
      <c r="F982" s="35"/>
      <c r="G982" s="35"/>
      <c r="H982" s="35"/>
      <c r="I982" s="35"/>
      <c r="J982" s="192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 spans="1:28">
      <c r="A983" s="35"/>
      <c r="B983" s="35"/>
      <c r="C983" s="193"/>
      <c r="D983" s="35"/>
      <c r="E983" s="35"/>
      <c r="F983" s="35"/>
      <c r="G983" s="35"/>
      <c r="H983" s="35"/>
      <c r="I983" s="35"/>
      <c r="J983" s="192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 spans="1:28">
      <c r="A984" s="35"/>
      <c r="B984" s="35"/>
      <c r="C984" s="193"/>
      <c r="D984" s="35"/>
      <c r="E984" s="35"/>
      <c r="F984" s="35"/>
      <c r="G984" s="35"/>
      <c r="H984" s="35"/>
      <c r="I984" s="35"/>
      <c r="J984" s="192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 spans="1:28">
      <c r="A985" s="35"/>
      <c r="B985" s="35"/>
      <c r="C985" s="193"/>
      <c r="D985" s="35"/>
      <c r="E985" s="35"/>
      <c r="F985" s="35"/>
      <c r="G985" s="35"/>
      <c r="H985" s="35"/>
      <c r="I985" s="35"/>
      <c r="J985" s="192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 spans="1:28">
      <c r="A986" s="35"/>
      <c r="B986" s="35"/>
      <c r="C986" s="193"/>
      <c r="D986" s="35"/>
      <c r="E986" s="35"/>
      <c r="F986" s="35"/>
      <c r="G986" s="35"/>
      <c r="H986" s="35"/>
      <c r="I986" s="35"/>
      <c r="J986" s="192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 spans="1:28">
      <c r="A987" s="35"/>
      <c r="B987" s="35"/>
      <c r="C987" s="193"/>
      <c r="D987" s="35"/>
      <c r="E987" s="35"/>
      <c r="F987" s="35"/>
      <c r="G987" s="35"/>
      <c r="H987" s="35"/>
      <c r="I987" s="35"/>
      <c r="J987" s="192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 spans="1:28">
      <c r="A988" s="35"/>
      <c r="B988" s="35"/>
      <c r="C988" s="193"/>
      <c r="D988" s="35"/>
      <c r="E988" s="35"/>
      <c r="F988" s="35"/>
      <c r="G988" s="35"/>
      <c r="H988" s="35"/>
      <c r="I988" s="35"/>
      <c r="J988" s="192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 spans="1:28">
      <c r="A989" s="35"/>
      <c r="B989" s="35"/>
      <c r="C989" s="193"/>
      <c r="D989" s="35"/>
      <c r="E989" s="35"/>
      <c r="F989" s="35"/>
      <c r="G989" s="35"/>
      <c r="H989" s="35"/>
      <c r="I989" s="35"/>
      <c r="J989" s="192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  <row r="990" spans="1:28">
      <c r="A990" s="35"/>
      <c r="B990" s="35"/>
      <c r="C990" s="193"/>
      <c r="D990" s="35"/>
      <c r="E990" s="35"/>
      <c r="F990" s="35"/>
      <c r="G990" s="35"/>
      <c r="H990" s="35"/>
      <c r="I990" s="35"/>
      <c r="J990" s="192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</row>
    <row r="991" spans="1:28">
      <c r="A991" s="35"/>
      <c r="B991" s="35"/>
      <c r="C991" s="193"/>
      <c r="D991" s="35"/>
      <c r="E991" s="35"/>
      <c r="F991" s="35"/>
      <c r="G991" s="35"/>
      <c r="H991" s="35"/>
      <c r="I991" s="35"/>
      <c r="J991" s="192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</row>
    <row r="992" spans="1:28">
      <c r="A992" s="35"/>
      <c r="B992" s="35"/>
      <c r="C992" s="193"/>
      <c r="D992" s="35"/>
      <c r="E992" s="35"/>
      <c r="F992" s="35"/>
      <c r="G992" s="35"/>
      <c r="H992" s="35"/>
      <c r="I992" s="35"/>
      <c r="J992" s="192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</row>
    <row r="993" spans="1:28">
      <c r="A993" s="35"/>
      <c r="B993" s="35"/>
      <c r="C993" s="193"/>
      <c r="D993" s="35"/>
      <c r="E993" s="35"/>
      <c r="F993" s="35"/>
      <c r="G993" s="35"/>
      <c r="H993" s="35"/>
      <c r="I993" s="35"/>
      <c r="J993" s="192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</row>
    <row r="994" spans="1:28">
      <c r="A994" s="35"/>
      <c r="B994" s="35"/>
      <c r="C994" s="193"/>
      <c r="D994" s="35"/>
      <c r="E994" s="35"/>
      <c r="F994" s="35"/>
      <c r="G994" s="35"/>
      <c r="H994" s="35"/>
      <c r="I994" s="35"/>
      <c r="J994" s="192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</row>
    <row r="995" spans="1:28">
      <c r="A995" s="35"/>
      <c r="B995" s="35"/>
      <c r="C995" s="193"/>
      <c r="D995" s="35"/>
      <c r="E995" s="35"/>
      <c r="F995" s="35"/>
      <c r="G995" s="35"/>
      <c r="H995" s="35"/>
      <c r="I995" s="35"/>
      <c r="J995" s="192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</row>
    <row r="996" spans="1:28">
      <c r="A996" s="35"/>
      <c r="B996" s="35"/>
      <c r="C996" s="193"/>
      <c r="D996" s="35"/>
      <c r="E996" s="35"/>
      <c r="F996" s="35"/>
      <c r="G996" s="35"/>
      <c r="H996" s="35"/>
      <c r="I996" s="35"/>
      <c r="J996" s="192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</row>
    <row r="997" spans="1:28">
      <c r="A997" s="35"/>
      <c r="B997" s="35"/>
      <c r="C997" s="193"/>
      <c r="D997" s="35"/>
      <c r="E997" s="35"/>
      <c r="F997" s="35"/>
      <c r="G997" s="35"/>
      <c r="H997" s="35"/>
      <c r="I997" s="35"/>
      <c r="J997" s="192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</row>
    <row r="998" spans="1:28">
      <c r="A998" s="35"/>
      <c r="B998" s="35"/>
      <c r="C998" s="193"/>
      <c r="D998" s="35"/>
      <c r="E998" s="35"/>
      <c r="F998" s="35"/>
      <c r="G998" s="35"/>
      <c r="H998" s="35"/>
      <c r="I998" s="35"/>
      <c r="J998" s="192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</row>
    <row r="999" spans="1:28">
      <c r="A999" s="35"/>
      <c r="B999" s="35"/>
      <c r="C999" s="193"/>
      <c r="D999" s="35"/>
      <c r="E999" s="35"/>
      <c r="F999" s="35"/>
      <c r="G999" s="35"/>
      <c r="H999" s="35"/>
      <c r="I999" s="35"/>
      <c r="J999" s="192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</row>
    <row r="1000" spans="1:28">
      <c r="A1000" s="35"/>
      <c r="B1000" s="35"/>
      <c r="C1000" s="193"/>
      <c r="D1000" s="35"/>
      <c r="E1000" s="35"/>
      <c r="F1000" s="35"/>
      <c r="G1000" s="35"/>
      <c r="H1000" s="35"/>
      <c r="I1000" s="35"/>
      <c r="J1000" s="192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</row>
  </sheetData>
  <mergeCells count="1"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5"/>
  <sheetViews>
    <sheetView workbookViewId="0"/>
  </sheetViews>
  <sheetFormatPr defaultColWidth="12.6640625" defaultRowHeight="15.75" customHeight="1"/>
  <cols>
    <col min="1" max="1" width="48.21875" customWidth="1"/>
    <col min="2" max="2" width="51.44140625" customWidth="1"/>
    <col min="3" max="4" width="25.77734375" customWidth="1"/>
    <col min="5" max="5" width="26" customWidth="1"/>
    <col min="6" max="6" width="26.44140625" customWidth="1"/>
    <col min="7" max="7" width="26.6640625" customWidth="1"/>
    <col min="8" max="8" width="26.109375" customWidth="1"/>
    <col min="9" max="9" width="29.44140625" customWidth="1"/>
    <col min="10" max="10" width="26" customWidth="1"/>
    <col min="11" max="11" width="27.109375" customWidth="1"/>
    <col min="12" max="12" width="26.88671875" customWidth="1"/>
    <col min="13" max="13" width="27.33203125" customWidth="1"/>
    <col min="14" max="14" width="26.21875" customWidth="1"/>
    <col min="15" max="15" width="27.33203125" customWidth="1"/>
    <col min="16" max="16" width="21.77734375" customWidth="1"/>
    <col min="17" max="17" width="21.44140625" customWidth="1"/>
    <col min="18" max="18" width="21.21875" customWidth="1"/>
    <col min="19" max="19" width="22" customWidth="1"/>
  </cols>
  <sheetData>
    <row r="1" spans="1:31">
      <c r="A1" s="17" t="s">
        <v>20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25</v>
      </c>
      <c r="Q1" s="17" t="s">
        <v>26</v>
      </c>
      <c r="R1" s="17" t="s">
        <v>27</v>
      </c>
      <c r="S1" s="17" t="s">
        <v>28</v>
      </c>
      <c r="T1" s="17" t="s">
        <v>25</v>
      </c>
      <c r="U1" s="17" t="s">
        <v>26</v>
      </c>
      <c r="V1" s="17" t="s">
        <v>27</v>
      </c>
      <c r="W1" s="17" t="s">
        <v>28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25</v>
      </c>
      <c r="AC1" s="17" t="s">
        <v>26</v>
      </c>
      <c r="AD1" s="17" t="s">
        <v>27</v>
      </c>
      <c r="AE1" s="17" t="s">
        <v>28</v>
      </c>
    </row>
    <row r="2" spans="1:31" ht="15.75" customHeight="1">
      <c r="A2" s="26" t="s">
        <v>32</v>
      </c>
      <c r="B2" s="30" t="s">
        <v>33</v>
      </c>
      <c r="C2" s="33" t="s">
        <v>36</v>
      </c>
      <c r="D2" s="33" t="s">
        <v>37</v>
      </c>
      <c r="E2" s="33" t="s">
        <v>38</v>
      </c>
      <c r="F2" s="33" t="s">
        <v>39</v>
      </c>
      <c r="G2" s="33" t="s">
        <v>40</v>
      </c>
      <c r="H2" s="26" t="s">
        <v>41</v>
      </c>
      <c r="I2" s="26" t="s">
        <v>42</v>
      </c>
      <c r="J2" s="26" t="s">
        <v>43</v>
      </c>
      <c r="K2" s="26" t="s">
        <v>44</v>
      </c>
      <c r="L2" s="33"/>
      <c r="M2" s="33"/>
      <c r="N2" s="33"/>
      <c r="O2" s="33"/>
      <c r="P2" s="33"/>
      <c r="Q2" s="33"/>
      <c r="R2" s="33"/>
      <c r="S2" s="33"/>
    </row>
    <row r="3" spans="1:31" ht="15.75" customHeight="1">
      <c r="A3" s="26" t="s">
        <v>45</v>
      </c>
      <c r="B3" s="40" t="s">
        <v>46</v>
      </c>
      <c r="C3" s="33" t="s">
        <v>47</v>
      </c>
      <c r="D3" s="33" t="s">
        <v>48</v>
      </c>
      <c r="E3" s="33" t="s">
        <v>50</v>
      </c>
      <c r="F3" s="33" t="s">
        <v>51</v>
      </c>
      <c r="G3" s="33" t="s">
        <v>52</v>
      </c>
      <c r="H3" s="26" t="s">
        <v>53</v>
      </c>
      <c r="I3" s="26" t="s">
        <v>54</v>
      </c>
      <c r="J3" s="26" t="s">
        <v>55</v>
      </c>
      <c r="K3" s="26" t="s">
        <v>56</v>
      </c>
    </row>
    <row r="4" spans="1:31" ht="15.75" customHeight="1">
      <c r="A4" s="26" t="s">
        <v>57</v>
      </c>
      <c r="B4" s="43" t="s">
        <v>58</v>
      </c>
      <c r="C4" s="33" t="s">
        <v>60</v>
      </c>
      <c r="D4" s="33" t="s">
        <v>61</v>
      </c>
      <c r="E4" s="33" t="s">
        <v>62</v>
      </c>
      <c r="F4" s="33" t="s">
        <v>63</v>
      </c>
      <c r="G4" s="33" t="s">
        <v>64</v>
      </c>
      <c r="H4" s="26" t="s">
        <v>65</v>
      </c>
      <c r="I4" s="26" t="s">
        <v>66</v>
      </c>
      <c r="J4" s="26" t="s">
        <v>67</v>
      </c>
      <c r="K4" s="26" t="s">
        <v>68</v>
      </c>
    </row>
    <row r="5" spans="1:31" ht="15.75" customHeight="1">
      <c r="A5" s="26" t="s">
        <v>70</v>
      </c>
      <c r="B5" s="45" t="s">
        <v>71</v>
      </c>
      <c r="C5" s="33" t="s">
        <v>73</v>
      </c>
      <c r="D5" s="33" t="s">
        <v>74</v>
      </c>
      <c r="E5" s="33" t="s">
        <v>75</v>
      </c>
      <c r="F5" s="33" t="s">
        <v>76</v>
      </c>
      <c r="G5" s="33" t="s">
        <v>77</v>
      </c>
      <c r="H5" s="26" t="s">
        <v>78</v>
      </c>
      <c r="I5" s="26" t="s">
        <v>80</v>
      </c>
      <c r="J5" s="26" t="s">
        <v>81</v>
      </c>
      <c r="K5" s="26" t="s">
        <v>82</v>
      </c>
    </row>
    <row r="6" spans="1:31" ht="15.75" customHeight="1">
      <c r="A6" s="26" t="s">
        <v>70</v>
      </c>
      <c r="B6" s="45" t="s">
        <v>84</v>
      </c>
      <c r="C6" s="33" t="s">
        <v>86</v>
      </c>
      <c r="D6" s="33" t="s">
        <v>88</v>
      </c>
      <c r="E6" s="33" t="s">
        <v>89</v>
      </c>
      <c r="F6" s="33" t="s">
        <v>90</v>
      </c>
      <c r="G6" s="33" t="s">
        <v>92</v>
      </c>
      <c r="H6" s="49" t="s">
        <v>93</v>
      </c>
      <c r="I6" s="49" t="s">
        <v>94</v>
      </c>
      <c r="J6" s="49" t="s">
        <v>95</v>
      </c>
      <c r="K6" s="49" t="s">
        <v>96</v>
      </c>
    </row>
    <row r="7" spans="1:31" ht="15.75" customHeight="1">
      <c r="A7" s="26" t="s">
        <v>97</v>
      </c>
      <c r="B7" s="30" t="s">
        <v>98</v>
      </c>
      <c r="C7" s="33" t="s">
        <v>36</v>
      </c>
      <c r="D7" s="33"/>
      <c r="E7" s="33"/>
      <c r="F7" s="33"/>
      <c r="G7" s="33"/>
      <c r="H7" s="26" t="s">
        <v>101</v>
      </c>
      <c r="I7" s="26" t="s">
        <v>102</v>
      </c>
      <c r="J7" s="26" t="s">
        <v>103</v>
      </c>
      <c r="K7" s="26" t="s">
        <v>104</v>
      </c>
    </row>
    <row r="8" spans="1:31" ht="15.75" customHeight="1">
      <c r="A8" s="51" t="s">
        <v>106</v>
      </c>
      <c r="B8" s="30" t="s">
        <v>108</v>
      </c>
      <c r="C8" s="33" t="s">
        <v>109</v>
      </c>
      <c r="D8" s="33" t="s">
        <v>110</v>
      </c>
      <c r="E8" s="33" t="s">
        <v>111</v>
      </c>
      <c r="F8" s="33" t="s">
        <v>112</v>
      </c>
      <c r="G8" s="33" t="s">
        <v>113</v>
      </c>
      <c r="H8" s="49" t="s">
        <v>114</v>
      </c>
      <c r="I8" s="49" t="s">
        <v>115</v>
      </c>
      <c r="J8" s="49" t="s">
        <v>116</v>
      </c>
      <c r="K8" s="49" t="s">
        <v>117</v>
      </c>
    </row>
    <row r="9" spans="1:31" ht="15.75" customHeight="1">
      <c r="A9" s="26" t="s">
        <v>118</v>
      </c>
      <c r="B9" s="43" t="s">
        <v>119</v>
      </c>
      <c r="C9" s="33" t="s">
        <v>60</v>
      </c>
      <c r="D9" s="33" t="s">
        <v>120</v>
      </c>
      <c r="E9" s="33" t="s">
        <v>121</v>
      </c>
      <c r="F9" s="33" t="s">
        <v>122</v>
      </c>
      <c r="G9" s="33" t="s">
        <v>123</v>
      </c>
      <c r="H9" s="26" t="s">
        <v>124</v>
      </c>
      <c r="I9" s="26" t="s">
        <v>125</v>
      </c>
      <c r="J9" s="26" t="s">
        <v>126</v>
      </c>
      <c r="K9" s="26" t="s">
        <v>127</v>
      </c>
    </row>
    <row r="10" spans="1:31" ht="15.75" customHeight="1">
      <c r="A10" s="53" t="s">
        <v>128</v>
      </c>
      <c r="B10" s="30" t="s">
        <v>130</v>
      </c>
      <c r="C10" s="33" t="s">
        <v>36</v>
      </c>
      <c r="D10" s="33" t="s">
        <v>131</v>
      </c>
      <c r="E10" s="33" t="s">
        <v>132</v>
      </c>
      <c r="F10" s="33" t="s">
        <v>133</v>
      </c>
      <c r="G10" s="33" t="s">
        <v>134</v>
      </c>
      <c r="H10" s="26" t="s">
        <v>135</v>
      </c>
      <c r="I10" s="26" t="s">
        <v>136</v>
      </c>
      <c r="J10" s="26" t="s">
        <v>137</v>
      </c>
      <c r="K10" s="26" t="s">
        <v>138</v>
      </c>
    </row>
    <row r="11" spans="1:31" ht="15.75" customHeight="1">
      <c r="A11" s="26" t="s">
        <v>128</v>
      </c>
      <c r="B11" s="30" t="s">
        <v>139</v>
      </c>
      <c r="C11" s="33" t="s">
        <v>109</v>
      </c>
      <c r="D11" s="33"/>
      <c r="E11" s="33"/>
      <c r="F11" s="33"/>
      <c r="G11" s="33"/>
      <c r="H11" s="49" t="s">
        <v>141</v>
      </c>
      <c r="I11" s="49" t="s">
        <v>142</v>
      </c>
      <c r="J11" s="49" t="s">
        <v>144</v>
      </c>
      <c r="K11" s="49" t="s">
        <v>145</v>
      </c>
    </row>
    <row r="12" spans="1:31" ht="15.75" customHeight="1">
      <c r="A12" s="26" t="s">
        <v>146</v>
      </c>
      <c r="B12" s="58" t="s">
        <v>147</v>
      </c>
      <c r="C12" s="33" t="s">
        <v>109</v>
      </c>
      <c r="D12" s="33" t="s">
        <v>149</v>
      </c>
      <c r="E12" s="33" t="s">
        <v>150</v>
      </c>
      <c r="F12" s="33" t="s">
        <v>152</v>
      </c>
      <c r="G12" s="33" t="s">
        <v>153</v>
      </c>
      <c r="H12" s="33" t="s">
        <v>154</v>
      </c>
      <c r="I12" s="33" t="s">
        <v>155</v>
      </c>
      <c r="J12" s="33" t="s">
        <v>156</v>
      </c>
      <c r="K12" s="33" t="s">
        <v>157</v>
      </c>
    </row>
    <row r="13" spans="1:31" ht="15.75" customHeight="1">
      <c r="A13" s="26" t="s">
        <v>158</v>
      </c>
      <c r="B13" s="58" t="s">
        <v>159</v>
      </c>
      <c r="C13" s="33" t="s">
        <v>36</v>
      </c>
      <c r="D13" s="33" t="s">
        <v>161</v>
      </c>
      <c r="E13" s="33" t="s">
        <v>162</v>
      </c>
      <c r="F13" s="33" t="s">
        <v>163</v>
      </c>
      <c r="G13" s="33" t="s">
        <v>164</v>
      </c>
      <c r="H13" s="26" t="s">
        <v>165</v>
      </c>
      <c r="I13" s="26" t="s">
        <v>167</v>
      </c>
      <c r="J13" s="26" t="s">
        <v>168</v>
      </c>
      <c r="K13" s="26" t="s">
        <v>169</v>
      </c>
    </row>
    <row r="14" spans="1:31" ht="15.75" customHeight="1">
      <c r="A14" s="26" t="s">
        <v>170</v>
      </c>
      <c r="B14" s="30" t="s">
        <v>171</v>
      </c>
      <c r="C14" s="33" t="s">
        <v>36</v>
      </c>
      <c r="D14" s="33"/>
      <c r="E14" s="33"/>
      <c r="F14" s="33"/>
      <c r="G14" s="33"/>
      <c r="H14" s="26" t="s">
        <v>172</v>
      </c>
      <c r="I14" s="26" t="s">
        <v>173</v>
      </c>
      <c r="J14" s="26" t="s">
        <v>174</v>
      </c>
      <c r="K14" s="26" t="s">
        <v>175</v>
      </c>
    </row>
    <row r="15" spans="1:31" ht="15.75" customHeight="1">
      <c r="A15" s="26" t="s">
        <v>176</v>
      </c>
      <c r="B15" s="30" t="s">
        <v>178</v>
      </c>
      <c r="C15" s="33" t="s">
        <v>36</v>
      </c>
      <c r="D15" s="33" t="s">
        <v>179</v>
      </c>
      <c r="E15" s="33" t="s">
        <v>180</v>
      </c>
      <c r="F15" s="33" t="s">
        <v>181</v>
      </c>
      <c r="G15" s="33" t="s">
        <v>182</v>
      </c>
      <c r="H15" s="26" t="s">
        <v>183</v>
      </c>
      <c r="I15" s="26" t="s">
        <v>184</v>
      </c>
      <c r="J15" s="26" t="s">
        <v>186</v>
      </c>
      <c r="K15" s="26" t="s">
        <v>187</v>
      </c>
    </row>
    <row r="16" spans="1:31" ht="15.75" customHeight="1">
      <c r="A16" s="26" t="s">
        <v>188</v>
      </c>
      <c r="B16" s="64" t="s">
        <v>189</v>
      </c>
      <c r="C16" s="33" t="s">
        <v>190</v>
      </c>
      <c r="D16" s="33" t="s">
        <v>191</v>
      </c>
      <c r="E16" s="33" t="s">
        <v>193</v>
      </c>
      <c r="F16" s="33" t="s">
        <v>194</v>
      </c>
      <c r="G16" s="33" t="s">
        <v>195</v>
      </c>
      <c r="H16" s="26" t="s">
        <v>197</v>
      </c>
      <c r="I16" s="26" t="s">
        <v>198</v>
      </c>
      <c r="J16" s="26" t="s">
        <v>199</v>
      </c>
      <c r="K16" s="26" t="s">
        <v>200</v>
      </c>
    </row>
    <row r="17" spans="1:31" ht="15.75" customHeight="1">
      <c r="A17" s="26" t="s">
        <v>201</v>
      </c>
      <c r="B17" s="43" t="s">
        <v>202</v>
      </c>
      <c r="C17" s="33" t="s">
        <v>60</v>
      </c>
      <c r="D17" s="33" t="s">
        <v>203</v>
      </c>
      <c r="E17" s="33" t="s">
        <v>204</v>
      </c>
      <c r="F17" s="33" t="s">
        <v>205</v>
      </c>
      <c r="G17" s="33" t="s">
        <v>207</v>
      </c>
      <c r="H17" s="26" t="s">
        <v>208</v>
      </c>
      <c r="I17" s="26" t="s">
        <v>209</v>
      </c>
      <c r="J17" s="26" t="s">
        <v>210</v>
      </c>
      <c r="K17" s="26" t="s">
        <v>212</v>
      </c>
    </row>
    <row r="18" spans="1:31" ht="15.75" customHeight="1">
      <c r="A18" s="26" t="s">
        <v>201</v>
      </c>
      <c r="B18" s="43" t="s">
        <v>213</v>
      </c>
      <c r="C18" s="33" t="s">
        <v>214</v>
      </c>
      <c r="D18" s="33"/>
      <c r="E18" s="33"/>
      <c r="F18" s="33"/>
      <c r="G18" s="33"/>
      <c r="H18" s="33" t="s">
        <v>215</v>
      </c>
      <c r="I18" s="33" t="s">
        <v>216</v>
      </c>
      <c r="J18" s="33" t="s">
        <v>217</v>
      </c>
      <c r="K18" s="33" t="s">
        <v>218</v>
      </c>
    </row>
    <row r="19" spans="1:31" ht="15.75" customHeight="1">
      <c r="A19" s="26" t="s">
        <v>219</v>
      </c>
      <c r="B19" s="30" t="s">
        <v>220</v>
      </c>
      <c r="C19" s="33" t="s">
        <v>36</v>
      </c>
      <c r="D19" s="33" t="s">
        <v>222</v>
      </c>
      <c r="E19" s="33" t="s">
        <v>223</v>
      </c>
      <c r="F19" s="33" t="s">
        <v>224</v>
      </c>
      <c r="G19" s="33" t="s">
        <v>225</v>
      </c>
      <c r="H19" s="26" t="s">
        <v>227</v>
      </c>
      <c r="I19" s="26" t="s">
        <v>228</v>
      </c>
      <c r="J19" s="26" t="s">
        <v>230</v>
      </c>
      <c r="K19" s="26" t="s">
        <v>231</v>
      </c>
    </row>
    <row r="20" spans="1:31" ht="15.75" customHeight="1">
      <c r="A20" s="26" t="s">
        <v>232</v>
      </c>
      <c r="B20" s="30" t="s">
        <v>233</v>
      </c>
      <c r="C20" s="33" t="s">
        <v>36</v>
      </c>
      <c r="D20" s="33"/>
      <c r="E20" s="33"/>
      <c r="F20" s="33"/>
      <c r="G20" s="33"/>
      <c r="H20" s="26" t="s">
        <v>234</v>
      </c>
      <c r="I20" s="26" t="s">
        <v>235</v>
      </c>
      <c r="J20" s="26" t="s">
        <v>236</v>
      </c>
      <c r="K20" s="26" t="s">
        <v>237</v>
      </c>
      <c r="AB20" s="26"/>
      <c r="AC20" s="26"/>
      <c r="AD20" s="26"/>
      <c r="AE20" s="68"/>
    </row>
    <row r="21" spans="1:31" ht="15.75" customHeight="1">
      <c r="A21" s="26" t="s">
        <v>238</v>
      </c>
      <c r="B21" s="30" t="s">
        <v>239</v>
      </c>
      <c r="C21" s="17" t="s">
        <v>36</v>
      </c>
      <c r="H21" s="26" t="s">
        <v>241</v>
      </c>
      <c r="I21" s="26" t="s">
        <v>242</v>
      </c>
      <c r="J21" s="26" t="s">
        <v>243</v>
      </c>
      <c r="K21" s="26" t="s">
        <v>244</v>
      </c>
    </row>
    <row r="22" spans="1:31" ht="15.75" customHeight="1">
      <c r="A22" s="26" t="s">
        <v>238</v>
      </c>
      <c r="B22" s="40" t="s">
        <v>245</v>
      </c>
      <c r="C22" s="17" t="s">
        <v>47</v>
      </c>
      <c r="H22" s="26" t="s">
        <v>247</v>
      </c>
      <c r="I22" s="26" t="s">
        <v>248</v>
      </c>
      <c r="J22" s="26" t="s">
        <v>249</v>
      </c>
      <c r="K22" s="26" t="s">
        <v>250</v>
      </c>
    </row>
    <row r="23" spans="1:31" ht="15.75" customHeight="1">
      <c r="A23" s="26" t="s">
        <v>238</v>
      </c>
      <c r="B23" s="64" t="s">
        <v>251</v>
      </c>
      <c r="C23" s="33" t="s">
        <v>190</v>
      </c>
      <c r="D23" s="33"/>
      <c r="E23" s="33"/>
      <c r="F23" s="33"/>
      <c r="G23" s="33"/>
      <c r="H23" s="26" t="s">
        <v>252</v>
      </c>
      <c r="I23" s="26" t="s">
        <v>253</v>
      </c>
      <c r="J23" s="26" t="s">
        <v>254</v>
      </c>
      <c r="K23" s="26" t="s">
        <v>255</v>
      </c>
    </row>
    <row r="24" spans="1:31" ht="15.75" customHeight="1">
      <c r="A24" s="26" t="s">
        <v>257</v>
      </c>
      <c r="B24" s="71" t="s">
        <v>258</v>
      </c>
      <c r="C24" s="33" t="s">
        <v>36</v>
      </c>
      <c r="D24" s="33"/>
      <c r="E24" s="33"/>
      <c r="F24" s="33"/>
      <c r="G24" s="33"/>
      <c r="H24" s="26" t="s">
        <v>260</v>
      </c>
      <c r="I24" s="26" t="s">
        <v>262</v>
      </c>
      <c r="J24" s="26" t="s">
        <v>263</v>
      </c>
      <c r="K24" s="26" t="s">
        <v>264</v>
      </c>
    </row>
    <row r="25" spans="1:31" ht="15.75" customHeight="1">
      <c r="A25" s="26" t="s">
        <v>265</v>
      </c>
      <c r="B25" s="71" t="s">
        <v>266</v>
      </c>
      <c r="C25" s="33" t="s">
        <v>73</v>
      </c>
      <c r="D25" s="33" t="s">
        <v>267</v>
      </c>
      <c r="E25" s="33" t="s">
        <v>268</v>
      </c>
      <c r="F25" s="33" t="s">
        <v>269</v>
      </c>
      <c r="G25" s="33" t="s">
        <v>270</v>
      </c>
      <c r="H25" s="33" t="s">
        <v>271</v>
      </c>
      <c r="I25" s="33" t="s">
        <v>272</v>
      </c>
      <c r="J25" s="33" t="s">
        <v>273</v>
      </c>
      <c r="K25" s="33" t="s">
        <v>274</v>
      </c>
    </row>
    <row r="26" spans="1:31" ht="15.75" customHeight="1">
      <c r="A26" s="26" t="s">
        <v>275</v>
      </c>
      <c r="B26" s="71" t="s">
        <v>276</v>
      </c>
      <c r="C26" s="33" t="s">
        <v>36</v>
      </c>
      <c r="D26" s="33" t="s">
        <v>278</v>
      </c>
      <c r="E26" s="33" t="s">
        <v>279</v>
      </c>
      <c r="F26" s="33" t="s">
        <v>280</v>
      </c>
      <c r="G26" s="33" t="s">
        <v>281</v>
      </c>
      <c r="H26" s="26" t="s">
        <v>282</v>
      </c>
      <c r="I26" s="26" t="s">
        <v>283</v>
      </c>
      <c r="J26" s="26" t="s">
        <v>284</v>
      </c>
      <c r="K26" s="26" t="s">
        <v>285</v>
      </c>
    </row>
    <row r="27" spans="1:31" ht="15.75" customHeight="1">
      <c r="A27" s="26" t="s">
        <v>275</v>
      </c>
      <c r="B27" s="30" t="s">
        <v>287</v>
      </c>
      <c r="C27" s="17" t="s">
        <v>109</v>
      </c>
      <c r="D27" s="33"/>
      <c r="E27" s="33"/>
      <c r="F27" s="33"/>
      <c r="G27" s="33"/>
      <c r="H27" s="33" t="s">
        <v>288</v>
      </c>
      <c r="I27" s="33" t="s">
        <v>289</v>
      </c>
      <c r="J27" s="33" t="s">
        <v>291</v>
      </c>
      <c r="K27" s="33" t="s">
        <v>292</v>
      </c>
    </row>
    <row r="28" spans="1:31" ht="15.6">
      <c r="A28" s="26" t="s">
        <v>286</v>
      </c>
      <c r="B28" s="72" t="s">
        <v>294</v>
      </c>
      <c r="C28" s="33" t="s">
        <v>296</v>
      </c>
      <c r="D28" s="33" t="s">
        <v>298</v>
      </c>
      <c r="E28" s="33" t="s">
        <v>299</v>
      </c>
      <c r="F28" s="33" t="s">
        <v>300</v>
      </c>
      <c r="G28" s="33" t="s">
        <v>301</v>
      </c>
      <c r="H28" s="51" t="s">
        <v>302</v>
      </c>
      <c r="I28" s="51" t="s">
        <v>303</v>
      </c>
      <c r="J28" s="51" t="s">
        <v>304</v>
      </c>
      <c r="K28" s="51" t="s">
        <v>305</v>
      </c>
    </row>
    <row r="29" spans="1:31" ht="15.6">
      <c r="A29" s="26" t="s">
        <v>293</v>
      </c>
      <c r="B29" s="73" t="s">
        <v>306</v>
      </c>
      <c r="C29" s="33" t="s">
        <v>307</v>
      </c>
      <c r="D29" s="33" t="s">
        <v>308</v>
      </c>
      <c r="E29" s="33" t="s">
        <v>309</v>
      </c>
      <c r="F29" s="33" t="s">
        <v>310</v>
      </c>
      <c r="G29" s="33" t="s">
        <v>312</v>
      </c>
      <c r="H29" s="26" t="s">
        <v>313</v>
      </c>
      <c r="I29" s="26" t="s">
        <v>314</v>
      </c>
      <c r="J29" s="26" t="s">
        <v>315</v>
      </c>
      <c r="K29" s="26" t="s">
        <v>316</v>
      </c>
    </row>
    <row r="30" spans="1:31" ht="15.6">
      <c r="A30" s="26" t="s">
        <v>295</v>
      </c>
      <c r="B30" s="74" t="s">
        <v>317</v>
      </c>
      <c r="C30" s="33" t="s">
        <v>319</v>
      </c>
      <c r="D30" s="33" t="s">
        <v>320</v>
      </c>
      <c r="E30" s="33" t="s">
        <v>321</v>
      </c>
      <c r="F30" s="33" t="s">
        <v>322</v>
      </c>
      <c r="G30" s="33" t="s">
        <v>323</v>
      </c>
      <c r="H30" s="26" t="s">
        <v>324</v>
      </c>
      <c r="I30" s="26" t="s">
        <v>325</v>
      </c>
      <c r="J30" s="26" t="s">
        <v>326</v>
      </c>
      <c r="K30" s="26" t="s">
        <v>327</v>
      </c>
      <c r="L30" s="33"/>
    </row>
    <row r="31" spans="1:31" ht="15.6">
      <c r="A31" s="26" t="s">
        <v>311</v>
      </c>
      <c r="B31" s="75" t="s">
        <v>328</v>
      </c>
      <c r="C31" s="33" t="s">
        <v>330</v>
      </c>
      <c r="D31" s="33" t="s">
        <v>331</v>
      </c>
      <c r="E31" s="33" t="s">
        <v>332</v>
      </c>
      <c r="F31" s="33" t="s">
        <v>333</v>
      </c>
      <c r="G31" s="33" t="s">
        <v>334</v>
      </c>
      <c r="H31" s="26" t="s">
        <v>160</v>
      </c>
      <c r="I31" s="26" t="s">
        <v>335</v>
      </c>
      <c r="J31" s="26" t="s">
        <v>336</v>
      </c>
      <c r="K31" s="26" t="s">
        <v>337</v>
      </c>
    </row>
    <row r="32" spans="1:31" ht="15.6">
      <c r="A32" s="26" t="s">
        <v>311</v>
      </c>
      <c r="B32" s="30" t="s">
        <v>338</v>
      </c>
      <c r="C32" s="33" t="s">
        <v>36</v>
      </c>
      <c r="D32" s="33" t="s">
        <v>339</v>
      </c>
      <c r="E32" s="33" t="s">
        <v>340</v>
      </c>
      <c r="F32" s="33" t="s">
        <v>341</v>
      </c>
      <c r="G32" s="33" t="s">
        <v>342</v>
      </c>
      <c r="H32" s="26" t="s">
        <v>343</v>
      </c>
      <c r="I32" s="26" t="s">
        <v>344</v>
      </c>
      <c r="J32" s="26" t="s">
        <v>345</v>
      </c>
      <c r="K32" s="26" t="s">
        <v>346</v>
      </c>
    </row>
    <row r="33" spans="1:11" ht="15.6">
      <c r="A33" s="26" t="s">
        <v>329</v>
      </c>
      <c r="B33" s="76" t="s">
        <v>347</v>
      </c>
      <c r="C33" s="33"/>
      <c r="D33" s="33"/>
      <c r="E33" s="33"/>
      <c r="F33" s="33"/>
      <c r="G33" s="33"/>
      <c r="H33" s="26"/>
      <c r="I33" s="26"/>
      <c r="J33" s="26"/>
      <c r="K33" s="26"/>
    </row>
    <row r="34" spans="1:11" ht="15.6">
      <c r="A34" s="26" t="s">
        <v>349</v>
      </c>
      <c r="B34" s="43" t="s">
        <v>351</v>
      </c>
      <c r="C34" s="33" t="s">
        <v>60</v>
      </c>
      <c r="D34" s="33" t="s">
        <v>352</v>
      </c>
      <c r="E34" s="33" t="s">
        <v>353</v>
      </c>
      <c r="F34" s="33" t="s">
        <v>354</v>
      </c>
      <c r="G34" s="33" t="s">
        <v>355</v>
      </c>
      <c r="H34" s="26" t="s">
        <v>356</v>
      </c>
      <c r="I34" s="26" t="s">
        <v>358</v>
      </c>
      <c r="J34" s="26" t="s">
        <v>359</v>
      </c>
      <c r="K34" s="26" t="s">
        <v>360</v>
      </c>
    </row>
    <row r="35" spans="1:11" ht="15.6">
      <c r="A35" s="26" t="s">
        <v>349</v>
      </c>
      <c r="B35" s="78" t="s">
        <v>362</v>
      </c>
      <c r="C35" s="33" t="s">
        <v>36</v>
      </c>
      <c r="D35" s="33" t="s">
        <v>364</v>
      </c>
      <c r="E35" s="33" t="s">
        <v>365</v>
      </c>
      <c r="F35" s="33" t="s">
        <v>366</v>
      </c>
      <c r="G35" s="33" t="s">
        <v>368</v>
      </c>
      <c r="H35" s="26" t="s">
        <v>369</v>
      </c>
      <c r="I35" s="26" t="s">
        <v>370</v>
      </c>
      <c r="J35" s="26" t="s">
        <v>371</v>
      </c>
      <c r="K35" s="26" t="s">
        <v>372</v>
      </c>
    </row>
    <row r="36" spans="1:11" ht="15.6">
      <c r="A36" s="26" t="s">
        <v>357</v>
      </c>
      <c r="B36" s="79" t="s">
        <v>374</v>
      </c>
      <c r="C36" s="33" t="s">
        <v>376</v>
      </c>
      <c r="D36" s="33" t="s">
        <v>377</v>
      </c>
      <c r="E36" s="33" t="s">
        <v>379</v>
      </c>
      <c r="F36" s="33" t="s">
        <v>380</v>
      </c>
      <c r="G36" s="33" t="s">
        <v>381</v>
      </c>
      <c r="H36" s="26" t="s">
        <v>382</v>
      </c>
      <c r="I36" s="26" t="s">
        <v>383</v>
      </c>
      <c r="J36" s="26" t="s">
        <v>384</v>
      </c>
      <c r="K36" s="26" t="s">
        <v>385</v>
      </c>
    </row>
    <row r="37" spans="1:11" ht="15.6">
      <c r="A37" s="26" t="s">
        <v>361</v>
      </c>
      <c r="B37" s="80" t="s">
        <v>386</v>
      </c>
      <c r="C37" s="33" t="s">
        <v>47</v>
      </c>
      <c r="D37" s="33" t="s">
        <v>387</v>
      </c>
      <c r="E37" s="33" t="s">
        <v>388</v>
      </c>
      <c r="F37" s="33" t="s">
        <v>389</v>
      </c>
      <c r="G37" s="33" t="s">
        <v>390</v>
      </c>
      <c r="H37" s="26" t="s">
        <v>391</v>
      </c>
      <c r="I37" s="26" t="s">
        <v>392</v>
      </c>
      <c r="J37" s="26" t="s">
        <v>393</v>
      </c>
      <c r="K37" s="26" t="s">
        <v>394</v>
      </c>
    </row>
    <row r="38" spans="1:11" ht="15.6">
      <c r="A38" s="51" t="s">
        <v>367</v>
      </c>
      <c r="B38" s="82" t="s">
        <v>395</v>
      </c>
      <c r="C38" s="33" t="s">
        <v>397</v>
      </c>
      <c r="D38" s="33" t="s">
        <v>398</v>
      </c>
      <c r="E38" s="33" t="s">
        <v>399</v>
      </c>
      <c r="F38" s="33" t="s">
        <v>400</v>
      </c>
      <c r="G38" s="33" t="s">
        <v>401</v>
      </c>
      <c r="H38" s="26" t="s">
        <v>402</v>
      </c>
      <c r="I38" s="26" t="s">
        <v>404</v>
      </c>
      <c r="J38" s="26" t="s">
        <v>405</v>
      </c>
      <c r="K38" s="51" t="s">
        <v>406</v>
      </c>
    </row>
    <row r="39" spans="1:11" ht="15.6">
      <c r="A39" s="26" t="s">
        <v>373</v>
      </c>
      <c r="B39" s="71" t="s">
        <v>408</v>
      </c>
      <c r="C39" s="33" t="s">
        <v>73</v>
      </c>
      <c r="D39" s="33" t="s">
        <v>409</v>
      </c>
      <c r="E39" s="33" t="s">
        <v>410</v>
      </c>
      <c r="F39" s="33" t="s">
        <v>411</v>
      </c>
      <c r="G39" s="33" t="s">
        <v>412</v>
      </c>
      <c r="H39" s="26" t="s">
        <v>413</v>
      </c>
      <c r="I39" s="26" t="s">
        <v>414</v>
      </c>
      <c r="J39" s="26" t="s">
        <v>416</v>
      </c>
      <c r="K39" s="26" t="s">
        <v>417</v>
      </c>
    </row>
    <row r="40" spans="1:11" ht="15.6">
      <c r="A40" s="26" t="s">
        <v>373</v>
      </c>
      <c r="B40" s="30" t="s">
        <v>418</v>
      </c>
      <c r="C40" s="33" t="s">
        <v>86</v>
      </c>
      <c r="D40" s="33" t="s">
        <v>419</v>
      </c>
      <c r="E40" s="33" t="s">
        <v>421</v>
      </c>
      <c r="F40" s="33" t="s">
        <v>422</v>
      </c>
      <c r="G40" s="33" t="s">
        <v>423</v>
      </c>
      <c r="H40" s="49" t="s">
        <v>424</v>
      </c>
      <c r="I40" s="49" t="s">
        <v>425</v>
      </c>
      <c r="J40" s="49" t="s">
        <v>426</v>
      </c>
      <c r="K40" s="49" t="s">
        <v>427</v>
      </c>
    </row>
    <row r="41" spans="1:11" ht="15.6">
      <c r="A41" s="26" t="s">
        <v>375</v>
      </c>
      <c r="B41" s="80" t="s">
        <v>429</v>
      </c>
      <c r="C41" s="33" t="s">
        <v>47</v>
      </c>
      <c r="D41" s="33" t="s">
        <v>430</v>
      </c>
      <c r="E41" s="33" t="s">
        <v>431</v>
      </c>
      <c r="F41" s="33" t="s">
        <v>432</v>
      </c>
      <c r="G41" s="33" t="s">
        <v>433</v>
      </c>
      <c r="H41" s="26" t="s">
        <v>435</v>
      </c>
      <c r="I41" s="26" t="s">
        <v>436</v>
      </c>
      <c r="J41" s="26" t="s">
        <v>437</v>
      </c>
      <c r="K41" s="26" t="s">
        <v>438</v>
      </c>
    </row>
    <row r="42" spans="1:11" ht="15.6">
      <c r="A42" s="26" t="s">
        <v>378</v>
      </c>
      <c r="B42" s="40" t="s">
        <v>439</v>
      </c>
      <c r="C42" s="33" t="s">
        <v>47</v>
      </c>
      <c r="D42" s="33" t="s">
        <v>440</v>
      </c>
      <c r="E42" s="33" t="s">
        <v>441</v>
      </c>
      <c r="F42" s="33" t="s">
        <v>442</v>
      </c>
      <c r="G42" s="33" t="s">
        <v>443</v>
      </c>
      <c r="H42" s="26" t="s">
        <v>444</v>
      </c>
      <c r="I42" s="26" t="s">
        <v>446</v>
      </c>
      <c r="J42" s="26" t="s">
        <v>447</v>
      </c>
      <c r="K42" s="26" t="s">
        <v>448</v>
      </c>
    </row>
    <row r="43" spans="1:11" ht="15.6">
      <c r="A43" s="26" t="s">
        <v>378</v>
      </c>
      <c r="B43" s="64" t="s">
        <v>449</v>
      </c>
      <c r="C43" s="33" t="s">
        <v>190</v>
      </c>
      <c r="D43" s="33" t="s">
        <v>450</v>
      </c>
      <c r="E43" s="33" t="s">
        <v>451</v>
      </c>
      <c r="F43" s="33" t="s">
        <v>452</v>
      </c>
      <c r="G43" s="33" t="s">
        <v>453</v>
      </c>
      <c r="H43" s="26" t="s">
        <v>455</v>
      </c>
      <c r="I43" s="26" t="s">
        <v>456</v>
      </c>
      <c r="J43" s="26" t="s">
        <v>457</v>
      </c>
      <c r="K43" s="26" t="s">
        <v>458</v>
      </c>
    </row>
    <row r="44" spans="1:11" ht="15.6">
      <c r="A44" s="26" t="s">
        <v>396</v>
      </c>
      <c r="B44" s="71" t="s">
        <v>459</v>
      </c>
      <c r="C44" s="33" t="s">
        <v>36</v>
      </c>
      <c r="D44" s="33" t="s">
        <v>460</v>
      </c>
      <c r="E44" s="33" t="s">
        <v>461</v>
      </c>
      <c r="F44" s="33" t="s">
        <v>462</v>
      </c>
      <c r="G44" s="33" t="s">
        <v>463</v>
      </c>
      <c r="H44" s="26" t="s">
        <v>464</v>
      </c>
      <c r="I44" s="26" t="s">
        <v>465</v>
      </c>
      <c r="J44" s="26" t="s">
        <v>466</v>
      </c>
      <c r="K44" s="26" t="s">
        <v>467</v>
      </c>
    </row>
    <row r="45" spans="1:11" ht="15.6">
      <c r="A45" s="26" t="s">
        <v>415</v>
      </c>
      <c r="B45" s="84" t="s">
        <v>468</v>
      </c>
      <c r="C45" s="33" t="s">
        <v>190</v>
      </c>
      <c r="D45" s="33" t="s">
        <v>470</v>
      </c>
      <c r="E45" s="33" t="s">
        <v>471</v>
      </c>
      <c r="F45" s="33" t="s">
        <v>472</v>
      </c>
      <c r="G45" s="33" t="s">
        <v>473</v>
      </c>
      <c r="H45" s="26" t="s">
        <v>474</v>
      </c>
      <c r="I45" s="26" t="s">
        <v>475</v>
      </c>
      <c r="J45" s="26" t="s">
        <v>476</v>
      </c>
      <c r="K45" s="26" t="s">
        <v>477</v>
      </c>
    </row>
    <row r="46" spans="1:11" ht="15.6">
      <c r="A46" s="26" t="s">
        <v>420</v>
      </c>
      <c r="B46" s="84" t="s">
        <v>479</v>
      </c>
      <c r="C46" s="33" t="s">
        <v>190</v>
      </c>
      <c r="D46" s="33" t="s">
        <v>480</v>
      </c>
      <c r="E46" s="33" t="s">
        <v>481</v>
      </c>
      <c r="F46" s="33" t="s">
        <v>482</v>
      </c>
      <c r="G46" s="33" t="s">
        <v>483</v>
      </c>
      <c r="H46" s="26" t="s">
        <v>484</v>
      </c>
      <c r="I46" s="26" t="s">
        <v>485</v>
      </c>
      <c r="J46" s="26" t="s">
        <v>486</v>
      </c>
      <c r="K46" s="26" t="s">
        <v>488</v>
      </c>
    </row>
    <row r="47" spans="1:11" ht="15.6">
      <c r="A47" s="26" t="s">
        <v>428</v>
      </c>
      <c r="B47" s="80" t="s">
        <v>490</v>
      </c>
      <c r="C47" s="33" t="s">
        <v>47</v>
      </c>
      <c r="D47" s="33" t="s">
        <v>491</v>
      </c>
      <c r="E47" s="33" t="s">
        <v>492</v>
      </c>
      <c r="F47" s="33" t="s">
        <v>493</v>
      </c>
      <c r="G47" s="33" t="s">
        <v>494</v>
      </c>
      <c r="H47" s="26" t="s">
        <v>495</v>
      </c>
      <c r="I47" s="26" t="s">
        <v>497</v>
      </c>
      <c r="J47" s="26" t="s">
        <v>498</v>
      </c>
      <c r="K47" s="26" t="s">
        <v>499</v>
      </c>
    </row>
    <row r="48" spans="1:11" ht="15.6">
      <c r="A48" s="26" t="s">
        <v>445</v>
      </c>
      <c r="B48" s="86" t="s">
        <v>500</v>
      </c>
      <c r="C48" s="33" t="s">
        <v>296</v>
      </c>
      <c r="D48" s="33" t="s">
        <v>502</v>
      </c>
      <c r="E48" s="33" t="s">
        <v>503</v>
      </c>
      <c r="F48" s="33" t="s">
        <v>504</v>
      </c>
      <c r="G48" s="33" t="s">
        <v>505</v>
      </c>
      <c r="H48" s="26" t="s">
        <v>506</v>
      </c>
      <c r="I48" s="26" t="s">
        <v>507</v>
      </c>
      <c r="J48" s="26" t="s">
        <v>508</v>
      </c>
      <c r="K48" s="26" t="s">
        <v>509</v>
      </c>
    </row>
    <row r="49" spans="1:19" ht="15.6">
      <c r="A49" s="26" t="s">
        <v>454</v>
      </c>
      <c r="B49" s="87" t="s">
        <v>512</v>
      </c>
      <c r="C49" s="33" t="s">
        <v>296</v>
      </c>
    </row>
    <row r="50" spans="1:19" ht="15.6">
      <c r="A50" s="26" t="s">
        <v>469</v>
      </c>
      <c r="B50" s="80" t="s">
        <v>514</v>
      </c>
      <c r="C50" s="33" t="s">
        <v>47</v>
      </c>
      <c r="D50" s="33" t="s">
        <v>515</v>
      </c>
      <c r="E50" s="33" t="s">
        <v>516</v>
      </c>
      <c r="F50" s="33" t="s">
        <v>517</v>
      </c>
      <c r="G50" s="33" t="s">
        <v>519</v>
      </c>
      <c r="H50" s="26" t="s">
        <v>520</v>
      </c>
      <c r="I50" s="26" t="s">
        <v>521</v>
      </c>
      <c r="J50" s="26" t="s">
        <v>522</v>
      </c>
      <c r="K50" s="26" t="s">
        <v>523</v>
      </c>
    </row>
    <row r="51" spans="1:19" ht="15.6">
      <c r="A51" s="26" t="s">
        <v>478</v>
      </c>
      <c r="B51" s="88" t="s">
        <v>526</v>
      </c>
      <c r="C51" s="33" t="s">
        <v>330</v>
      </c>
      <c r="D51" s="33" t="s">
        <v>527</v>
      </c>
      <c r="E51" s="33" t="s">
        <v>528</v>
      </c>
      <c r="F51" s="33" t="s">
        <v>529</v>
      </c>
      <c r="G51" s="33" t="s">
        <v>530</v>
      </c>
      <c r="H51" s="26" t="s">
        <v>532</v>
      </c>
      <c r="I51" s="26" t="s">
        <v>533</v>
      </c>
      <c r="J51" s="26" t="s">
        <v>534</v>
      </c>
      <c r="K51" s="26" t="s">
        <v>535</v>
      </c>
    </row>
    <row r="52" spans="1:19" ht="15.6">
      <c r="A52" s="26" t="s">
        <v>487</v>
      </c>
      <c r="B52" s="89" t="s">
        <v>537</v>
      </c>
      <c r="C52" s="33" t="s">
        <v>36</v>
      </c>
      <c r="D52" s="33" t="s">
        <v>539</v>
      </c>
      <c r="E52" s="33" t="s">
        <v>540</v>
      </c>
      <c r="F52" s="33" t="s">
        <v>541</v>
      </c>
      <c r="G52" s="33" t="s">
        <v>542</v>
      </c>
      <c r="H52" s="26" t="s">
        <v>543</v>
      </c>
      <c r="I52" s="26" t="s">
        <v>544</v>
      </c>
      <c r="J52" s="26" t="s">
        <v>546</v>
      </c>
      <c r="K52" s="26" t="s">
        <v>547</v>
      </c>
    </row>
    <row r="53" spans="1:19" ht="15.6">
      <c r="A53" s="26" t="s">
        <v>487</v>
      </c>
      <c r="B53" s="90" t="s">
        <v>549</v>
      </c>
      <c r="C53" s="33" t="s">
        <v>109</v>
      </c>
      <c r="H53" s="17" t="s">
        <v>550</v>
      </c>
      <c r="I53" s="17" t="s">
        <v>552</v>
      </c>
      <c r="J53" s="17" t="s">
        <v>553</v>
      </c>
      <c r="K53" s="17" t="s">
        <v>554</v>
      </c>
      <c r="L53" s="17" t="s">
        <v>555</v>
      </c>
      <c r="M53" s="17" t="s">
        <v>556</v>
      </c>
      <c r="N53" s="17" t="s">
        <v>558</v>
      </c>
      <c r="O53" s="17" t="s">
        <v>559</v>
      </c>
    </row>
    <row r="54" spans="1:19" ht="15.6">
      <c r="A54" s="26" t="s">
        <v>496</v>
      </c>
      <c r="B54" s="71" t="s">
        <v>560</v>
      </c>
      <c r="C54" s="33" t="s">
        <v>36</v>
      </c>
      <c r="D54" s="33"/>
      <c r="E54" s="33"/>
      <c r="F54" s="33"/>
      <c r="G54" s="33"/>
      <c r="H54" s="26" t="s">
        <v>562</v>
      </c>
      <c r="I54" s="26" t="s">
        <v>563</v>
      </c>
      <c r="J54" s="26" t="s">
        <v>564</v>
      </c>
      <c r="K54" s="26" t="s">
        <v>565</v>
      </c>
    </row>
    <row r="55" spans="1:19" ht="15.6">
      <c r="A55" s="26" t="s">
        <v>501</v>
      </c>
      <c r="B55" s="71" t="s">
        <v>566</v>
      </c>
      <c r="C55" s="33" t="s">
        <v>36</v>
      </c>
      <c r="D55" s="33"/>
      <c r="E55" s="33"/>
      <c r="F55" s="33"/>
      <c r="G55" s="33"/>
      <c r="H55" s="26" t="s">
        <v>567</v>
      </c>
      <c r="I55" s="26" t="s">
        <v>568</v>
      </c>
      <c r="J55" s="26" t="s">
        <v>569</v>
      </c>
      <c r="K55" s="26" t="s">
        <v>570</v>
      </c>
    </row>
    <row r="56" spans="1:19" ht="15.6">
      <c r="A56" s="26" t="s">
        <v>510</v>
      </c>
      <c r="B56" s="71" t="s">
        <v>572</v>
      </c>
      <c r="C56" s="33" t="s">
        <v>36</v>
      </c>
      <c r="D56" s="33" t="s">
        <v>573</v>
      </c>
      <c r="E56" s="33" t="s">
        <v>574</v>
      </c>
      <c r="F56" s="33" t="s">
        <v>575</v>
      </c>
      <c r="G56" s="33" t="s">
        <v>576</v>
      </c>
      <c r="H56" s="26" t="s">
        <v>578</v>
      </c>
      <c r="I56" s="26" t="s">
        <v>579</v>
      </c>
      <c r="J56" s="26" t="s">
        <v>580</v>
      </c>
      <c r="K56" s="26" t="s">
        <v>581</v>
      </c>
    </row>
    <row r="57" spans="1:19" ht="15.6">
      <c r="A57" s="26" t="s">
        <v>511</v>
      </c>
      <c r="B57" s="71" t="s">
        <v>582</v>
      </c>
      <c r="C57" s="17" t="s">
        <v>36</v>
      </c>
      <c r="H57" s="26" t="s">
        <v>583</v>
      </c>
      <c r="I57" s="26" t="s">
        <v>584</v>
      </c>
      <c r="J57" s="26" t="s">
        <v>585</v>
      </c>
      <c r="K57" s="26" t="s">
        <v>587</v>
      </c>
      <c r="L57" s="33"/>
      <c r="M57" s="33"/>
      <c r="N57" s="33"/>
      <c r="O57" s="33"/>
      <c r="P57" s="33"/>
      <c r="Q57" s="33"/>
      <c r="R57" s="33"/>
      <c r="S57" s="33"/>
    </row>
    <row r="58" spans="1:19" ht="15.6">
      <c r="A58" s="26" t="s">
        <v>513</v>
      </c>
      <c r="B58" s="71" t="s">
        <v>588</v>
      </c>
      <c r="C58" s="33" t="s">
        <v>36</v>
      </c>
      <c r="D58" s="33"/>
      <c r="E58" s="33"/>
      <c r="F58" s="33"/>
      <c r="G58" s="33"/>
      <c r="H58" s="26" t="s">
        <v>589</v>
      </c>
      <c r="I58" s="26" t="s">
        <v>590</v>
      </c>
      <c r="J58" s="26" t="s">
        <v>591</v>
      </c>
      <c r="K58" s="26" t="s">
        <v>592</v>
      </c>
    </row>
    <row r="59" spans="1:19" ht="15.6">
      <c r="A59" s="26" t="s">
        <v>518</v>
      </c>
      <c r="B59" s="71" t="s">
        <v>593</v>
      </c>
      <c r="C59" s="33" t="s">
        <v>36</v>
      </c>
      <c r="D59" s="33" t="s">
        <v>594</v>
      </c>
      <c r="E59" s="33" t="s">
        <v>595</v>
      </c>
      <c r="F59" s="33" t="s">
        <v>596</v>
      </c>
      <c r="G59" s="33" t="s">
        <v>597</v>
      </c>
      <c r="H59" s="26" t="s">
        <v>598</v>
      </c>
      <c r="I59" s="26" t="s">
        <v>599</v>
      </c>
      <c r="J59" s="26" t="s">
        <v>601</v>
      </c>
      <c r="K59" s="26" t="s">
        <v>602</v>
      </c>
    </row>
    <row r="60" spans="1:19" ht="15.6">
      <c r="A60" s="26" t="s">
        <v>524</v>
      </c>
      <c r="B60" s="94" t="s">
        <v>603</v>
      </c>
      <c r="C60" s="33" t="s">
        <v>60</v>
      </c>
      <c r="D60" s="33" t="s">
        <v>605</v>
      </c>
      <c r="E60" s="33" t="s">
        <v>606</v>
      </c>
      <c r="F60" s="33" t="s">
        <v>607</v>
      </c>
      <c r="G60" s="33" t="s">
        <v>608</v>
      </c>
      <c r="H60" s="26" t="s">
        <v>609</v>
      </c>
      <c r="I60" s="26" t="s">
        <v>610</v>
      </c>
      <c r="J60" s="26" t="s">
        <v>611</v>
      </c>
      <c r="K60" s="26" t="s">
        <v>612</v>
      </c>
      <c r="L60" s="49"/>
      <c r="M60" s="49"/>
      <c r="N60" s="49"/>
      <c r="O60" s="49"/>
    </row>
    <row r="61" spans="1:19" ht="15.6">
      <c r="A61" s="26" t="s">
        <v>524</v>
      </c>
      <c r="B61" s="43" t="s">
        <v>613</v>
      </c>
      <c r="C61" s="33" t="s">
        <v>214</v>
      </c>
      <c r="D61" s="33"/>
      <c r="E61" s="33"/>
      <c r="F61" s="33"/>
      <c r="G61" s="33"/>
      <c r="H61" s="49" t="s">
        <v>615</v>
      </c>
      <c r="I61" s="49" t="s">
        <v>616</v>
      </c>
      <c r="J61" s="49" t="s">
        <v>617</v>
      </c>
      <c r="K61" s="49" t="s">
        <v>618</v>
      </c>
    </row>
    <row r="62" spans="1:19" ht="15.6">
      <c r="A62" s="26" t="s">
        <v>531</v>
      </c>
      <c r="B62" s="96" t="s">
        <v>620</v>
      </c>
      <c r="C62" s="33" t="s">
        <v>36</v>
      </c>
      <c r="D62" s="33" t="s">
        <v>622</v>
      </c>
      <c r="E62" s="33" t="s">
        <v>623</v>
      </c>
      <c r="F62" s="33" t="s">
        <v>624</v>
      </c>
      <c r="G62" s="33" t="s">
        <v>625</v>
      </c>
      <c r="H62" s="26" t="s">
        <v>148</v>
      </c>
      <c r="I62" s="26" t="s">
        <v>627</v>
      </c>
      <c r="J62" s="26" t="s">
        <v>221</v>
      </c>
      <c r="K62" s="26" t="s">
        <v>628</v>
      </c>
    </row>
    <row r="63" spans="1:19" ht="15.6">
      <c r="A63" s="26" t="s">
        <v>531</v>
      </c>
      <c r="B63" s="78" t="s">
        <v>629</v>
      </c>
      <c r="C63" s="33" t="s">
        <v>109</v>
      </c>
      <c r="D63" s="49" t="s">
        <v>631</v>
      </c>
      <c r="E63" s="49" t="s">
        <v>632</v>
      </c>
      <c r="F63" s="49" t="s">
        <v>633</v>
      </c>
      <c r="G63" s="49" t="s">
        <v>634</v>
      </c>
      <c r="H63" s="26"/>
      <c r="I63" s="26"/>
      <c r="J63" s="26"/>
      <c r="K63" s="26"/>
    </row>
    <row r="64" spans="1:19" ht="15.6">
      <c r="A64" s="26" t="s">
        <v>536</v>
      </c>
      <c r="B64" s="98" t="s">
        <v>636</v>
      </c>
      <c r="C64" s="33" t="s">
        <v>637</v>
      </c>
      <c r="D64" s="33" t="s">
        <v>638</v>
      </c>
      <c r="E64" s="33" t="s">
        <v>639</v>
      </c>
      <c r="F64" s="33" t="s">
        <v>640</v>
      </c>
      <c r="G64" s="33" t="s">
        <v>641</v>
      </c>
      <c r="H64" s="99" t="s">
        <v>642</v>
      </c>
      <c r="I64" s="26" t="s">
        <v>644</v>
      </c>
      <c r="J64" s="26" t="s">
        <v>645</v>
      </c>
      <c r="K64" s="26" t="s">
        <v>646</v>
      </c>
    </row>
    <row r="65" spans="1:15" ht="15.6">
      <c r="A65" s="26" t="s">
        <v>538</v>
      </c>
      <c r="B65" s="80" t="s">
        <v>647</v>
      </c>
      <c r="C65" s="33" t="s">
        <v>47</v>
      </c>
      <c r="D65" s="33" t="s">
        <v>648</v>
      </c>
      <c r="E65" s="33" t="s">
        <v>649</v>
      </c>
      <c r="F65" s="33" t="s">
        <v>651</v>
      </c>
      <c r="G65" s="33" t="s">
        <v>652</v>
      </c>
      <c r="H65" s="26" t="s">
        <v>653</v>
      </c>
      <c r="I65" s="26" t="s">
        <v>654</v>
      </c>
      <c r="J65" s="26" t="s">
        <v>655</v>
      </c>
      <c r="K65" s="26" t="s">
        <v>656</v>
      </c>
      <c r="L65" s="49" t="s">
        <v>658</v>
      </c>
      <c r="M65" s="49" t="s">
        <v>659</v>
      </c>
      <c r="N65" s="49" t="s">
        <v>660</v>
      </c>
      <c r="O65" s="49" t="s">
        <v>661</v>
      </c>
    </row>
    <row r="66" spans="1:15" ht="15.6">
      <c r="A66" s="26" t="s">
        <v>545</v>
      </c>
      <c r="B66" s="71" t="s">
        <v>664</v>
      </c>
      <c r="C66" s="33" t="s">
        <v>36</v>
      </c>
      <c r="D66" s="33" t="s">
        <v>665</v>
      </c>
      <c r="E66" s="33" t="s">
        <v>666</v>
      </c>
      <c r="F66" s="33" t="s">
        <v>667</v>
      </c>
      <c r="G66" s="33" t="s">
        <v>668</v>
      </c>
      <c r="H66" s="26" t="s">
        <v>670</v>
      </c>
      <c r="I66" s="26" t="s">
        <v>671</v>
      </c>
      <c r="J66" s="26" t="s">
        <v>672</v>
      </c>
      <c r="K66" s="26" t="s">
        <v>673</v>
      </c>
    </row>
    <row r="67" spans="1:15" ht="15.6">
      <c r="A67" s="26" t="s">
        <v>548</v>
      </c>
      <c r="B67" s="94" t="s">
        <v>675</v>
      </c>
      <c r="C67" s="33" t="s">
        <v>60</v>
      </c>
      <c r="D67" s="33" t="s">
        <v>676</v>
      </c>
      <c r="E67" s="33" t="s">
        <v>678</v>
      </c>
      <c r="F67" s="33" t="s">
        <v>679</v>
      </c>
      <c r="G67" s="33" t="s">
        <v>680</v>
      </c>
      <c r="H67" s="26" t="s">
        <v>681</v>
      </c>
      <c r="I67" s="26" t="s">
        <v>682</v>
      </c>
      <c r="J67" s="26" t="s">
        <v>683</v>
      </c>
      <c r="K67" s="26" t="s">
        <v>685</v>
      </c>
    </row>
    <row r="68" spans="1:15" ht="15.6">
      <c r="A68" s="26" t="s">
        <v>551</v>
      </c>
      <c r="B68" s="100" t="s">
        <v>687</v>
      </c>
      <c r="C68" s="33" t="s">
        <v>637</v>
      </c>
      <c r="D68" s="33" t="s">
        <v>690</v>
      </c>
      <c r="E68" s="33" t="s">
        <v>691</v>
      </c>
      <c r="F68" s="33" t="s">
        <v>692</v>
      </c>
      <c r="G68" s="33" t="s">
        <v>693</v>
      </c>
      <c r="H68" s="26" t="s">
        <v>694</v>
      </c>
      <c r="I68" s="26" t="s">
        <v>696</v>
      </c>
      <c r="J68" s="26" t="s">
        <v>697</v>
      </c>
      <c r="K68" s="26" t="s">
        <v>698</v>
      </c>
    </row>
    <row r="69" spans="1:15" ht="15.6">
      <c r="A69" s="26" t="s">
        <v>551</v>
      </c>
      <c r="B69" s="101" t="s">
        <v>700</v>
      </c>
      <c r="C69" s="33" t="s">
        <v>397</v>
      </c>
      <c r="D69" s="33" t="s">
        <v>702</v>
      </c>
      <c r="E69" s="33" t="s">
        <v>703</v>
      </c>
      <c r="F69" s="33" t="s">
        <v>705</v>
      </c>
      <c r="G69" s="33" t="s">
        <v>706</v>
      </c>
      <c r="H69" s="26" t="s">
        <v>707</v>
      </c>
      <c r="I69" s="26" t="s">
        <v>708</v>
      </c>
      <c r="J69" s="26" t="s">
        <v>709</v>
      </c>
      <c r="K69" s="26" t="s">
        <v>711</v>
      </c>
    </row>
    <row r="70" spans="1:15" ht="15.6">
      <c r="A70" s="26" t="s">
        <v>557</v>
      </c>
      <c r="B70" s="64" t="s">
        <v>712</v>
      </c>
      <c r="C70" s="33" t="s">
        <v>190</v>
      </c>
      <c r="D70" s="33" t="s">
        <v>714</v>
      </c>
      <c r="E70" s="33" t="s">
        <v>715</v>
      </c>
      <c r="F70" s="33" t="s">
        <v>716</v>
      </c>
      <c r="G70" s="33" t="s">
        <v>717</v>
      </c>
      <c r="H70" s="26" t="s">
        <v>718</v>
      </c>
      <c r="I70" s="26" t="s">
        <v>719</v>
      </c>
      <c r="J70" s="26" t="s">
        <v>721</v>
      </c>
      <c r="K70" s="51" t="s">
        <v>363</v>
      </c>
    </row>
    <row r="71" spans="1:15" ht="15.6">
      <c r="A71" s="26" t="s">
        <v>557</v>
      </c>
      <c r="B71" s="40" t="s">
        <v>722</v>
      </c>
      <c r="C71" s="33" t="s">
        <v>47</v>
      </c>
      <c r="D71" s="33" t="s">
        <v>724</v>
      </c>
      <c r="E71" s="33" t="s">
        <v>725</v>
      </c>
      <c r="F71" s="33" t="s">
        <v>726</v>
      </c>
      <c r="G71" s="33" t="s">
        <v>727</v>
      </c>
    </row>
    <row r="72" spans="1:15" ht="15.6">
      <c r="A72" s="51" t="s">
        <v>561</v>
      </c>
      <c r="B72" s="30" t="s">
        <v>729</v>
      </c>
      <c r="C72" s="33" t="s">
        <v>109</v>
      </c>
      <c r="D72" s="33" t="s">
        <v>730</v>
      </c>
      <c r="E72" s="33" t="s">
        <v>731</v>
      </c>
      <c r="F72" s="33" t="s">
        <v>732</v>
      </c>
      <c r="G72" s="33" t="s">
        <v>733</v>
      </c>
      <c r="H72" s="49" t="s">
        <v>735</v>
      </c>
      <c r="I72" s="49" t="s">
        <v>736</v>
      </c>
      <c r="J72" s="49" t="s">
        <v>737</v>
      </c>
      <c r="K72" s="49" t="s">
        <v>738</v>
      </c>
    </row>
    <row r="73" spans="1:15" ht="15.6">
      <c r="A73" s="26" t="s">
        <v>571</v>
      </c>
      <c r="B73" s="102" t="s">
        <v>740</v>
      </c>
      <c r="C73" s="33" t="s">
        <v>296</v>
      </c>
      <c r="D73" s="33" t="s">
        <v>742</v>
      </c>
      <c r="E73" s="33" t="s">
        <v>744</v>
      </c>
      <c r="F73" s="33" t="s">
        <v>745</v>
      </c>
      <c r="G73" s="33" t="s">
        <v>746</v>
      </c>
      <c r="H73" s="26" t="s">
        <v>747</v>
      </c>
      <c r="I73" s="26" t="s">
        <v>748</v>
      </c>
      <c r="J73" s="51" t="s">
        <v>749</v>
      </c>
      <c r="K73" s="26" t="s">
        <v>751</v>
      </c>
    </row>
    <row r="74" spans="1:15" ht="15.6">
      <c r="A74" s="26" t="s">
        <v>577</v>
      </c>
      <c r="B74" s="73" t="s">
        <v>753</v>
      </c>
      <c r="C74" s="33" t="s">
        <v>307</v>
      </c>
      <c r="D74" s="33" t="s">
        <v>754</v>
      </c>
      <c r="E74" s="33" t="s">
        <v>755</v>
      </c>
      <c r="F74" s="33" t="s">
        <v>756</v>
      </c>
      <c r="G74" s="33" t="s">
        <v>757</v>
      </c>
      <c r="H74" s="26" t="s">
        <v>759</v>
      </c>
      <c r="I74" s="26" t="s">
        <v>760</v>
      </c>
      <c r="J74" s="26" t="s">
        <v>761</v>
      </c>
      <c r="K74" s="26" t="s">
        <v>762</v>
      </c>
    </row>
    <row r="75" spans="1:15" ht="15.6">
      <c r="A75" s="26" t="s">
        <v>586</v>
      </c>
      <c r="B75" s="79" t="s">
        <v>764</v>
      </c>
      <c r="C75" s="33" t="s">
        <v>376</v>
      </c>
      <c r="D75" s="33" t="s">
        <v>765</v>
      </c>
      <c r="E75" s="33" t="s">
        <v>766</v>
      </c>
      <c r="F75" s="33" t="s">
        <v>767</v>
      </c>
      <c r="G75" s="33" t="s">
        <v>770</v>
      </c>
      <c r="H75" s="26" t="s">
        <v>772</v>
      </c>
      <c r="I75" s="26" t="s">
        <v>773</v>
      </c>
      <c r="J75" s="26" t="s">
        <v>774</v>
      </c>
      <c r="K75" s="26" t="s">
        <v>775</v>
      </c>
    </row>
    <row r="76" spans="1:15" ht="15.6">
      <c r="A76" s="26" t="s">
        <v>600</v>
      </c>
      <c r="B76" s="94" t="s">
        <v>776</v>
      </c>
      <c r="C76" s="17" t="s">
        <v>214</v>
      </c>
      <c r="D76" s="33" t="s">
        <v>777</v>
      </c>
      <c r="E76" s="33" t="s">
        <v>778</v>
      </c>
      <c r="F76" s="33" t="s">
        <v>779</v>
      </c>
      <c r="G76" s="33" t="s">
        <v>780</v>
      </c>
      <c r="H76" s="33" t="s">
        <v>781</v>
      </c>
      <c r="I76" s="33" t="s">
        <v>782</v>
      </c>
      <c r="J76" s="33" t="s">
        <v>783</v>
      </c>
      <c r="K76" s="33" t="s">
        <v>784</v>
      </c>
    </row>
    <row r="77" spans="1:15" ht="15.6">
      <c r="A77" s="34" t="s">
        <v>604</v>
      </c>
      <c r="B77" s="103" t="s">
        <v>787</v>
      </c>
      <c r="C77" s="33" t="s">
        <v>790</v>
      </c>
      <c r="D77" s="33" t="s">
        <v>791</v>
      </c>
      <c r="E77" s="33" t="s">
        <v>792</v>
      </c>
      <c r="F77" s="33" t="s">
        <v>793</v>
      </c>
      <c r="G77" s="33" t="s">
        <v>794</v>
      </c>
      <c r="H77" s="49" t="s">
        <v>795</v>
      </c>
      <c r="I77" s="49" t="s">
        <v>796</v>
      </c>
      <c r="J77" s="49" t="s">
        <v>797</v>
      </c>
      <c r="K77" s="49" t="s">
        <v>350</v>
      </c>
    </row>
    <row r="78" spans="1:15" ht="15.6">
      <c r="A78" s="83" t="s">
        <v>614</v>
      </c>
      <c r="B78" s="102" t="s">
        <v>800</v>
      </c>
      <c r="C78" s="33" t="s">
        <v>296</v>
      </c>
      <c r="D78" s="33" t="s">
        <v>802</v>
      </c>
      <c r="E78" s="33" t="s">
        <v>803</v>
      </c>
      <c r="F78" s="33" t="s">
        <v>804</v>
      </c>
      <c r="G78" s="33" t="s">
        <v>805</v>
      </c>
      <c r="H78" s="49" t="s">
        <v>806</v>
      </c>
      <c r="I78" s="49" t="s">
        <v>807</v>
      </c>
      <c r="J78" s="49" t="s">
        <v>808</v>
      </c>
      <c r="K78" s="49" t="s">
        <v>809</v>
      </c>
    </row>
    <row r="79" spans="1:15" ht="15.6">
      <c r="A79" s="34" t="s">
        <v>619</v>
      </c>
      <c r="B79" s="98" t="s">
        <v>810</v>
      </c>
      <c r="C79" s="17" t="s">
        <v>637</v>
      </c>
      <c r="D79" s="33" t="s">
        <v>811</v>
      </c>
      <c r="E79" s="33" t="s">
        <v>812</v>
      </c>
      <c r="F79" s="33" t="s">
        <v>813</v>
      </c>
      <c r="G79" s="33" t="s">
        <v>814</v>
      </c>
    </row>
    <row r="80" spans="1:15" ht="15.6">
      <c r="A80" s="34" t="s">
        <v>621</v>
      </c>
      <c r="B80" s="104" t="s">
        <v>817</v>
      </c>
      <c r="C80" s="33" t="s">
        <v>397</v>
      </c>
      <c r="D80" s="33" t="s">
        <v>819</v>
      </c>
      <c r="E80" s="33" t="s">
        <v>820</v>
      </c>
      <c r="F80" s="33" t="s">
        <v>822</v>
      </c>
      <c r="G80" s="33" t="s">
        <v>823</v>
      </c>
      <c r="H80" s="49" t="s">
        <v>824</v>
      </c>
      <c r="I80" s="49" t="s">
        <v>825</v>
      </c>
      <c r="J80" s="49" t="s">
        <v>826</v>
      </c>
      <c r="K80" s="49" t="s">
        <v>827</v>
      </c>
    </row>
    <row r="81" spans="1:15" ht="15.6">
      <c r="A81" s="34" t="s">
        <v>626</v>
      </c>
      <c r="B81" s="30" t="s">
        <v>829</v>
      </c>
      <c r="C81" s="17" t="s">
        <v>830</v>
      </c>
      <c r="D81" s="33" t="s">
        <v>832</v>
      </c>
      <c r="E81" s="33" t="s">
        <v>833</v>
      </c>
      <c r="F81" s="33" t="s">
        <v>834</v>
      </c>
      <c r="G81" s="33" t="s">
        <v>835</v>
      </c>
    </row>
    <row r="82" spans="1:15" ht="15.6">
      <c r="A82" s="34" t="s">
        <v>630</v>
      </c>
      <c r="B82" s="105" t="s">
        <v>837</v>
      </c>
      <c r="C82" s="33" t="s">
        <v>73</v>
      </c>
      <c r="D82" s="33" t="s">
        <v>839</v>
      </c>
      <c r="E82" s="33" t="s">
        <v>840</v>
      </c>
      <c r="F82" s="33" t="s">
        <v>842</v>
      </c>
      <c r="G82" s="33" t="s">
        <v>843</v>
      </c>
      <c r="H82" s="49" t="s">
        <v>844</v>
      </c>
      <c r="I82" s="49" t="s">
        <v>845</v>
      </c>
      <c r="J82" s="49" t="s">
        <v>846</v>
      </c>
      <c r="K82" s="49" t="s">
        <v>848</v>
      </c>
      <c r="L82" s="33" t="s">
        <v>849</v>
      </c>
    </row>
    <row r="83" spans="1:15" ht="15.6">
      <c r="A83" s="34" t="s">
        <v>630</v>
      </c>
      <c r="B83" s="108" t="s">
        <v>851</v>
      </c>
      <c r="C83" s="33" t="s">
        <v>86</v>
      </c>
      <c r="D83" s="33"/>
      <c r="E83" s="33"/>
      <c r="F83" s="33"/>
      <c r="G83" s="33"/>
      <c r="H83" s="49" t="s">
        <v>852</v>
      </c>
      <c r="I83" s="49" t="s">
        <v>853</v>
      </c>
      <c r="J83" s="49" t="s">
        <v>854</v>
      </c>
      <c r="K83" s="49" t="s">
        <v>855</v>
      </c>
    </row>
    <row r="84" spans="1:15" ht="15.6">
      <c r="A84" s="36" t="s">
        <v>635</v>
      </c>
      <c r="B84" s="111" t="s">
        <v>858</v>
      </c>
      <c r="C84" s="33" t="s">
        <v>859</v>
      </c>
      <c r="D84" s="33" t="s">
        <v>861</v>
      </c>
      <c r="E84" s="33" t="s">
        <v>862</v>
      </c>
      <c r="F84" s="33" t="s">
        <v>863</v>
      </c>
      <c r="G84" s="33" t="s">
        <v>864</v>
      </c>
      <c r="H84" s="17" t="s">
        <v>865</v>
      </c>
      <c r="I84" s="17" t="s">
        <v>866</v>
      </c>
      <c r="J84" s="17" t="s">
        <v>868</v>
      </c>
      <c r="K84" s="17" t="s">
        <v>869</v>
      </c>
    </row>
    <row r="85" spans="1:15" ht="15.6">
      <c r="A85" s="36" t="s">
        <v>643</v>
      </c>
      <c r="B85" s="114" t="s">
        <v>871</v>
      </c>
      <c r="C85" s="33" t="s">
        <v>873</v>
      </c>
      <c r="D85" s="33" t="s">
        <v>874</v>
      </c>
      <c r="E85" s="33" t="s">
        <v>875</v>
      </c>
      <c r="F85" s="33" t="s">
        <v>876</v>
      </c>
      <c r="G85" s="33" t="s">
        <v>877</v>
      </c>
    </row>
    <row r="86" spans="1:15" ht="15.6">
      <c r="A86" s="36" t="s">
        <v>650</v>
      </c>
      <c r="B86" s="114" t="s">
        <v>878</v>
      </c>
      <c r="C86" s="17" t="s">
        <v>873</v>
      </c>
      <c r="D86" s="33" t="s">
        <v>879</v>
      </c>
      <c r="E86" s="33" t="s">
        <v>880</v>
      </c>
      <c r="F86" s="33" t="s">
        <v>881</v>
      </c>
      <c r="G86" s="33" t="s">
        <v>882</v>
      </c>
      <c r="H86" s="33" t="s">
        <v>883</v>
      </c>
      <c r="I86" s="33" t="s">
        <v>884</v>
      </c>
      <c r="J86" s="33" t="s">
        <v>885</v>
      </c>
      <c r="K86" s="33" t="s">
        <v>886</v>
      </c>
    </row>
    <row r="87" spans="1:15" ht="15.6">
      <c r="A87" s="36" t="s">
        <v>657</v>
      </c>
      <c r="B87" s="71" t="s">
        <v>887</v>
      </c>
      <c r="C87" s="33" t="s">
        <v>888</v>
      </c>
      <c r="D87" s="33" t="s">
        <v>889</v>
      </c>
      <c r="E87" s="33" t="s">
        <v>890</v>
      </c>
      <c r="F87" s="33" t="s">
        <v>891</v>
      </c>
      <c r="G87" s="33" t="s">
        <v>892</v>
      </c>
      <c r="H87" s="33" t="s">
        <v>893</v>
      </c>
      <c r="I87" s="33" t="s">
        <v>894</v>
      </c>
      <c r="J87" s="33" t="s">
        <v>895</v>
      </c>
      <c r="K87" s="33" t="s">
        <v>896</v>
      </c>
      <c r="L87" s="33" t="s">
        <v>897</v>
      </c>
      <c r="M87" s="33" t="s">
        <v>898</v>
      </c>
      <c r="N87" s="33" t="s">
        <v>899</v>
      </c>
      <c r="O87" s="33" t="s">
        <v>900</v>
      </c>
    </row>
    <row r="88" spans="1:15" ht="15.6">
      <c r="A88" s="36" t="s">
        <v>662</v>
      </c>
      <c r="B88" s="114" t="s">
        <v>902</v>
      </c>
      <c r="C88" s="33" t="s">
        <v>873</v>
      </c>
      <c r="D88" s="33" t="s">
        <v>903</v>
      </c>
      <c r="E88" s="33" t="s">
        <v>905</v>
      </c>
      <c r="F88" s="33" t="s">
        <v>906</v>
      </c>
      <c r="G88" s="33" t="s">
        <v>907</v>
      </c>
      <c r="H88" s="33"/>
      <c r="I88" s="33"/>
      <c r="J88" s="33"/>
      <c r="K88" s="292"/>
      <c r="L88" s="293"/>
    </row>
    <row r="89" spans="1:15" ht="15.6">
      <c r="A89" s="36" t="s">
        <v>663</v>
      </c>
      <c r="B89" s="114" t="s">
        <v>909</v>
      </c>
      <c r="C89" s="33" t="s">
        <v>873</v>
      </c>
      <c r="D89" s="33" t="s">
        <v>911</v>
      </c>
      <c r="E89" s="33" t="s">
        <v>912</v>
      </c>
      <c r="F89" s="33" t="s">
        <v>913</v>
      </c>
      <c r="G89" s="33" t="s">
        <v>914</v>
      </c>
      <c r="H89" s="33" t="s">
        <v>916</v>
      </c>
      <c r="I89" s="33" t="s">
        <v>917</v>
      </c>
      <c r="J89" s="33" t="s">
        <v>918</v>
      </c>
      <c r="K89" s="292" t="s">
        <v>919</v>
      </c>
      <c r="L89" s="293"/>
    </row>
    <row r="90" spans="1:15" ht="15.6">
      <c r="A90" s="36" t="s">
        <v>663</v>
      </c>
      <c r="B90" s="120" t="s">
        <v>922</v>
      </c>
      <c r="C90" s="33" t="s">
        <v>859</v>
      </c>
      <c r="D90" s="33" t="s">
        <v>923</v>
      </c>
      <c r="E90" s="33" t="s">
        <v>925</v>
      </c>
      <c r="F90" s="33" t="s">
        <v>926</v>
      </c>
      <c r="G90" s="33" t="s">
        <v>927</v>
      </c>
      <c r="H90" s="33" t="s">
        <v>928</v>
      </c>
      <c r="I90" s="33" t="s">
        <v>929</v>
      </c>
      <c r="J90" s="33" t="s">
        <v>930</v>
      </c>
      <c r="K90" s="292" t="s">
        <v>932</v>
      </c>
      <c r="L90" s="293"/>
    </row>
    <row r="91" spans="1:15" ht="15.6">
      <c r="A91" s="36" t="s">
        <v>663</v>
      </c>
      <c r="B91" s="71" t="s">
        <v>934</v>
      </c>
      <c r="C91" s="33" t="s">
        <v>888</v>
      </c>
      <c r="D91" s="33" t="s">
        <v>935</v>
      </c>
      <c r="E91" s="33" t="s">
        <v>936</v>
      </c>
      <c r="F91" s="33" t="s">
        <v>937</v>
      </c>
      <c r="G91" s="33" t="s">
        <v>938</v>
      </c>
      <c r="H91" s="33" t="s">
        <v>940</v>
      </c>
      <c r="I91" s="33" t="s">
        <v>941</v>
      </c>
      <c r="J91" s="33" t="s">
        <v>942</v>
      </c>
      <c r="K91" s="292" t="s">
        <v>943</v>
      </c>
      <c r="L91" s="293"/>
    </row>
    <row r="92" spans="1:15" ht="15.6">
      <c r="A92" s="121" t="s">
        <v>669</v>
      </c>
      <c r="B92" s="30" t="s">
        <v>946</v>
      </c>
      <c r="C92" s="33" t="s">
        <v>109</v>
      </c>
      <c r="D92" s="33" t="s">
        <v>947</v>
      </c>
      <c r="E92" s="33" t="s">
        <v>948</v>
      </c>
      <c r="F92" s="33" t="s">
        <v>950</v>
      </c>
      <c r="G92" s="33" t="s">
        <v>951</v>
      </c>
      <c r="H92" s="33" t="s">
        <v>952</v>
      </c>
      <c r="I92" s="33" t="s">
        <v>953</v>
      </c>
      <c r="J92" s="33" t="s">
        <v>954</v>
      </c>
      <c r="K92" s="33" t="s">
        <v>955</v>
      </c>
    </row>
    <row r="93" spans="1:15" ht="15.6">
      <c r="A93" s="123" t="s">
        <v>674</v>
      </c>
      <c r="B93" s="125" t="s">
        <v>957</v>
      </c>
      <c r="C93" s="17" t="s">
        <v>60</v>
      </c>
      <c r="D93" s="17" t="s">
        <v>959</v>
      </c>
      <c r="E93" s="17" t="s">
        <v>960</v>
      </c>
      <c r="F93" s="17" t="s">
        <v>961</v>
      </c>
      <c r="G93" s="17" t="s">
        <v>963</v>
      </c>
      <c r="H93" s="33" t="s">
        <v>964</v>
      </c>
      <c r="I93" s="33" t="s">
        <v>965</v>
      </c>
      <c r="J93" s="33" t="s">
        <v>966</v>
      </c>
      <c r="K93" s="33" t="s">
        <v>967</v>
      </c>
    </row>
    <row r="94" spans="1:15" ht="15.6">
      <c r="A94" s="34" t="s">
        <v>677</v>
      </c>
      <c r="B94" s="127" t="s">
        <v>969</v>
      </c>
      <c r="C94" s="17" t="s">
        <v>47</v>
      </c>
      <c r="D94" s="17" t="s">
        <v>971</v>
      </c>
      <c r="E94" s="17" t="s">
        <v>972</v>
      </c>
      <c r="F94" s="17" t="s">
        <v>974</v>
      </c>
      <c r="G94" s="17" t="s">
        <v>975</v>
      </c>
      <c r="H94" s="49" t="s">
        <v>976</v>
      </c>
      <c r="I94" s="49" t="s">
        <v>978</v>
      </c>
      <c r="J94" s="49" t="s">
        <v>979</v>
      </c>
      <c r="K94" s="49" t="s">
        <v>980</v>
      </c>
    </row>
    <row r="95" spans="1:15" ht="15.6">
      <c r="A95" s="83" t="s">
        <v>684</v>
      </c>
      <c r="B95" s="129" t="s">
        <v>983</v>
      </c>
      <c r="C95" s="17" t="s">
        <v>985</v>
      </c>
      <c r="D95" s="17" t="s">
        <v>986</v>
      </c>
      <c r="E95" s="17" t="s">
        <v>988</v>
      </c>
      <c r="F95" s="17" t="s">
        <v>989</v>
      </c>
      <c r="G95" s="17" t="s">
        <v>990</v>
      </c>
      <c r="H95" s="49" t="s">
        <v>991</v>
      </c>
      <c r="I95" s="49" t="s">
        <v>992</v>
      </c>
      <c r="J95" s="49" t="s">
        <v>140</v>
      </c>
      <c r="K95" s="49" t="s">
        <v>994</v>
      </c>
      <c r="L95" s="67" t="s">
        <v>995</v>
      </c>
      <c r="M95" s="67" t="s">
        <v>997</v>
      </c>
      <c r="N95" s="67" t="s">
        <v>998</v>
      </c>
      <c r="O95" s="67" t="s">
        <v>999</v>
      </c>
    </row>
    <row r="96" spans="1:15" ht="15.6">
      <c r="A96" s="83" t="s">
        <v>686</v>
      </c>
      <c r="B96" s="130" t="s">
        <v>1001</v>
      </c>
      <c r="C96" s="17" t="s">
        <v>296</v>
      </c>
      <c r="D96" s="17" t="s">
        <v>1002</v>
      </c>
      <c r="E96" s="17" t="s">
        <v>1003</v>
      </c>
      <c r="F96" s="17" t="s">
        <v>1004</v>
      </c>
      <c r="G96" s="17" t="s">
        <v>1005</v>
      </c>
      <c r="H96" s="49" t="s">
        <v>1006</v>
      </c>
      <c r="I96" s="49" t="s">
        <v>1007</v>
      </c>
      <c r="J96" s="49" t="s">
        <v>1008</v>
      </c>
      <c r="K96" s="49" t="s">
        <v>1009</v>
      </c>
    </row>
    <row r="97" spans="1:11" ht="15.6">
      <c r="A97" s="123" t="s">
        <v>688</v>
      </c>
      <c r="B97" s="131" t="s">
        <v>1011</v>
      </c>
      <c r="C97" s="33" t="s">
        <v>109</v>
      </c>
      <c r="D97" s="33" t="s">
        <v>1012</v>
      </c>
      <c r="E97" s="33" t="s">
        <v>1013</v>
      </c>
      <c r="F97" s="33" t="s">
        <v>1014</v>
      </c>
      <c r="G97" s="33" t="s">
        <v>1015</v>
      </c>
      <c r="H97" s="33" t="s">
        <v>1017</v>
      </c>
      <c r="I97" s="33" t="s">
        <v>1018</v>
      </c>
      <c r="J97" s="33" t="s">
        <v>1019</v>
      </c>
      <c r="K97" s="33" t="s">
        <v>1020</v>
      </c>
    </row>
    <row r="98" spans="1:11" ht="15.6">
      <c r="A98" s="83" t="s">
        <v>689</v>
      </c>
      <c r="B98" s="125" t="s">
        <v>1022</v>
      </c>
      <c r="C98" s="17" t="s">
        <v>60</v>
      </c>
      <c r="D98" s="17" t="s">
        <v>1023</v>
      </c>
      <c r="E98" s="17" t="s">
        <v>1024</v>
      </c>
      <c r="F98" s="17" t="s">
        <v>1026</v>
      </c>
      <c r="G98" s="17" t="s">
        <v>1027</v>
      </c>
      <c r="H98" s="17" t="s">
        <v>1028</v>
      </c>
      <c r="I98" s="17" t="s">
        <v>1029</v>
      </c>
      <c r="J98" s="17" t="s">
        <v>1030</v>
      </c>
      <c r="K98" s="17" t="s">
        <v>261</v>
      </c>
    </row>
    <row r="99" spans="1:11" ht="15.6">
      <c r="A99" s="83" t="s">
        <v>695</v>
      </c>
      <c r="B99" s="132" t="s">
        <v>1033</v>
      </c>
      <c r="C99" s="33" t="s">
        <v>47</v>
      </c>
      <c r="D99" s="33" t="s">
        <v>1035</v>
      </c>
      <c r="E99" s="33" t="s">
        <v>1036</v>
      </c>
      <c r="F99" s="33" t="s">
        <v>1037</v>
      </c>
      <c r="G99" s="33" t="s">
        <v>1038</v>
      </c>
      <c r="H99" s="33" t="s">
        <v>1039</v>
      </c>
      <c r="I99" s="33" t="s">
        <v>1040</v>
      </c>
      <c r="J99" s="33" t="s">
        <v>1042</v>
      </c>
      <c r="K99" s="33" t="s">
        <v>1043</v>
      </c>
    </row>
    <row r="100" spans="1:11" ht="15.6">
      <c r="A100" s="83" t="s">
        <v>699</v>
      </c>
      <c r="B100" s="131" t="s">
        <v>1044</v>
      </c>
      <c r="C100" s="33" t="s">
        <v>36</v>
      </c>
      <c r="D100" s="33" t="s">
        <v>1045</v>
      </c>
      <c r="E100" s="33" t="s">
        <v>1047</v>
      </c>
      <c r="F100" s="33" t="s">
        <v>1048</v>
      </c>
      <c r="G100" s="33" t="s">
        <v>1049</v>
      </c>
      <c r="H100" s="33" t="s">
        <v>1050</v>
      </c>
      <c r="I100" s="33" t="s">
        <v>1051</v>
      </c>
      <c r="J100" s="33" t="s">
        <v>1052</v>
      </c>
      <c r="K100" s="33" t="s">
        <v>1053</v>
      </c>
    </row>
    <row r="101" spans="1:11" ht="15.6">
      <c r="A101" s="83" t="s">
        <v>701</v>
      </c>
      <c r="B101" s="133" t="s">
        <v>1055</v>
      </c>
      <c r="C101" s="33" t="s">
        <v>376</v>
      </c>
      <c r="D101" s="33" t="s">
        <v>1057</v>
      </c>
      <c r="E101" s="33" t="s">
        <v>1058</v>
      </c>
      <c r="F101" s="33" t="s">
        <v>1059</v>
      </c>
      <c r="G101" s="33" t="s">
        <v>1060</v>
      </c>
      <c r="H101" s="33" t="s">
        <v>1062</v>
      </c>
      <c r="I101" s="33" t="s">
        <v>1063</v>
      </c>
      <c r="J101" s="33" t="s">
        <v>1064</v>
      </c>
      <c r="K101" s="33" t="s">
        <v>1065</v>
      </c>
    </row>
    <row r="102" spans="1:11" ht="15.6">
      <c r="A102" s="83" t="s">
        <v>704</v>
      </c>
      <c r="B102" s="134" t="s">
        <v>1068</v>
      </c>
      <c r="C102" s="33" t="s">
        <v>637</v>
      </c>
      <c r="D102" s="33" t="s">
        <v>1070</v>
      </c>
      <c r="E102" s="33" t="s">
        <v>1071</v>
      </c>
      <c r="F102" s="33" t="s">
        <v>1072</v>
      </c>
      <c r="G102" s="33" t="s">
        <v>1073</v>
      </c>
      <c r="H102" s="33" t="s">
        <v>1074</v>
      </c>
      <c r="I102" s="33" t="s">
        <v>1075</v>
      </c>
      <c r="J102" s="33" t="s">
        <v>1077</v>
      </c>
      <c r="K102" s="33" t="s">
        <v>1079</v>
      </c>
    </row>
    <row r="103" spans="1:11" ht="15.6">
      <c r="A103" s="83" t="s">
        <v>710</v>
      </c>
      <c r="B103" s="125" t="s">
        <v>1081</v>
      </c>
      <c r="C103" s="33" t="s">
        <v>60</v>
      </c>
      <c r="D103" s="33" t="s">
        <v>1082</v>
      </c>
      <c r="E103" s="33" t="s">
        <v>1083</v>
      </c>
      <c r="F103" s="33" t="s">
        <v>1085</v>
      </c>
      <c r="G103" s="33" t="s">
        <v>1086</v>
      </c>
      <c r="H103" s="33" t="s">
        <v>1087</v>
      </c>
      <c r="I103" s="33" t="s">
        <v>1088</v>
      </c>
      <c r="J103" s="33" t="s">
        <v>1089</v>
      </c>
      <c r="K103" s="33" t="s">
        <v>1090</v>
      </c>
    </row>
    <row r="104" spans="1:11" ht="15.6">
      <c r="A104" s="83" t="s">
        <v>713</v>
      </c>
      <c r="B104" s="132" t="s">
        <v>1093</v>
      </c>
      <c r="C104" s="33" t="s">
        <v>47</v>
      </c>
      <c r="D104" s="33" t="s">
        <v>1094</v>
      </c>
      <c r="E104" s="33" t="s">
        <v>1095</v>
      </c>
      <c r="F104" s="33" t="s">
        <v>1096</v>
      </c>
      <c r="G104" s="33" t="s">
        <v>1098</v>
      </c>
    </row>
    <row r="105" spans="1:11" ht="15.6">
      <c r="A105" s="83" t="s">
        <v>720</v>
      </c>
      <c r="B105" s="135" t="s">
        <v>1100</v>
      </c>
      <c r="C105" s="33" t="s">
        <v>985</v>
      </c>
      <c r="D105" s="33" t="s">
        <v>1102</v>
      </c>
      <c r="E105" s="33" t="s">
        <v>1103</v>
      </c>
      <c r="F105" s="33" t="s">
        <v>1104</v>
      </c>
      <c r="G105" s="33" t="s">
        <v>1105</v>
      </c>
      <c r="H105" s="33" t="s">
        <v>1106</v>
      </c>
      <c r="I105" s="33" t="s">
        <v>1108</v>
      </c>
      <c r="J105" s="33" t="s">
        <v>1109</v>
      </c>
      <c r="K105" s="33" t="s">
        <v>1110</v>
      </c>
    </row>
    <row r="106" spans="1:11" ht="15.6">
      <c r="A106" s="83" t="s">
        <v>723</v>
      </c>
      <c r="B106" s="131" t="s">
        <v>1112</v>
      </c>
      <c r="C106" s="33" t="s">
        <v>36</v>
      </c>
      <c r="D106" s="33" t="s">
        <v>1113</v>
      </c>
      <c r="E106" s="33" t="s">
        <v>1114</v>
      </c>
      <c r="F106" s="33" t="s">
        <v>1115</v>
      </c>
      <c r="G106" s="33" t="s">
        <v>1116</v>
      </c>
      <c r="H106" s="33" t="s">
        <v>1117</v>
      </c>
      <c r="I106" s="33" t="s">
        <v>1118</v>
      </c>
      <c r="J106" s="33" t="s">
        <v>1119</v>
      </c>
      <c r="K106" s="33" t="s">
        <v>1120</v>
      </c>
    </row>
    <row r="107" spans="1:11" ht="15.6">
      <c r="A107" s="83" t="s">
        <v>728</v>
      </c>
      <c r="B107" s="137" t="s">
        <v>1122</v>
      </c>
      <c r="C107" s="33" t="s">
        <v>47</v>
      </c>
      <c r="D107" s="33" t="s">
        <v>1123</v>
      </c>
      <c r="E107" s="33" t="s">
        <v>1124</v>
      </c>
      <c r="F107" s="33" t="s">
        <v>1125</v>
      </c>
      <c r="G107" s="33" t="s">
        <v>1126</v>
      </c>
      <c r="H107" s="33" t="s">
        <v>1127</v>
      </c>
      <c r="I107" s="33" t="s">
        <v>1128</v>
      </c>
      <c r="J107" s="33" t="s">
        <v>1129</v>
      </c>
      <c r="K107" s="33" t="s">
        <v>1130</v>
      </c>
    </row>
    <row r="108" spans="1:11" ht="15.6">
      <c r="A108" s="83" t="s">
        <v>734</v>
      </c>
      <c r="B108" s="125" t="s">
        <v>1132</v>
      </c>
      <c r="C108" s="33" t="s">
        <v>60</v>
      </c>
      <c r="D108" s="33" t="s">
        <v>1133</v>
      </c>
      <c r="E108" s="33" t="s">
        <v>1135</v>
      </c>
      <c r="F108" s="33" t="s">
        <v>1136</v>
      </c>
      <c r="G108" s="33" t="s">
        <v>1137</v>
      </c>
      <c r="H108" s="33" t="s">
        <v>1138</v>
      </c>
      <c r="I108" s="33" t="s">
        <v>1139</v>
      </c>
      <c r="J108" s="33" t="s">
        <v>1140</v>
      </c>
      <c r="K108" s="33" t="s">
        <v>1141</v>
      </c>
    </row>
    <row r="109" spans="1:11" ht="15.6">
      <c r="A109" s="83" t="s">
        <v>739</v>
      </c>
      <c r="B109" s="133" t="s">
        <v>1143</v>
      </c>
      <c r="C109" s="33" t="s">
        <v>376</v>
      </c>
      <c r="D109" s="33" t="s">
        <v>1145</v>
      </c>
      <c r="E109" s="33" t="s">
        <v>1146</v>
      </c>
      <c r="F109" s="33" t="s">
        <v>1147</v>
      </c>
      <c r="G109" s="33" t="s">
        <v>1148</v>
      </c>
      <c r="H109" s="33" t="s">
        <v>1149</v>
      </c>
      <c r="I109" s="33" t="s">
        <v>1150</v>
      </c>
      <c r="J109" s="33" t="s">
        <v>1152</v>
      </c>
      <c r="K109" s="33" t="s">
        <v>1153</v>
      </c>
    </row>
    <row r="110" spans="1:11" ht="15.6">
      <c r="A110" s="83" t="s">
        <v>741</v>
      </c>
      <c r="B110" s="139" t="s">
        <v>1155</v>
      </c>
      <c r="C110" s="33" t="s">
        <v>296</v>
      </c>
      <c r="D110" s="33" t="s">
        <v>1157</v>
      </c>
      <c r="E110" s="33" t="s">
        <v>1158</v>
      </c>
      <c r="F110" s="33" t="s">
        <v>1160</v>
      </c>
      <c r="G110" s="33" t="s">
        <v>1161</v>
      </c>
      <c r="H110" s="33" t="s">
        <v>1162</v>
      </c>
      <c r="I110" s="33" t="s">
        <v>1163</v>
      </c>
      <c r="J110" s="33" t="s">
        <v>1164</v>
      </c>
      <c r="K110" s="33" t="s">
        <v>1165</v>
      </c>
    </row>
    <row r="111" spans="1:11" ht="15.6">
      <c r="A111" s="83" t="s">
        <v>743</v>
      </c>
      <c r="B111" s="140" t="s">
        <v>1168</v>
      </c>
      <c r="C111" s="33" t="s">
        <v>214</v>
      </c>
      <c r="D111" s="33" t="s">
        <v>1170</v>
      </c>
      <c r="E111" s="33" t="s">
        <v>1171</v>
      </c>
      <c r="F111" s="33" t="s">
        <v>1172</v>
      </c>
      <c r="G111" s="33" t="s">
        <v>1173</v>
      </c>
      <c r="H111" s="33" t="s">
        <v>1174</v>
      </c>
      <c r="I111" s="33" t="s">
        <v>1176</v>
      </c>
      <c r="J111" s="33" t="s">
        <v>1177</v>
      </c>
      <c r="K111" s="33" t="s">
        <v>1178</v>
      </c>
    </row>
    <row r="112" spans="1:11" ht="15.6">
      <c r="A112" s="83"/>
      <c r="B112" s="143" t="s">
        <v>1180</v>
      </c>
      <c r="C112" s="17" t="s">
        <v>1182</v>
      </c>
      <c r="H112" s="33" t="s">
        <v>1183</v>
      </c>
      <c r="I112" s="33" t="s">
        <v>1184</v>
      </c>
      <c r="J112" s="33" t="s">
        <v>1186</v>
      </c>
      <c r="K112" s="33" t="s">
        <v>1187</v>
      </c>
    </row>
    <row r="113" spans="1:12" ht="15.6">
      <c r="A113" s="83"/>
      <c r="B113" s="131" t="s">
        <v>1189</v>
      </c>
      <c r="C113" s="17" t="s">
        <v>1190</v>
      </c>
      <c r="H113" s="33" t="s">
        <v>1191</v>
      </c>
      <c r="I113" s="33" t="s">
        <v>1192</v>
      </c>
      <c r="J113" s="33" t="s">
        <v>1193</v>
      </c>
      <c r="K113" s="33" t="s">
        <v>1195</v>
      </c>
    </row>
    <row r="114" spans="1:12" ht="15.6">
      <c r="A114" s="144" t="s">
        <v>420</v>
      </c>
      <c r="B114" s="125" t="s">
        <v>1198</v>
      </c>
      <c r="C114" s="17" t="s">
        <v>214</v>
      </c>
      <c r="D114" s="17" t="s">
        <v>1199</v>
      </c>
      <c r="E114" s="17" t="s">
        <v>1200</v>
      </c>
      <c r="F114" s="17" t="s">
        <v>1201</v>
      </c>
      <c r="G114" s="17" t="s">
        <v>1202</v>
      </c>
      <c r="H114" s="33" t="s">
        <v>1203</v>
      </c>
      <c r="I114" s="33" t="s">
        <v>1204</v>
      </c>
      <c r="J114" s="33" t="s">
        <v>1205</v>
      </c>
      <c r="K114" s="33" t="s">
        <v>1206</v>
      </c>
    </row>
    <row r="115" spans="1:12" ht="15.6">
      <c r="A115" s="36"/>
      <c r="B115" s="131" t="s">
        <v>1208</v>
      </c>
      <c r="C115" s="17" t="s">
        <v>1209</v>
      </c>
      <c r="D115" s="33" t="s">
        <v>1210</v>
      </c>
      <c r="E115" s="33" t="s">
        <v>1211</v>
      </c>
      <c r="F115" s="33" t="s">
        <v>1213</v>
      </c>
      <c r="G115" s="33" t="s">
        <v>1214</v>
      </c>
      <c r="H115" s="49" t="s">
        <v>1215</v>
      </c>
      <c r="I115" s="49" t="s">
        <v>1216</v>
      </c>
      <c r="J115" s="49" t="s">
        <v>1217</v>
      </c>
      <c r="K115" s="49" t="s">
        <v>1218</v>
      </c>
    </row>
    <row r="116" spans="1:12" ht="15.6">
      <c r="A116" s="36"/>
      <c r="B116" s="145" t="s">
        <v>1220</v>
      </c>
      <c r="C116" s="17" t="s">
        <v>1222</v>
      </c>
      <c r="D116" s="33" t="s">
        <v>1223</v>
      </c>
      <c r="E116" s="33" t="s">
        <v>1225</v>
      </c>
      <c r="F116" s="33" t="s">
        <v>1226</v>
      </c>
      <c r="G116" s="33" t="s">
        <v>1227</v>
      </c>
      <c r="H116" s="33" t="s">
        <v>1228</v>
      </c>
      <c r="I116" s="33" t="s">
        <v>1229</v>
      </c>
      <c r="J116" s="33" t="s">
        <v>1230</v>
      </c>
      <c r="K116" s="33" t="s">
        <v>1231</v>
      </c>
    </row>
    <row r="117" spans="1:12" ht="15.6">
      <c r="A117" s="36"/>
      <c r="B117" s="131" t="s">
        <v>1232</v>
      </c>
      <c r="C117" s="17" t="s">
        <v>1234</v>
      </c>
      <c r="D117" s="33" t="s">
        <v>1235</v>
      </c>
      <c r="E117" s="33" t="s">
        <v>1236</v>
      </c>
      <c r="F117" s="33" t="s">
        <v>1237</v>
      </c>
      <c r="G117" s="33" t="s">
        <v>1238</v>
      </c>
      <c r="H117" s="33" t="s">
        <v>1239</v>
      </c>
      <c r="I117" s="33" t="s">
        <v>1240</v>
      </c>
      <c r="J117" s="33" t="s">
        <v>1242</v>
      </c>
      <c r="K117" s="33" t="s">
        <v>1243</v>
      </c>
    </row>
    <row r="118" spans="1:12" ht="15.6">
      <c r="A118" s="36"/>
      <c r="B118" s="147" t="s">
        <v>1245</v>
      </c>
      <c r="C118" s="17" t="s">
        <v>1247</v>
      </c>
      <c r="D118" s="33" t="s">
        <v>1248</v>
      </c>
      <c r="E118" s="33" t="s">
        <v>1249</v>
      </c>
      <c r="F118" s="33" t="s">
        <v>1250</v>
      </c>
      <c r="G118" s="33" t="s">
        <v>1252</v>
      </c>
      <c r="H118" s="33" t="s">
        <v>1253</v>
      </c>
      <c r="I118" s="33" t="s">
        <v>1254</v>
      </c>
      <c r="J118" s="33" t="s">
        <v>1255</v>
      </c>
      <c r="K118" s="33" t="s">
        <v>1256</v>
      </c>
    </row>
    <row r="119" spans="1:12" ht="15.6">
      <c r="A119" s="36"/>
      <c r="B119" s="148" t="s">
        <v>1258</v>
      </c>
      <c r="C119" s="17" t="s">
        <v>1260</v>
      </c>
      <c r="D119" s="33" t="s">
        <v>1261</v>
      </c>
      <c r="E119" s="33" t="s">
        <v>1262</v>
      </c>
      <c r="F119" s="33" t="s">
        <v>1263</v>
      </c>
      <c r="G119" s="33" t="s">
        <v>1265</v>
      </c>
    </row>
    <row r="120" spans="1:12" ht="15.6">
      <c r="A120" s="36"/>
      <c r="B120" s="131" t="s">
        <v>1266</v>
      </c>
      <c r="C120" s="17" t="s">
        <v>1267</v>
      </c>
      <c r="D120" s="33" t="s">
        <v>1269</v>
      </c>
      <c r="E120" s="33" t="s">
        <v>1270</v>
      </c>
      <c r="F120" s="33" t="s">
        <v>1271</v>
      </c>
      <c r="G120" s="33" t="s">
        <v>1272</v>
      </c>
    </row>
    <row r="121" spans="1:12" ht="15.6">
      <c r="A121" s="34"/>
      <c r="B121" s="131" t="s">
        <v>1274</v>
      </c>
      <c r="C121" s="17" t="s">
        <v>1275</v>
      </c>
      <c r="D121" s="17" t="s">
        <v>1276</v>
      </c>
      <c r="E121" s="17" t="s">
        <v>1277</v>
      </c>
      <c r="F121" s="17" t="s">
        <v>1278</v>
      </c>
      <c r="G121" s="17" t="s">
        <v>1279</v>
      </c>
    </row>
    <row r="122" spans="1:12" ht="15.6">
      <c r="A122" s="34"/>
      <c r="B122" s="132" t="s">
        <v>1281</v>
      </c>
      <c r="C122" s="33"/>
      <c r="D122" s="33" t="s">
        <v>1282</v>
      </c>
      <c r="E122" s="33" t="s">
        <v>1283</v>
      </c>
      <c r="F122" s="33" t="s">
        <v>1284</v>
      </c>
      <c r="G122" s="33" t="s">
        <v>1285</v>
      </c>
    </row>
    <row r="123" spans="1:12" ht="15.6">
      <c r="A123" s="83"/>
      <c r="B123" s="132" t="s">
        <v>1288</v>
      </c>
      <c r="C123" s="33"/>
      <c r="D123" s="33" t="s">
        <v>1289</v>
      </c>
      <c r="E123" s="33" t="s">
        <v>1290</v>
      </c>
      <c r="F123" s="33" t="s">
        <v>1292</v>
      </c>
      <c r="G123" s="33" t="s">
        <v>1293</v>
      </c>
    </row>
    <row r="124" spans="1:12" ht="15.6">
      <c r="A124" s="83"/>
      <c r="B124" s="131" t="s">
        <v>1294</v>
      </c>
      <c r="C124" s="33"/>
      <c r="D124" s="33" t="s">
        <v>594</v>
      </c>
      <c r="E124" s="33" t="s">
        <v>595</v>
      </c>
      <c r="F124" s="33" t="s">
        <v>596</v>
      </c>
      <c r="G124" s="33" t="s">
        <v>597</v>
      </c>
    </row>
    <row r="125" spans="1:12" ht="15.6">
      <c r="A125" s="123"/>
      <c r="B125" s="131" t="s">
        <v>1297</v>
      </c>
      <c r="C125" s="33"/>
      <c r="D125" s="33" t="s">
        <v>1298</v>
      </c>
      <c r="E125" s="33" t="s">
        <v>1299</v>
      </c>
      <c r="F125" s="33" t="s">
        <v>1300</v>
      </c>
      <c r="G125" s="33" t="s">
        <v>1301</v>
      </c>
    </row>
    <row r="126" spans="1:12" ht="15.6">
      <c r="A126" s="123"/>
      <c r="B126" s="132" t="s">
        <v>1303</v>
      </c>
      <c r="C126" s="17"/>
      <c r="D126" s="17" t="s">
        <v>1304</v>
      </c>
      <c r="E126" s="17" t="s">
        <v>1306</v>
      </c>
      <c r="F126" s="17" t="s">
        <v>1307</v>
      </c>
      <c r="G126" s="17" t="s">
        <v>1308</v>
      </c>
    </row>
    <row r="127" spans="1:12" ht="15.6">
      <c r="A127" s="123"/>
      <c r="B127" s="125" t="s">
        <v>1310</v>
      </c>
      <c r="C127" s="17" t="s">
        <v>60</v>
      </c>
      <c r="H127" s="33" t="s">
        <v>1311</v>
      </c>
      <c r="I127" s="33" t="s">
        <v>1312</v>
      </c>
      <c r="J127" s="33" t="s">
        <v>1313</v>
      </c>
      <c r="K127" s="33" t="s">
        <v>1314</v>
      </c>
    </row>
    <row r="128" spans="1:12" ht="15.6">
      <c r="A128" s="123"/>
      <c r="B128" s="149" t="s">
        <v>1317</v>
      </c>
      <c r="C128" s="17" t="s">
        <v>307</v>
      </c>
      <c r="H128" s="33" t="s">
        <v>1319</v>
      </c>
      <c r="I128" s="33" t="s">
        <v>1320</v>
      </c>
      <c r="J128" s="33" t="s">
        <v>1321</v>
      </c>
      <c r="K128" s="33" t="s">
        <v>1322</v>
      </c>
      <c r="L128" s="33" t="s">
        <v>1323</v>
      </c>
    </row>
    <row r="129" spans="1:15" ht="15.6">
      <c r="A129" s="123"/>
      <c r="B129" s="151" t="s">
        <v>1324</v>
      </c>
      <c r="C129" s="17" t="s">
        <v>319</v>
      </c>
      <c r="H129" s="33" t="s">
        <v>1326</v>
      </c>
      <c r="I129" s="33" t="s">
        <v>1328</v>
      </c>
      <c r="J129" s="33" t="s">
        <v>1329</v>
      </c>
      <c r="K129" s="33" t="s">
        <v>1330</v>
      </c>
      <c r="L129" s="33" t="s">
        <v>1331</v>
      </c>
      <c r="M129" s="33" t="s">
        <v>1332</v>
      </c>
      <c r="N129" s="33" t="s">
        <v>1335</v>
      </c>
      <c r="O129" s="33" t="s">
        <v>1336</v>
      </c>
    </row>
    <row r="130" spans="1:15" ht="15.6">
      <c r="A130" s="123"/>
      <c r="B130" s="152" t="s">
        <v>1338</v>
      </c>
      <c r="C130" s="17" t="s">
        <v>190</v>
      </c>
      <c r="H130" s="33" t="s">
        <v>1340</v>
      </c>
      <c r="I130" s="33" t="s">
        <v>1341</v>
      </c>
      <c r="J130" s="33" t="s">
        <v>1342</v>
      </c>
      <c r="K130" s="33" t="s">
        <v>1344</v>
      </c>
      <c r="L130" s="33" t="s">
        <v>1345</v>
      </c>
      <c r="M130" s="33" t="s">
        <v>1346</v>
      </c>
      <c r="N130" s="33" t="s">
        <v>1347</v>
      </c>
      <c r="O130" s="33" t="s">
        <v>1348</v>
      </c>
    </row>
    <row r="131" spans="1:15" ht="15.6">
      <c r="A131" s="123"/>
      <c r="B131" s="131" t="s">
        <v>1350</v>
      </c>
      <c r="C131" s="33" t="s">
        <v>73</v>
      </c>
      <c r="H131" s="33" t="s">
        <v>1351</v>
      </c>
      <c r="I131" s="33" t="s">
        <v>1352</v>
      </c>
      <c r="J131" s="33" t="s">
        <v>1353</v>
      </c>
      <c r="K131" s="33" t="s">
        <v>1355</v>
      </c>
    </row>
    <row r="132" spans="1:15" ht="15.6">
      <c r="A132" s="123"/>
      <c r="B132" s="134" t="s">
        <v>1356</v>
      </c>
      <c r="C132" s="17" t="s">
        <v>637</v>
      </c>
      <c r="H132" s="33" t="s">
        <v>1358</v>
      </c>
      <c r="I132" s="33" t="s">
        <v>1359</v>
      </c>
      <c r="J132" s="33" t="s">
        <v>1360</v>
      </c>
      <c r="K132" s="33" t="s">
        <v>1361</v>
      </c>
    </row>
    <row r="133" spans="1:15" ht="15.6">
      <c r="A133" s="123"/>
      <c r="B133" s="153" t="s">
        <v>1363</v>
      </c>
      <c r="C133" s="17" t="s">
        <v>296</v>
      </c>
      <c r="H133" s="33" t="s">
        <v>1365</v>
      </c>
      <c r="I133" s="33" t="s">
        <v>1367</v>
      </c>
      <c r="J133" s="33" t="s">
        <v>1368</v>
      </c>
      <c r="K133" s="33" t="s">
        <v>1369</v>
      </c>
      <c r="L133" s="33" t="s">
        <v>1370</v>
      </c>
      <c r="M133" s="33" t="s">
        <v>1371</v>
      </c>
      <c r="N133" s="33" t="s">
        <v>1373</v>
      </c>
      <c r="O133" s="33" t="s">
        <v>1374</v>
      </c>
    </row>
    <row r="134" spans="1:15" ht="15.6">
      <c r="A134" s="123"/>
      <c r="B134" s="131" t="s">
        <v>1375</v>
      </c>
      <c r="C134" s="17" t="s">
        <v>36</v>
      </c>
      <c r="H134" s="33" t="s">
        <v>1377</v>
      </c>
      <c r="I134" s="33" t="s">
        <v>1378</v>
      </c>
      <c r="J134" s="33" t="s">
        <v>1379</v>
      </c>
      <c r="K134" s="33" t="s">
        <v>1380</v>
      </c>
      <c r="L134" s="33" t="s">
        <v>1381</v>
      </c>
      <c r="M134" s="33" t="s">
        <v>1382</v>
      </c>
      <c r="N134" s="33" t="s">
        <v>1383</v>
      </c>
      <c r="O134" s="33" t="s">
        <v>1385</v>
      </c>
    </row>
    <row r="135" spans="1:15" ht="15.6">
      <c r="A135" s="123"/>
      <c r="B135" s="154" t="s">
        <v>1387</v>
      </c>
      <c r="C135" s="17" t="s">
        <v>397</v>
      </c>
      <c r="H135" s="33" t="s">
        <v>1389</v>
      </c>
      <c r="I135" s="33" t="s">
        <v>1390</v>
      </c>
      <c r="J135" s="33" t="s">
        <v>1391</v>
      </c>
      <c r="K135" s="33" t="s">
        <v>1392</v>
      </c>
      <c r="L135" s="33" t="s">
        <v>1393</v>
      </c>
      <c r="M135" s="33" t="s">
        <v>1394</v>
      </c>
      <c r="N135" s="33" t="s">
        <v>1395</v>
      </c>
      <c r="O135" s="33" t="s">
        <v>1397</v>
      </c>
    </row>
    <row r="136" spans="1:15" ht="15.6">
      <c r="A136" s="123"/>
      <c r="B136" s="155" t="s">
        <v>1399</v>
      </c>
      <c r="C136" s="17" t="s">
        <v>330</v>
      </c>
      <c r="H136" s="33" t="s">
        <v>1400</v>
      </c>
      <c r="I136" s="33" t="s">
        <v>1402</v>
      </c>
      <c r="J136" s="33" t="s">
        <v>1403</v>
      </c>
      <c r="K136" s="33" t="s">
        <v>1404</v>
      </c>
      <c r="L136" s="33" t="s">
        <v>1405</v>
      </c>
      <c r="M136" s="33" t="s">
        <v>1406</v>
      </c>
      <c r="N136" s="33" t="s">
        <v>1407</v>
      </c>
      <c r="O136" s="33" t="s">
        <v>1408</v>
      </c>
    </row>
    <row r="137" spans="1:15" ht="15.6">
      <c r="B137" s="132" t="s">
        <v>1410</v>
      </c>
      <c r="C137" s="17" t="s">
        <v>47</v>
      </c>
      <c r="H137" s="33" t="s">
        <v>1411</v>
      </c>
      <c r="I137" s="33" t="s">
        <v>1412</v>
      </c>
      <c r="J137" s="33" t="s">
        <v>1413</v>
      </c>
      <c r="K137" s="33" t="s">
        <v>1414</v>
      </c>
      <c r="L137" s="33" t="s">
        <v>1415</v>
      </c>
      <c r="M137" s="33" t="s">
        <v>1416</v>
      </c>
      <c r="N137" s="33" t="s">
        <v>1417</v>
      </c>
      <c r="O137" s="33" t="s">
        <v>1418</v>
      </c>
    </row>
    <row r="138" spans="1:15" ht="15.6">
      <c r="B138" s="129" t="s">
        <v>1419</v>
      </c>
      <c r="C138" s="17" t="s">
        <v>985</v>
      </c>
      <c r="H138" s="33" t="s">
        <v>1420</v>
      </c>
      <c r="I138" s="33" t="s">
        <v>1421</v>
      </c>
      <c r="J138" s="33" t="s">
        <v>1422</v>
      </c>
      <c r="K138" s="33" t="s">
        <v>1423</v>
      </c>
    </row>
    <row r="139" spans="1:15" ht="15.6">
      <c r="B139" s="158" t="s">
        <v>1424</v>
      </c>
      <c r="C139" s="17" t="s">
        <v>790</v>
      </c>
      <c r="H139" s="33" t="s">
        <v>1425</v>
      </c>
      <c r="I139" s="33" t="s">
        <v>1426</v>
      </c>
      <c r="J139" s="33" t="s">
        <v>1427</v>
      </c>
      <c r="K139" s="33" t="s">
        <v>1428</v>
      </c>
    </row>
    <row r="140" spans="1:15" ht="15.6">
      <c r="B140" s="133" t="s">
        <v>1429</v>
      </c>
      <c r="C140" s="17" t="s">
        <v>376</v>
      </c>
      <c r="H140" s="33" t="s">
        <v>1430</v>
      </c>
      <c r="I140" s="33" t="s">
        <v>1431</v>
      </c>
      <c r="J140" s="33" t="s">
        <v>1432</v>
      </c>
      <c r="K140" s="33" t="s">
        <v>1433</v>
      </c>
      <c r="L140" s="33" t="s">
        <v>1434</v>
      </c>
      <c r="M140" s="33" t="s">
        <v>1435</v>
      </c>
      <c r="N140" s="33" t="s">
        <v>1436</v>
      </c>
      <c r="O140" s="33" t="s">
        <v>1437</v>
      </c>
    </row>
    <row r="141" spans="1:15" ht="15.6">
      <c r="A141" s="123"/>
      <c r="B141" s="131" t="s">
        <v>1438</v>
      </c>
      <c r="C141" s="17" t="s">
        <v>109</v>
      </c>
      <c r="H141" s="33" t="s">
        <v>1439</v>
      </c>
      <c r="I141" s="33" t="s">
        <v>1440</v>
      </c>
      <c r="J141" s="33" t="s">
        <v>1441</v>
      </c>
      <c r="K141" s="33" t="s">
        <v>1442</v>
      </c>
    </row>
    <row r="142" spans="1:15" ht="15.6">
      <c r="A142" s="123"/>
      <c r="B142" s="125" t="s">
        <v>1443</v>
      </c>
      <c r="C142" s="17" t="s">
        <v>214</v>
      </c>
      <c r="H142" s="33" t="s">
        <v>1444</v>
      </c>
      <c r="I142" s="33" t="s">
        <v>1445</v>
      </c>
      <c r="J142" s="33" t="s">
        <v>1446</v>
      </c>
      <c r="K142" s="33" t="s">
        <v>1447</v>
      </c>
    </row>
    <row r="143" spans="1:15" ht="15.6">
      <c r="A143" s="123" t="s">
        <v>750</v>
      </c>
      <c r="B143" s="159" t="s">
        <v>1448</v>
      </c>
      <c r="C143" s="17" t="s">
        <v>1449</v>
      </c>
      <c r="H143" s="17" t="s">
        <v>1450</v>
      </c>
      <c r="I143" s="17" t="s">
        <v>1451</v>
      </c>
      <c r="J143" s="17" t="s">
        <v>1452</v>
      </c>
      <c r="K143" s="17" t="s">
        <v>1453</v>
      </c>
    </row>
    <row r="144" spans="1:15" ht="15.6">
      <c r="A144" s="83" t="s">
        <v>752</v>
      </c>
      <c r="B144" s="125" t="s">
        <v>1454</v>
      </c>
      <c r="C144" s="17" t="s">
        <v>214</v>
      </c>
      <c r="H144" s="17" t="s">
        <v>1455</v>
      </c>
      <c r="I144" s="17" t="s">
        <v>1456</v>
      </c>
      <c r="J144" s="17" t="s">
        <v>1457</v>
      </c>
      <c r="K144" s="17" t="s">
        <v>1458</v>
      </c>
    </row>
    <row r="145" spans="1:31" ht="15.6">
      <c r="A145" s="83" t="s">
        <v>752</v>
      </c>
      <c r="B145" s="125" t="s">
        <v>1459</v>
      </c>
      <c r="C145" s="17" t="s">
        <v>60</v>
      </c>
      <c r="D145" s="49" t="s">
        <v>1460</v>
      </c>
      <c r="E145" s="49" t="s">
        <v>1461</v>
      </c>
      <c r="F145" s="49" t="s">
        <v>1462</v>
      </c>
      <c r="G145" s="49" t="s">
        <v>1463</v>
      </c>
      <c r="H145" s="17"/>
      <c r="I145" s="17"/>
      <c r="J145" s="17"/>
      <c r="K145" s="17"/>
    </row>
    <row r="146" spans="1:31" ht="15.6">
      <c r="A146" s="83" t="s">
        <v>758</v>
      </c>
      <c r="B146" s="131" t="s">
        <v>1464</v>
      </c>
      <c r="C146" s="17" t="s">
        <v>109</v>
      </c>
      <c r="D146" s="17" t="s">
        <v>1465</v>
      </c>
      <c r="E146" s="17" t="s">
        <v>1466</v>
      </c>
      <c r="F146" s="17" t="s">
        <v>1467</v>
      </c>
      <c r="G146" s="17" t="s">
        <v>1468</v>
      </c>
      <c r="H146" s="17" t="s">
        <v>1469</v>
      </c>
      <c r="I146" s="17" t="s">
        <v>1470</v>
      </c>
      <c r="J146" s="17" t="s">
        <v>1471</v>
      </c>
      <c r="K146" s="17" t="s">
        <v>1472</v>
      </c>
    </row>
    <row r="147" spans="1:31" ht="15.6">
      <c r="A147" s="83" t="s">
        <v>763</v>
      </c>
      <c r="B147" s="159" t="s">
        <v>1473</v>
      </c>
      <c r="C147" s="17" t="s">
        <v>1449</v>
      </c>
      <c r="H147" s="17" t="s">
        <v>105</v>
      </c>
      <c r="I147" s="17" t="s">
        <v>1474</v>
      </c>
      <c r="J147" s="17" t="s">
        <v>1475</v>
      </c>
      <c r="K147" s="17" t="s">
        <v>1476</v>
      </c>
    </row>
    <row r="148" spans="1:31" ht="15.6">
      <c r="A148" s="123"/>
      <c r="B148" s="159" t="s">
        <v>1477</v>
      </c>
      <c r="C148" s="17" t="s">
        <v>1449</v>
      </c>
      <c r="H148" s="49" t="s">
        <v>1478</v>
      </c>
      <c r="I148" s="49" t="s">
        <v>1479</v>
      </c>
      <c r="J148" s="49" t="s">
        <v>1480</v>
      </c>
      <c r="K148" s="49" t="s">
        <v>1481</v>
      </c>
    </row>
    <row r="149" spans="1:31" ht="15.6">
      <c r="A149" s="123" t="s">
        <v>768</v>
      </c>
      <c r="B149" s="131" t="s">
        <v>1482</v>
      </c>
      <c r="C149" s="17" t="s">
        <v>109</v>
      </c>
      <c r="H149" s="49" t="s">
        <v>1483</v>
      </c>
      <c r="I149" s="49" t="s">
        <v>1484</v>
      </c>
      <c r="J149" s="49" t="s">
        <v>1485</v>
      </c>
      <c r="K149" s="49" t="s">
        <v>1486</v>
      </c>
    </row>
    <row r="150" spans="1:31" ht="15.6">
      <c r="A150" s="123"/>
      <c r="B150" s="131" t="s">
        <v>1487</v>
      </c>
      <c r="C150" s="33" t="s">
        <v>86</v>
      </c>
      <c r="H150" s="49" t="s">
        <v>1488</v>
      </c>
      <c r="I150" s="49" t="s">
        <v>1489</v>
      </c>
      <c r="J150" s="49" t="s">
        <v>1490</v>
      </c>
      <c r="K150" s="49" t="s">
        <v>1491</v>
      </c>
    </row>
    <row r="151" spans="1:31" ht="15.6">
      <c r="A151" s="123" t="s">
        <v>769</v>
      </c>
      <c r="B151" s="162" t="s">
        <v>1492</v>
      </c>
      <c r="C151" s="67" t="s">
        <v>1493</v>
      </c>
      <c r="D151" s="66" t="s">
        <v>1494</v>
      </c>
      <c r="E151" s="66" t="s">
        <v>1495</v>
      </c>
      <c r="F151" s="66" t="s">
        <v>1496</v>
      </c>
      <c r="G151" s="66" t="s">
        <v>1497</v>
      </c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 spans="1:31" ht="15.6">
      <c r="A152" s="123" t="s">
        <v>786</v>
      </c>
      <c r="B152" s="87" t="s">
        <v>1498</v>
      </c>
      <c r="C152" s="17" t="s">
        <v>296</v>
      </c>
      <c r="D152" s="17" t="s">
        <v>1499</v>
      </c>
      <c r="E152" s="17" t="s">
        <v>1500</v>
      </c>
      <c r="F152" s="17" t="s">
        <v>1501</v>
      </c>
      <c r="G152" s="17" t="s">
        <v>1502</v>
      </c>
    </row>
    <row r="153" spans="1:31" ht="15.6">
      <c r="A153" s="123"/>
      <c r="B153" s="167" t="s">
        <v>1503</v>
      </c>
      <c r="C153" s="17" t="s">
        <v>1504</v>
      </c>
      <c r="D153" s="49" t="s">
        <v>1505</v>
      </c>
      <c r="E153" s="49" t="s">
        <v>1506</v>
      </c>
      <c r="F153" s="49" t="s">
        <v>1507</v>
      </c>
      <c r="G153" s="49" t="s">
        <v>1508</v>
      </c>
      <c r="H153" s="17" t="s">
        <v>1509</v>
      </c>
      <c r="I153" s="17" t="s">
        <v>1510</v>
      </c>
      <c r="J153" s="17" t="s">
        <v>1511</v>
      </c>
      <c r="K153" s="17" t="s">
        <v>1512</v>
      </c>
      <c r="L153" s="17" t="s">
        <v>1513</v>
      </c>
      <c r="M153" s="17" t="s">
        <v>1514</v>
      </c>
      <c r="N153" s="17" t="s">
        <v>1515</v>
      </c>
      <c r="O153" s="17" t="s">
        <v>1516</v>
      </c>
    </row>
    <row r="154" spans="1:31" ht="15.6">
      <c r="A154" s="83" t="s">
        <v>771</v>
      </c>
      <c r="B154" s="108" t="s">
        <v>1517</v>
      </c>
      <c r="C154" s="17" t="s">
        <v>1518</v>
      </c>
      <c r="D154" s="17" t="s">
        <v>297</v>
      </c>
      <c r="E154" s="17" t="s">
        <v>1519</v>
      </c>
      <c r="F154" s="17" t="s">
        <v>1520</v>
      </c>
      <c r="G154" s="17" t="s">
        <v>177</v>
      </c>
    </row>
    <row r="155" spans="1:31" ht="15.6">
      <c r="A155" s="123" t="s">
        <v>785</v>
      </c>
      <c r="B155" s="108" t="s">
        <v>1521</v>
      </c>
      <c r="C155" s="17" t="s">
        <v>1522</v>
      </c>
      <c r="D155" s="17" t="s">
        <v>1523</v>
      </c>
      <c r="E155" s="17" t="s">
        <v>1524</v>
      </c>
      <c r="F155" s="17" t="s">
        <v>1525</v>
      </c>
      <c r="G155" s="17" t="s">
        <v>1526</v>
      </c>
    </row>
    <row r="156" spans="1:31" ht="15.6">
      <c r="A156" s="123" t="s">
        <v>788</v>
      </c>
      <c r="B156" s="87" t="s">
        <v>1527</v>
      </c>
      <c r="C156" s="17" t="s">
        <v>296</v>
      </c>
      <c r="D156" s="49" t="s">
        <v>1528</v>
      </c>
      <c r="E156" s="49" t="s">
        <v>1529</v>
      </c>
      <c r="F156" s="49" t="s">
        <v>1530</v>
      </c>
      <c r="G156" s="49" t="s">
        <v>348</v>
      </c>
    </row>
    <row r="157" spans="1:31" ht="15.6">
      <c r="A157" s="123" t="s">
        <v>789</v>
      </c>
      <c r="B157" s="135" t="s">
        <v>1531</v>
      </c>
      <c r="C157" s="17" t="s">
        <v>985</v>
      </c>
      <c r="D157" s="49" t="s">
        <v>1532</v>
      </c>
      <c r="E157" s="49" t="s">
        <v>1533</v>
      </c>
      <c r="F157" s="49" t="s">
        <v>1534</v>
      </c>
      <c r="G157" s="49" t="s">
        <v>1535</v>
      </c>
    </row>
    <row r="158" spans="1:31" ht="15.6">
      <c r="A158" s="123" t="s">
        <v>798</v>
      </c>
      <c r="B158" s="135" t="s">
        <v>1536</v>
      </c>
      <c r="C158" s="17" t="s">
        <v>985</v>
      </c>
      <c r="D158" s="17" t="s">
        <v>1537</v>
      </c>
      <c r="E158" s="17" t="s">
        <v>1538</v>
      </c>
      <c r="F158" s="17" t="s">
        <v>1539</v>
      </c>
      <c r="G158" s="17" t="s">
        <v>1540</v>
      </c>
    </row>
    <row r="159" spans="1:31" ht="15.6">
      <c r="A159" s="123" t="s">
        <v>799</v>
      </c>
      <c r="B159" s="167" t="s">
        <v>1541</v>
      </c>
      <c r="C159" s="17" t="s">
        <v>1542</v>
      </c>
      <c r="D159" s="49" t="s">
        <v>1543</v>
      </c>
      <c r="E159" s="49" t="s">
        <v>1544</v>
      </c>
      <c r="F159" s="49" t="s">
        <v>1545</v>
      </c>
      <c r="G159" s="49" t="s">
        <v>1546</v>
      </c>
    </row>
    <row r="160" spans="1:31" ht="15.6">
      <c r="A160" s="123" t="s">
        <v>801</v>
      </c>
      <c r="B160" s="132" t="s">
        <v>1547</v>
      </c>
      <c r="C160" s="17" t="s">
        <v>47</v>
      </c>
      <c r="D160" s="49" t="s">
        <v>1548</v>
      </c>
      <c r="E160" s="49" t="s">
        <v>1549</v>
      </c>
      <c r="F160" s="49" t="s">
        <v>1550</v>
      </c>
      <c r="G160" s="49" t="s">
        <v>1551</v>
      </c>
    </row>
    <row r="161" spans="1:7" ht="15.6">
      <c r="A161" s="123" t="s">
        <v>815</v>
      </c>
      <c r="B161" s="173" t="s">
        <v>1552</v>
      </c>
      <c r="C161" s="17" t="s">
        <v>1553</v>
      </c>
      <c r="D161" s="49" t="s">
        <v>1554</v>
      </c>
      <c r="E161" s="49" t="s">
        <v>1555</v>
      </c>
      <c r="F161" s="49" t="s">
        <v>1556</v>
      </c>
      <c r="G161" s="49" t="s">
        <v>1557</v>
      </c>
    </row>
    <row r="162" spans="1:7" ht="15.6">
      <c r="A162" s="123" t="s">
        <v>816</v>
      </c>
      <c r="B162" s="174" t="s">
        <v>1558</v>
      </c>
      <c r="C162" s="17" t="s">
        <v>1518</v>
      </c>
      <c r="D162" s="17" t="s">
        <v>1559</v>
      </c>
      <c r="E162" s="17" t="s">
        <v>1560</v>
      </c>
      <c r="F162" s="17" t="s">
        <v>1561</v>
      </c>
      <c r="G162" s="17" t="s">
        <v>1562</v>
      </c>
    </row>
    <row r="163" spans="1:7" ht="15.6">
      <c r="A163" s="123" t="s">
        <v>818</v>
      </c>
      <c r="B163" s="174" t="s">
        <v>1563</v>
      </c>
      <c r="C163" s="17" t="s">
        <v>1518</v>
      </c>
      <c r="D163" s="17" t="s">
        <v>1564</v>
      </c>
      <c r="E163" s="17" t="s">
        <v>1565</v>
      </c>
      <c r="F163" s="17" t="s">
        <v>85</v>
      </c>
      <c r="G163" s="17" t="s">
        <v>1566</v>
      </c>
    </row>
    <row r="164" spans="1:7" ht="15.6">
      <c r="A164" s="123" t="s">
        <v>821</v>
      </c>
      <c r="B164" s="175" t="s">
        <v>1567</v>
      </c>
      <c r="C164" s="17" t="s">
        <v>1518</v>
      </c>
      <c r="D164" s="17" t="s">
        <v>1568</v>
      </c>
      <c r="E164" s="17" t="s">
        <v>1569</v>
      </c>
      <c r="F164" s="17" t="s">
        <v>1570</v>
      </c>
      <c r="G164" s="17" t="s">
        <v>1571</v>
      </c>
    </row>
    <row r="165" spans="1:7" ht="15.6">
      <c r="A165" s="123" t="s">
        <v>828</v>
      </c>
      <c r="B165" s="176" t="s">
        <v>1572</v>
      </c>
      <c r="C165" s="17" t="s">
        <v>1518</v>
      </c>
      <c r="D165" s="17" t="s">
        <v>1573</v>
      </c>
      <c r="E165" s="17" t="s">
        <v>1574</v>
      </c>
      <c r="F165" s="17" t="s">
        <v>1575</v>
      </c>
      <c r="G165" s="17" t="s">
        <v>1576</v>
      </c>
    </row>
    <row r="166" spans="1:7" ht="15.6">
      <c r="A166" s="123" t="s">
        <v>831</v>
      </c>
      <c r="B166" s="125" t="s">
        <v>1577</v>
      </c>
      <c r="C166" s="17" t="s">
        <v>60</v>
      </c>
      <c r="D166" s="33" t="s">
        <v>1578</v>
      </c>
      <c r="E166" s="33" t="s">
        <v>1579</v>
      </c>
      <c r="F166" s="33" t="s">
        <v>1580</v>
      </c>
      <c r="G166" s="33" t="s">
        <v>1581</v>
      </c>
    </row>
    <row r="167" spans="1:7" ht="15.6">
      <c r="A167" s="123" t="s">
        <v>836</v>
      </c>
      <c r="B167" s="151" t="s">
        <v>1582</v>
      </c>
      <c r="C167" s="17" t="s">
        <v>319</v>
      </c>
      <c r="D167" s="33" t="s">
        <v>1583</v>
      </c>
      <c r="E167" s="33" t="s">
        <v>1584</v>
      </c>
      <c r="F167" s="33" t="s">
        <v>1585</v>
      </c>
      <c r="G167" s="33" t="s">
        <v>1586</v>
      </c>
    </row>
    <row r="168" spans="1:7" ht="15.6">
      <c r="A168" s="123" t="s">
        <v>1587</v>
      </c>
      <c r="B168" s="177" t="s">
        <v>1588</v>
      </c>
      <c r="C168" s="17" t="s">
        <v>36</v>
      </c>
      <c r="D168" s="33" t="s">
        <v>1589</v>
      </c>
      <c r="E168" s="33" t="s">
        <v>1590</v>
      </c>
      <c r="F168" s="33" t="s">
        <v>1591</v>
      </c>
      <c r="G168" s="33" t="s">
        <v>1592</v>
      </c>
    </row>
    <row r="169" spans="1:7" ht="15.6">
      <c r="A169" s="83" t="s">
        <v>841</v>
      </c>
      <c r="B169" s="134" t="s">
        <v>1593</v>
      </c>
      <c r="C169" s="17" t="s">
        <v>637</v>
      </c>
      <c r="D169" s="33" t="s">
        <v>1594</v>
      </c>
      <c r="E169" s="33" t="s">
        <v>1595</v>
      </c>
      <c r="F169" s="33" t="s">
        <v>1596</v>
      </c>
      <c r="G169" s="33" t="s">
        <v>1597</v>
      </c>
    </row>
    <row r="170" spans="1:7" ht="15.6">
      <c r="A170" s="123" t="s">
        <v>1598</v>
      </c>
      <c r="B170" s="158" t="s">
        <v>1599</v>
      </c>
      <c r="C170" s="17" t="s">
        <v>790</v>
      </c>
      <c r="D170" s="33" t="s">
        <v>1600</v>
      </c>
      <c r="E170" s="33" t="s">
        <v>1601</v>
      </c>
      <c r="F170" s="33" t="s">
        <v>1602</v>
      </c>
      <c r="G170" s="33" t="s">
        <v>1603</v>
      </c>
    </row>
    <row r="171" spans="1:7" ht="15.6">
      <c r="A171" s="123" t="s">
        <v>1604</v>
      </c>
      <c r="B171" s="179" t="s">
        <v>1605</v>
      </c>
      <c r="C171" s="17" t="s">
        <v>47</v>
      </c>
      <c r="D171" s="33" t="s">
        <v>1606</v>
      </c>
      <c r="E171" s="33" t="s">
        <v>1607</v>
      </c>
      <c r="F171" s="33" t="s">
        <v>1608</v>
      </c>
      <c r="G171" s="33" t="s">
        <v>1609</v>
      </c>
    </row>
    <row r="172" spans="1:7" ht="15.6">
      <c r="A172" s="123" t="s">
        <v>856</v>
      </c>
      <c r="B172" s="125" t="s">
        <v>1610</v>
      </c>
      <c r="C172" s="17" t="s">
        <v>60</v>
      </c>
      <c r="D172" s="33" t="s">
        <v>1611</v>
      </c>
      <c r="E172" s="33" t="s">
        <v>1612</v>
      </c>
      <c r="F172" s="33" t="s">
        <v>1613</v>
      </c>
      <c r="G172" s="33" t="s">
        <v>1614</v>
      </c>
    </row>
    <row r="173" spans="1:7" ht="15.6">
      <c r="A173" s="83" t="s">
        <v>857</v>
      </c>
      <c r="B173" s="153" t="s">
        <v>1615</v>
      </c>
      <c r="C173" s="17" t="s">
        <v>296</v>
      </c>
      <c r="D173" s="33" t="s">
        <v>1616</v>
      </c>
      <c r="E173" s="33" t="s">
        <v>1617</v>
      </c>
      <c r="F173" s="33" t="s">
        <v>1618</v>
      </c>
      <c r="G173" s="33" t="s">
        <v>1619</v>
      </c>
    </row>
    <row r="174" spans="1:7" ht="15.6">
      <c r="A174" s="123" t="s">
        <v>860</v>
      </c>
      <c r="B174" s="134" t="s">
        <v>1620</v>
      </c>
      <c r="C174" s="17" t="s">
        <v>637</v>
      </c>
      <c r="D174" s="33" t="s">
        <v>1621</v>
      </c>
      <c r="E174" s="33" t="s">
        <v>1622</v>
      </c>
      <c r="F174" s="33" t="s">
        <v>1623</v>
      </c>
      <c r="G174" s="33" t="s">
        <v>1624</v>
      </c>
    </row>
    <row r="175" spans="1:7" ht="15.6">
      <c r="A175" s="123" t="s">
        <v>867</v>
      </c>
      <c r="B175" s="129" t="s">
        <v>1625</v>
      </c>
      <c r="C175" s="17" t="s">
        <v>985</v>
      </c>
      <c r="D175" s="33" t="s">
        <v>1626</v>
      </c>
      <c r="E175" s="33" t="s">
        <v>1627</v>
      </c>
      <c r="F175" s="33" t="s">
        <v>1628</v>
      </c>
      <c r="G175" s="33" t="s">
        <v>1629</v>
      </c>
    </row>
    <row r="176" spans="1:7" ht="15.6">
      <c r="A176" s="123" t="s">
        <v>870</v>
      </c>
      <c r="B176" s="125" t="s">
        <v>1630</v>
      </c>
      <c r="C176" s="17" t="s">
        <v>60</v>
      </c>
      <c r="D176" s="33" t="s">
        <v>1631</v>
      </c>
      <c r="E176" s="33" t="s">
        <v>1632</v>
      </c>
      <c r="F176" s="33" t="s">
        <v>1633</v>
      </c>
      <c r="G176" s="33" t="s">
        <v>1634</v>
      </c>
    </row>
    <row r="177" spans="1:7" ht="15.6">
      <c r="A177" s="123" t="s">
        <v>872</v>
      </c>
      <c r="B177" s="180" t="s">
        <v>1635</v>
      </c>
      <c r="C177" s="17" t="s">
        <v>47</v>
      </c>
      <c r="D177" s="33" t="s">
        <v>1636</v>
      </c>
      <c r="E177" s="33" t="s">
        <v>1637</v>
      </c>
      <c r="F177" s="33" t="s">
        <v>1638</v>
      </c>
      <c r="G177" s="33" t="s">
        <v>1639</v>
      </c>
    </row>
    <row r="178" spans="1:7" ht="15.6">
      <c r="A178" s="123" t="s">
        <v>901</v>
      </c>
      <c r="B178" s="108" t="s">
        <v>1640</v>
      </c>
      <c r="C178" s="17" t="s">
        <v>36</v>
      </c>
      <c r="D178" s="33" t="s">
        <v>1641</v>
      </c>
      <c r="E178" s="33" t="s">
        <v>1642</v>
      </c>
      <c r="F178" s="33" t="s">
        <v>1643</v>
      </c>
      <c r="G178" s="33" t="s">
        <v>1644</v>
      </c>
    </row>
    <row r="179" spans="1:7" ht="15.6">
      <c r="A179" s="123" t="s">
        <v>904</v>
      </c>
      <c r="B179" s="155" t="s">
        <v>1645</v>
      </c>
      <c r="C179" s="17" t="s">
        <v>330</v>
      </c>
      <c r="D179" s="33" t="s">
        <v>1646</v>
      </c>
      <c r="E179" s="33" t="s">
        <v>1647</v>
      </c>
      <c r="F179" s="33" t="s">
        <v>1648</v>
      </c>
      <c r="G179" s="33" t="s">
        <v>1649</v>
      </c>
    </row>
    <row r="180" spans="1:7" ht="15.6">
      <c r="A180" s="123" t="s">
        <v>908</v>
      </c>
      <c r="B180" s="125" t="s">
        <v>1650</v>
      </c>
      <c r="C180" s="17" t="s">
        <v>60</v>
      </c>
      <c r="D180" s="33" t="s">
        <v>1651</v>
      </c>
      <c r="E180" s="33" t="s">
        <v>1652</v>
      </c>
      <c r="F180" s="33" t="s">
        <v>1653</v>
      </c>
      <c r="G180" s="33" t="s">
        <v>1654</v>
      </c>
    </row>
    <row r="181" spans="1:7" ht="15.6">
      <c r="A181" s="123" t="s">
        <v>910</v>
      </c>
      <c r="B181" s="131" t="s">
        <v>1655</v>
      </c>
      <c r="C181" s="33" t="s">
        <v>73</v>
      </c>
      <c r="D181" s="33" t="s">
        <v>1656</v>
      </c>
      <c r="E181" s="33" t="s">
        <v>1657</v>
      </c>
      <c r="F181" s="33" t="s">
        <v>1658</v>
      </c>
      <c r="G181" s="33" t="s">
        <v>1659</v>
      </c>
    </row>
    <row r="182" spans="1:7" ht="15.6">
      <c r="A182" s="123" t="s">
        <v>924</v>
      </c>
      <c r="B182" s="131" t="s">
        <v>1660</v>
      </c>
      <c r="C182" s="17" t="s">
        <v>1518</v>
      </c>
      <c r="D182" s="17" t="s">
        <v>1661</v>
      </c>
      <c r="E182" s="17" t="s">
        <v>1662</v>
      </c>
      <c r="F182" s="17" t="s">
        <v>1663</v>
      </c>
      <c r="G182" s="17" t="s">
        <v>1664</v>
      </c>
    </row>
    <row r="183" spans="1:7" ht="15.6">
      <c r="A183" s="123" t="s">
        <v>931</v>
      </c>
      <c r="B183" s="131" t="s">
        <v>1665</v>
      </c>
      <c r="C183" s="17" t="s">
        <v>1518</v>
      </c>
      <c r="D183" s="17" t="s">
        <v>1666</v>
      </c>
      <c r="E183" s="17" t="s">
        <v>1667</v>
      </c>
      <c r="F183" s="17" t="s">
        <v>1668</v>
      </c>
      <c r="G183" s="17" t="s">
        <v>1669</v>
      </c>
    </row>
    <row r="184" spans="1:7" ht="15.6">
      <c r="A184" s="123" t="s">
        <v>933</v>
      </c>
      <c r="B184" s="181" t="s">
        <v>1670</v>
      </c>
      <c r="C184" s="33" t="s">
        <v>73</v>
      </c>
      <c r="D184" s="17" t="s">
        <v>1671</v>
      </c>
      <c r="E184" s="17" t="s">
        <v>1672</v>
      </c>
      <c r="F184" s="17" t="s">
        <v>1673</v>
      </c>
      <c r="G184" s="17" t="s">
        <v>1674</v>
      </c>
    </row>
    <row r="185" spans="1:7" ht="15.6">
      <c r="A185" s="123"/>
      <c r="B185" s="181" t="s">
        <v>1675</v>
      </c>
      <c r="C185" s="17" t="s">
        <v>1676</v>
      </c>
      <c r="D185" s="17" t="s">
        <v>1677</v>
      </c>
      <c r="E185" s="17" t="s">
        <v>1678</v>
      </c>
      <c r="F185" s="17" t="s">
        <v>1679</v>
      </c>
      <c r="G185" s="17" t="s">
        <v>1680</v>
      </c>
    </row>
    <row r="186" spans="1:7" ht="15.6">
      <c r="A186" s="123" t="s">
        <v>939</v>
      </c>
      <c r="B186" s="131" t="s">
        <v>1681</v>
      </c>
      <c r="C186" s="33" t="s">
        <v>73</v>
      </c>
      <c r="D186" s="17" t="s">
        <v>1682</v>
      </c>
      <c r="E186" s="17" t="s">
        <v>1683</v>
      </c>
      <c r="F186" s="17" t="s">
        <v>1684</v>
      </c>
      <c r="G186" s="17" t="s">
        <v>1685</v>
      </c>
    </row>
    <row r="187" spans="1:7" ht="15.6">
      <c r="A187" s="123" t="s">
        <v>944</v>
      </c>
      <c r="B187" s="173" t="s">
        <v>1686</v>
      </c>
      <c r="C187" s="17" t="s">
        <v>1553</v>
      </c>
      <c r="D187" s="17" t="s">
        <v>1687</v>
      </c>
      <c r="E187" s="17" t="s">
        <v>1688</v>
      </c>
      <c r="F187" s="17" t="s">
        <v>1689</v>
      </c>
      <c r="G187" s="17" t="s">
        <v>1690</v>
      </c>
    </row>
    <row r="188" spans="1:7" ht="15.6">
      <c r="A188" s="123" t="s">
        <v>945</v>
      </c>
      <c r="B188" s="182" t="s">
        <v>1691</v>
      </c>
      <c r="C188" s="33" t="s">
        <v>73</v>
      </c>
      <c r="D188" s="17" t="s">
        <v>1692</v>
      </c>
      <c r="E188" s="17" t="s">
        <v>1693</v>
      </c>
      <c r="F188" s="17" t="s">
        <v>1694</v>
      </c>
      <c r="G188" s="17" t="s">
        <v>1695</v>
      </c>
    </row>
    <row r="189" spans="1:7" ht="15.6">
      <c r="A189" s="123" t="s">
        <v>949</v>
      </c>
      <c r="B189" s="182" t="s">
        <v>1696</v>
      </c>
      <c r="C189" s="33" t="s">
        <v>73</v>
      </c>
      <c r="D189" s="17" t="s">
        <v>1697</v>
      </c>
      <c r="E189" s="17" t="s">
        <v>1698</v>
      </c>
      <c r="F189" s="17" t="s">
        <v>1699</v>
      </c>
      <c r="G189" s="17" t="s">
        <v>1700</v>
      </c>
    </row>
    <row r="190" spans="1:7" ht="15.6">
      <c r="A190" s="123" t="s">
        <v>956</v>
      </c>
      <c r="B190" s="182" t="s">
        <v>1701</v>
      </c>
      <c r="C190" s="33" t="s">
        <v>73</v>
      </c>
      <c r="D190" s="17" t="s">
        <v>1702</v>
      </c>
      <c r="E190" s="17" t="s">
        <v>1703</v>
      </c>
      <c r="F190" s="17" t="s">
        <v>1704</v>
      </c>
      <c r="G190" s="17" t="s">
        <v>1705</v>
      </c>
    </row>
    <row r="191" spans="1:7" ht="15.6">
      <c r="A191" s="123" t="s">
        <v>958</v>
      </c>
      <c r="B191" s="173" t="s">
        <v>1706</v>
      </c>
      <c r="C191" s="17" t="s">
        <v>1553</v>
      </c>
      <c r="D191" s="17" t="s">
        <v>1707</v>
      </c>
      <c r="E191" s="17" t="s">
        <v>1708</v>
      </c>
      <c r="F191" s="17" t="s">
        <v>1709</v>
      </c>
      <c r="G191" s="17" t="s">
        <v>1710</v>
      </c>
    </row>
    <row r="192" spans="1:7" ht="15.6">
      <c r="A192" s="123" t="s">
        <v>962</v>
      </c>
      <c r="B192" s="180" t="s">
        <v>1711</v>
      </c>
      <c r="C192" s="17" t="s">
        <v>47</v>
      </c>
      <c r="D192" s="17" t="s">
        <v>1712</v>
      </c>
      <c r="E192" s="17" t="s">
        <v>1713</v>
      </c>
      <c r="F192" s="17" t="s">
        <v>1714</v>
      </c>
      <c r="G192" s="17" t="s">
        <v>1715</v>
      </c>
    </row>
    <row r="193" spans="1:7" ht="15.6">
      <c r="A193" s="123" t="s">
        <v>968</v>
      </c>
      <c r="B193" s="182" t="s">
        <v>1716</v>
      </c>
      <c r="C193" s="33" t="s">
        <v>73</v>
      </c>
      <c r="D193" s="17" t="s">
        <v>1717</v>
      </c>
      <c r="E193" s="17" t="s">
        <v>1718</v>
      </c>
      <c r="F193" s="17" t="s">
        <v>1719</v>
      </c>
      <c r="G193" s="17" t="s">
        <v>1720</v>
      </c>
    </row>
    <row r="194" spans="1:7" ht="15.6">
      <c r="A194" s="123" t="s">
        <v>970</v>
      </c>
      <c r="B194" s="182" t="s">
        <v>1721</v>
      </c>
      <c r="C194" s="33" t="s">
        <v>73</v>
      </c>
      <c r="D194" s="17" t="s">
        <v>1722</v>
      </c>
      <c r="E194" s="17" t="s">
        <v>1723</v>
      </c>
      <c r="F194" s="17" t="s">
        <v>1724</v>
      </c>
      <c r="G194" s="17" t="s">
        <v>1725</v>
      </c>
    </row>
    <row r="195" spans="1:7" ht="15.6">
      <c r="A195" s="123" t="s">
        <v>973</v>
      </c>
      <c r="B195" s="129" t="s">
        <v>1726</v>
      </c>
      <c r="C195" s="17" t="s">
        <v>985</v>
      </c>
      <c r="D195" s="17" t="s">
        <v>1727</v>
      </c>
      <c r="E195" s="17" t="s">
        <v>1728</v>
      </c>
      <c r="F195" s="17" t="s">
        <v>1729</v>
      </c>
      <c r="G195" s="17" t="s">
        <v>1730</v>
      </c>
    </row>
    <row r="196" spans="1:7" ht="15.6">
      <c r="A196" s="123" t="s">
        <v>977</v>
      </c>
      <c r="B196" s="182" t="s">
        <v>1731</v>
      </c>
      <c r="C196" s="17" t="s">
        <v>36</v>
      </c>
      <c r="D196" s="17" t="s">
        <v>1732</v>
      </c>
      <c r="E196" s="17" t="s">
        <v>1733</v>
      </c>
      <c r="F196" s="17" t="s">
        <v>1734</v>
      </c>
      <c r="G196" s="17" t="s">
        <v>1735</v>
      </c>
    </row>
    <row r="197" spans="1:7" ht="15.6">
      <c r="A197" s="123" t="s">
        <v>981</v>
      </c>
      <c r="B197" s="182" t="s">
        <v>1736</v>
      </c>
      <c r="C197" s="33" t="s">
        <v>73</v>
      </c>
      <c r="D197" s="17" t="s">
        <v>1737</v>
      </c>
      <c r="E197" s="17" t="s">
        <v>1738</v>
      </c>
      <c r="F197" s="17" t="s">
        <v>1739</v>
      </c>
      <c r="G197" s="17" t="s">
        <v>1740</v>
      </c>
    </row>
    <row r="198" spans="1:7" ht="15.6">
      <c r="A198" s="123" t="s">
        <v>982</v>
      </c>
      <c r="B198" s="182" t="s">
        <v>1741</v>
      </c>
      <c r="C198" s="33" t="s">
        <v>73</v>
      </c>
      <c r="D198" s="17" t="s">
        <v>1742</v>
      </c>
      <c r="E198" s="17" t="s">
        <v>1743</v>
      </c>
      <c r="F198" s="17" t="s">
        <v>1744</v>
      </c>
      <c r="G198" s="17" t="s">
        <v>1745</v>
      </c>
    </row>
    <row r="199" spans="1:7" ht="15.6">
      <c r="A199" s="123" t="s">
        <v>984</v>
      </c>
      <c r="B199" s="182" t="s">
        <v>1746</v>
      </c>
      <c r="C199" s="33" t="s">
        <v>73</v>
      </c>
      <c r="D199" s="17" t="s">
        <v>192</v>
      </c>
      <c r="E199" s="17" t="s">
        <v>1747</v>
      </c>
      <c r="F199" s="17" t="s">
        <v>206</v>
      </c>
      <c r="G199" s="17" t="s">
        <v>1748</v>
      </c>
    </row>
    <row r="200" spans="1:7" ht="15.6">
      <c r="A200" s="123" t="s">
        <v>987</v>
      </c>
      <c r="B200" s="151" t="s">
        <v>1749</v>
      </c>
      <c r="C200" s="17" t="s">
        <v>319</v>
      </c>
      <c r="D200" s="17" t="s">
        <v>1750</v>
      </c>
      <c r="E200" s="17" t="s">
        <v>1751</v>
      </c>
      <c r="F200" s="17" t="s">
        <v>1752</v>
      </c>
      <c r="G200" s="17" t="s">
        <v>1753</v>
      </c>
    </row>
    <row r="201" spans="1:7" ht="15.6">
      <c r="A201" s="123" t="s">
        <v>993</v>
      </c>
      <c r="B201" s="182" t="s">
        <v>1754</v>
      </c>
      <c r="C201" s="33" t="s">
        <v>73</v>
      </c>
      <c r="D201" s="17" t="s">
        <v>1755</v>
      </c>
      <c r="E201" s="17" t="s">
        <v>1756</v>
      </c>
      <c r="F201" s="17" t="s">
        <v>1757</v>
      </c>
      <c r="G201" s="17" t="s">
        <v>1758</v>
      </c>
    </row>
    <row r="202" spans="1:7" ht="15.6">
      <c r="A202" s="123" t="s">
        <v>996</v>
      </c>
      <c r="B202" s="182" t="s">
        <v>1759</v>
      </c>
      <c r="C202" s="33" t="s">
        <v>73</v>
      </c>
      <c r="D202" s="17" t="s">
        <v>1760</v>
      </c>
      <c r="E202" s="17" t="s">
        <v>1761</v>
      </c>
      <c r="F202" s="17" t="s">
        <v>1762</v>
      </c>
      <c r="G202" s="17" t="s">
        <v>1763</v>
      </c>
    </row>
    <row r="203" spans="1:7" ht="15.6">
      <c r="A203" s="123" t="s">
        <v>1000</v>
      </c>
      <c r="B203" s="180" t="s">
        <v>1764</v>
      </c>
      <c r="C203" s="17" t="s">
        <v>47</v>
      </c>
      <c r="D203" s="17" t="s">
        <v>1765</v>
      </c>
      <c r="E203" s="17" t="s">
        <v>1766</v>
      </c>
      <c r="F203" s="17" t="s">
        <v>1767</v>
      </c>
      <c r="G203" s="17" t="s">
        <v>1768</v>
      </c>
    </row>
    <row r="204" spans="1:7" ht="15.6">
      <c r="A204" s="123" t="s">
        <v>1010</v>
      </c>
      <c r="B204" s="182" t="s">
        <v>1769</v>
      </c>
      <c r="C204" s="33" t="s">
        <v>73</v>
      </c>
      <c r="D204" s="17" t="s">
        <v>1770</v>
      </c>
      <c r="E204" s="17" t="s">
        <v>290</v>
      </c>
      <c r="F204" s="17" t="s">
        <v>1771</v>
      </c>
      <c r="G204" s="17" t="s">
        <v>1772</v>
      </c>
    </row>
    <row r="205" spans="1:7" ht="15.6">
      <c r="A205" s="123" t="s">
        <v>1016</v>
      </c>
      <c r="B205" s="182" t="s">
        <v>1773</v>
      </c>
      <c r="C205" s="33" t="s">
        <v>73</v>
      </c>
      <c r="D205" s="17" t="s">
        <v>1774</v>
      </c>
      <c r="E205" s="17" t="s">
        <v>1775</v>
      </c>
      <c r="F205" s="17" t="s">
        <v>1776</v>
      </c>
      <c r="G205" s="17" t="s">
        <v>1777</v>
      </c>
    </row>
    <row r="206" spans="1:7" ht="15.6">
      <c r="A206" s="123" t="s">
        <v>921</v>
      </c>
      <c r="B206" s="182" t="s">
        <v>1778</v>
      </c>
      <c r="C206" s="17" t="s">
        <v>1779</v>
      </c>
      <c r="D206" s="33" t="s">
        <v>1780</v>
      </c>
      <c r="E206" s="33" t="s">
        <v>1781</v>
      </c>
      <c r="F206" s="33" t="s">
        <v>1782</v>
      </c>
      <c r="G206" s="33" t="s">
        <v>1783</v>
      </c>
    </row>
    <row r="207" spans="1:7" ht="15.6">
      <c r="A207" s="123" t="s">
        <v>920</v>
      </c>
      <c r="B207" s="182" t="s">
        <v>1784</v>
      </c>
      <c r="C207" s="17" t="s">
        <v>1779</v>
      </c>
      <c r="D207" s="33" t="s">
        <v>1785</v>
      </c>
      <c r="E207" s="33" t="s">
        <v>1786</v>
      </c>
      <c r="F207" s="33" t="s">
        <v>1787</v>
      </c>
      <c r="G207" s="33" t="s">
        <v>1788</v>
      </c>
    </row>
    <row r="208" spans="1:7" ht="15.6">
      <c r="A208" s="123" t="s">
        <v>1025</v>
      </c>
      <c r="B208" s="182" t="s">
        <v>1789</v>
      </c>
      <c r="C208" s="17" t="s">
        <v>1779</v>
      </c>
      <c r="D208" s="33" t="s">
        <v>1790</v>
      </c>
      <c r="E208" s="33" t="s">
        <v>1791</v>
      </c>
      <c r="F208" s="33" t="s">
        <v>1792</v>
      </c>
      <c r="G208" s="33" t="s">
        <v>1793</v>
      </c>
    </row>
    <row r="209" spans="1:7" ht="15.6">
      <c r="A209" s="123" t="s">
        <v>1021</v>
      </c>
      <c r="B209" s="182" t="s">
        <v>1794</v>
      </c>
      <c r="C209" s="17" t="s">
        <v>1779</v>
      </c>
      <c r="D209" s="33" t="s">
        <v>1795</v>
      </c>
      <c r="E209" s="33" t="s">
        <v>1796</v>
      </c>
      <c r="F209" s="33" t="s">
        <v>1797</v>
      </c>
      <c r="G209" s="33" t="s">
        <v>1798</v>
      </c>
    </row>
    <row r="210" spans="1:7" ht="15.6">
      <c r="A210" s="123" t="s">
        <v>915</v>
      </c>
      <c r="B210" s="184" t="s">
        <v>1799</v>
      </c>
      <c r="C210" s="17" t="s">
        <v>1779</v>
      </c>
      <c r="D210" s="33" t="s">
        <v>1800</v>
      </c>
      <c r="E210" s="33" t="s">
        <v>1801</v>
      </c>
      <c r="F210" s="33" t="s">
        <v>1802</v>
      </c>
      <c r="G210" s="33" t="s">
        <v>1803</v>
      </c>
    </row>
    <row r="211" spans="1:7" ht="15.6">
      <c r="A211" s="123" t="s">
        <v>1031</v>
      </c>
      <c r="B211" s="182" t="s">
        <v>1804</v>
      </c>
      <c r="C211" s="17" t="s">
        <v>1779</v>
      </c>
      <c r="D211" s="33" t="s">
        <v>1805</v>
      </c>
      <c r="E211" s="33" t="s">
        <v>1806</v>
      </c>
      <c r="F211" s="33" t="s">
        <v>1807</v>
      </c>
      <c r="G211" s="33" t="s">
        <v>1808</v>
      </c>
    </row>
    <row r="212" spans="1:7" ht="15.6">
      <c r="A212" s="123" t="s">
        <v>1032</v>
      </c>
      <c r="B212" s="182" t="s">
        <v>1809</v>
      </c>
      <c r="C212" s="17" t="s">
        <v>1779</v>
      </c>
      <c r="D212" s="33" t="s">
        <v>1810</v>
      </c>
      <c r="E212" s="33" t="s">
        <v>1811</v>
      </c>
      <c r="F212" s="33" t="s">
        <v>1812</v>
      </c>
      <c r="G212" s="33" t="s">
        <v>1813</v>
      </c>
    </row>
    <row r="213" spans="1:7" ht="15.6">
      <c r="A213" s="83" t="s">
        <v>1034</v>
      </c>
      <c r="B213" s="167" t="s">
        <v>1814</v>
      </c>
      <c r="C213" s="17" t="s">
        <v>1542</v>
      </c>
      <c r="D213" s="33" t="s">
        <v>1815</v>
      </c>
      <c r="E213" s="33" t="s">
        <v>1816</v>
      </c>
      <c r="F213" s="33" t="s">
        <v>1817</v>
      </c>
      <c r="G213" s="33" t="s">
        <v>1818</v>
      </c>
    </row>
    <row r="214" spans="1:7" ht="15.6">
      <c r="A214" s="83" t="s">
        <v>1041</v>
      </c>
      <c r="B214" s="30" t="s">
        <v>1819</v>
      </c>
      <c r="C214" s="33" t="s">
        <v>36</v>
      </c>
      <c r="D214" s="33" t="s">
        <v>1820</v>
      </c>
      <c r="E214" s="33" t="s">
        <v>99</v>
      </c>
      <c r="F214" s="33" t="s">
        <v>1821</v>
      </c>
      <c r="G214" s="33" t="s">
        <v>1822</v>
      </c>
    </row>
    <row r="215" spans="1:7" ht="15.6">
      <c r="A215" s="33" t="s">
        <v>1046</v>
      </c>
      <c r="B215" s="30" t="s">
        <v>1823</v>
      </c>
      <c r="C215" s="33" t="s">
        <v>73</v>
      </c>
      <c r="D215" s="49" t="s">
        <v>1824</v>
      </c>
      <c r="E215" s="49" t="s">
        <v>1825</v>
      </c>
      <c r="F215" s="49" t="s">
        <v>1826</v>
      </c>
      <c r="G215" s="49" t="s">
        <v>1827</v>
      </c>
    </row>
    <row r="216" spans="1:7" ht="15.6">
      <c r="A216" s="33" t="s">
        <v>1054</v>
      </c>
      <c r="B216" s="134" t="s">
        <v>1828</v>
      </c>
      <c r="C216" s="17" t="s">
        <v>637</v>
      </c>
      <c r="D216" s="49" t="s">
        <v>1829</v>
      </c>
      <c r="E216" s="49" t="s">
        <v>1830</v>
      </c>
      <c r="F216" s="49" t="s">
        <v>1831</v>
      </c>
      <c r="G216" s="49" t="s">
        <v>1832</v>
      </c>
    </row>
    <row r="217" spans="1:7" ht="15.6">
      <c r="A217" s="33" t="s">
        <v>1056</v>
      </c>
      <c r="B217" s="129" t="s">
        <v>1833</v>
      </c>
      <c r="C217" s="17" t="s">
        <v>985</v>
      </c>
      <c r="D217" s="49" t="s">
        <v>1834</v>
      </c>
      <c r="E217" s="49" t="s">
        <v>1835</v>
      </c>
      <c r="F217" s="49" t="s">
        <v>1836</v>
      </c>
      <c r="G217" s="49" t="s">
        <v>1837</v>
      </c>
    </row>
    <row r="218" spans="1:7" ht="15.6">
      <c r="A218" s="33" t="s">
        <v>1061</v>
      </c>
      <c r="B218" s="125" t="s">
        <v>1838</v>
      </c>
      <c r="C218" s="17" t="s">
        <v>60</v>
      </c>
      <c r="D218" s="49" t="s">
        <v>1839</v>
      </c>
      <c r="E218" s="49" t="s">
        <v>1840</v>
      </c>
      <c r="F218" s="49" t="s">
        <v>1841</v>
      </c>
      <c r="G218" s="49" t="s">
        <v>1842</v>
      </c>
    </row>
    <row r="219" spans="1:7" ht="15.6">
      <c r="A219" s="33" t="s">
        <v>1066</v>
      </c>
      <c r="B219" s="151" t="s">
        <v>1843</v>
      </c>
      <c r="C219" s="17" t="s">
        <v>319</v>
      </c>
      <c r="D219" s="49" t="s">
        <v>1844</v>
      </c>
      <c r="E219" s="49" t="s">
        <v>277</v>
      </c>
      <c r="F219" s="49" t="s">
        <v>1845</v>
      </c>
      <c r="G219" s="49" t="s">
        <v>1846</v>
      </c>
    </row>
    <row r="220" spans="1:7" ht="15.6">
      <c r="A220" s="33" t="s">
        <v>1067</v>
      </c>
      <c r="B220" s="185" t="s">
        <v>1847</v>
      </c>
      <c r="C220" s="17" t="s">
        <v>1848</v>
      </c>
      <c r="D220" s="49" t="s">
        <v>1849</v>
      </c>
      <c r="E220" s="49" t="s">
        <v>1850</v>
      </c>
      <c r="F220" s="49" t="s">
        <v>1851</v>
      </c>
      <c r="G220" s="49" t="s">
        <v>1852</v>
      </c>
    </row>
    <row r="221" spans="1:7" ht="15.6">
      <c r="A221" s="33" t="s">
        <v>1069</v>
      </c>
      <c r="B221" s="87" t="s">
        <v>1853</v>
      </c>
      <c r="C221" s="17" t="s">
        <v>296</v>
      </c>
      <c r="D221" s="17" t="s">
        <v>1854</v>
      </c>
      <c r="E221" s="17" t="s">
        <v>1855</v>
      </c>
      <c r="F221" s="17" t="s">
        <v>1856</v>
      </c>
      <c r="G221" s="17" t="s">
        <v>1857</v>
      </c>
    </row>
    <row r="222" spans="1:7" ht="15.6">
      <c r="A222" s="33" t="s">
        <v>1076</v>
      </c>
      <c r="B222" s="125" t="s">
        <v>1858</v>
      </c>
      <c r="C222" s="17" t="s">
        <v>60</v>
      </c>
      <c r="D222" s="17" t="s">
        <v>1859</v>
      </c>
      <c r="E222" s="17" t="s">
        <v>1860</v>
      </c>
      <c r="F222" s="17" t="s">
        <v>1861</v>
      </c>
      <c r="G222" s="17" t="s">
        <v>1862</v>
      </c>
    </row>
    <row r="223" spans="1:7" ht="15.6">
      <c r="A223" s="33" t="s">
        <v>1078</v>
      </c>
      <c r="B223" s="167" t="s">
        <v>1863</v>
      </c>
      <c r="C223" s="17" t="s">
        <v>1542</v>
      </c>
      <c r="D223" s="33" t="s">
        <v>1864</v>
      </c>
      <c r="E223" s="33" t="s">
        <v>1865</v>
      </c>
      <c r="F223" s="33" t="s">
        <v>1866</v>
      </c>
      <c r="G223" s="33" t="s">
        <v>1867</v>
      </c>
    </row>
    <row r="224" spans="1:7" ht="15.6">
      <c r="A224" s="33" t="s">
        <v>1080</v>
      </c>
      <c r="B224" s="134" t="s">
        <v>1868</v>
      </c>
      <c r="C224" s="17" t="s">
        <v>637</v>
      </c>
      <c r="D224" s="33" t="s">
        <v>1869</v>
      </c>
      <c r="E224" s="33" t="s">
        <v>1870</v>
      </c>
      <c r="F224" s="33" t="s">
        <v>1871</v>
      </c>
      <c r="G224" s="33" t="s">
        <v>1872</v>
      </c>
    </row>
    <row r="225" spans="1:7" ht="15.6">
      <c r="A225" s="33" t="s">
        <v>1054</v>
      </c>
      <c r="B225" s="158" t="s">
        <v>1873</v>
      </c>
      <c r="C225" s="17" t="s">
        <v>790</v>
      </c>
      <c r="D225" s="33" t="s">
        <v>1874</v>
      </c>
      <c r="E225" s="33" t="s">
        <v>1875</v>
      </c>
      <c r="F225" s="33" t="s">
        <v>1876</v>
      </c>
      <c r="G225" s="33" t="s">
        <v>1877</v>
      </c>
    </row>
    <row r="226" spans="1:7" ht="15.6">
      <c r="A226" s="33"/>
      <c r="B226" s="125"/>
      <c r="C226" s="17"/>
      <c r="D226" s="33"/>
      <c r="E226" s="33"/>
      <c r="F226" s="33"/>
      <c r="G226" s="33"/>
    </row>
    <row r="227" spans="1:7" ht="15.6">
      <c r="A227" s="33" t="s">
        <v>1084</v>
      </c>
      <c r="B227" s="125" t="s">
        <v>1878</v>
      </c>
      <c r="C227" s="17" t="s">
        <v>60</v>
      </c>
      <c r="D227" s="33" t="s">
        <v>1879</v>
      </c>
      <c r="E227" s="33" t="s">
        <v>1880</v>
      </c>
      <c r="F227" s="33" t="s">
        <v>1881</v>
      </c>
      <c r="G227" s="33" t="s">
        <v>1882</v>
      </c>
    </row>
    <row r="228" spans="1:7" ht="15.6">
      <c r="A228" s="33" t="s">
        <v>1091</v>
      </c>
      <c r="B228" s="125" t="s">
        <v>1883</v>
      </c>
      <c r="C228" s="17" t="s">
        <v>60</v>
      </c>
      <c r="D228" s="33" t="s">
        <v>1884</v>
      </c>
      <c r="E228" s="33" t="s">
        <v>1885</v>
      </c>
      <c r="F228" s="33" t="s">
        <v>1886</v>
      </c>
      <c r="G228" s="33" t="s">
        <v>1887</v>
      </c>
    </row>
    <row r="229" spans="1:7" ht="15.6">
      <c r="A229" s="33" t="s">
        <v>1092</v>
      </c>
      <c r="B229" s="125" t="s">
        <v>1888</v>
      </c>
      <c r="C229" s="17" t="s">
        <v>60</v>
      </c>
      <c r="D229" s="33" t="s">
        <v>1889</v>
      </c>
      <c r="E229" s="33" t="s">
        <v>1890</v>
      </c>
      <c r="F229" s="33" t="s">
        <v>1891</v>
      </c>
      <c r="G229" s="33" t="s">
        <v>1892</v>
      </c>
    </row>
    <row r="230" spans="1:7" ht="15.6">
      <c r="A230" s="33" t="s">
        <v>1097</v>
      </c>
      <c r="B230" s="125" t="s">
        <v>1893</v>
      </c>
      <c r="C230" s="17" t="s">
        <v>60</v>
      </c>
      <c r="D230" s="33" t="s">
        <v>1894</v>
      </c>
      <c r="E230" s="33" t="s">
        <v>1895</v>
      </c>
      <c r="F230" s="33" t="s">
        <v>1896</v>
      </c>
      <c r="G230" s="33" t="s">
        <v>1897</v>
      </c>
    </row>
    <row r="231" spans="1:7" ht="15.6">
      <c r="A231" s="33" t="s">
        <v>1099</v>
      </c>
      <c r="B231" s="125" t="s">
        <v>1898</v>
      </c>
      <c r="C231" s="17" t="s">
        <v>60</v>
      </c>
      <c r="D231" s="33" t="s">
        <v>1899</v>
      </c>
      <c r="E231" s="33" t="s">
        <v>1900</v>
      </c>
      <c r="F231" s="33" t="s">
        <v>1901</v>
      </c>
      <c r="G231" s="33" t="s">
        <v>1902</v>
      </c>
    </row>
    <row r="232" spans="1:7" ht="15.6">
      <c r="A232" s="33" t="s">
        <v>1101</v>
      </c>
      <c r="B232" s="125" t="s">
        <v>1903</v>
      </c>
      <c r="C232" s="17" t="s">
        <v>60</v>
      </c>
      <c r="D232" s="33" t="s">
        <v>1904</v>
      </c>
      <c r="E232" s="33" t="s">
        <v>1905</v>
      </c>
      <c r="F232" s="33" t="s">
        <v>1906</v>
      </c>
      <c r="G232" s="33" t="s">
        <v>1907</v>
      </c>
    </row>
    <row r="233" spans="1:7" ht="15.6">
      <c r="A233" s="33" t="s">
        <v>1107</v>
      </c>
      <c r="B233" s="125" t="s">
        <v>1908</v>
      </c>
      <c r="C233" s="17" t="s">
        <v>60</v>
      </c>
      <c r="D233" s="33" t="s">
        <v>1909</v>
      </c>
      <c r="E233" s="33" t="s">
        <v>1910</v>
      </c>
      <c r="F233" s="33" t="s">
        <v>1911</v>
      </c>
      <c r="G233" s="33" t="s">
        <v>1912</v>
      </c>
    </row>
    <row r="234" spans="1:7" ht="15.6">
      <c r="A234" s="33" t="s">
        <v>1111</v>
      </c>
      <c r="B234" s="125" t="s">
        <v>1913</v>
      </c>
      <c r="C234" s="17" t="s">
        <v>60</v>
      </c>
      <c r="D234" s="33" t="s">
        <v>1914</v>
      </c>
      <c r="E234" s="33" t="s">
        <v>1915</v>
      </c>
      <c r="F234" s="33" t="s">
        <v>1916</v>
      </c>
      <c r="G234" s="33" t="s">
        <v>1917</v>
      </c>
    </row>
    <row r="235" spans="1:7" ht="15.6">
      <c r="A235" s="33" t="s">
        <v>1121</v>
      </c>
      <c r="B235" s="125" t="s">
        <v>1918</v>
      </c>
      <c r="C235" s="17" t="s">
        <v>60</v>
      </c>
      <c r="D235" s="33" t="s">
        <v>1919</v>
      </c>
      <c r="E235" s="33" t="s">
        <v>1920</v>
      </c>
      <c r="F235" s="33" t="s">
        <v>1921</v>
      </c>
      <c r="G235" s="33" t="s">
        <v>1922</v>
      </c>
    </row>
    <row r="236" spans="1:7" ht="15.6">
      <c r="A236" s="33" t="s">
        <v>1131</v>
      </c>
      <c r="B236" s="125" t="s">
        <v>1923</v>
      </c>
      <c r="C236" s="17" t="s">
        <v>60</v>
      </c>
      <c r="D236" s="33" t="s">
        <v>1924</v>
      </c>
      <c r="E236" s="33" t="s">
        <v>1925</v>
      </c>
      <c r="F236" s="33" t="s">
        <v>1926</v>
      </c>
      <c r="G236" s="33" t="s">
        <v>1927</v>
      </c>
    </row>
    <row r="237" spans="1:7" ht="15.6">
      <c r="A237" s="33" t="s">
        <v>1134</v>
      </c>
      <c r="B237" s="125" t="s">
        <v>1928</v>
      </c>
      <c r="C237" s="17" t="s">
        <v>60</v>
      </c>
      <c r="D237" s="33" t="s">
        <v>1929</v>
      </c>
      <c r="E237" s="33" t="s">
        <v>1930</v>
      </c>
      <c r="F237" s="33" t="s">
        <v>1931</v>
      </c>
      <c r="G237" s="33" t="s">
        <v>1932</v>
      </c>
    </row>
    <row r="238" spans="1:7" ht="15.6">
      <c r="A238" s="33" t="s">
        <v>1142</v>
      </c>
      <c r="B238" s="125" t="s">
        <v>1933</v>
      </c>
      <c r="C238" s="17" t="s">
        <v>60</v>
      </c>
      <c r="D238" s="33" t="s">
        <v>1934</v>
      </c>
      <c r="E238" s="33" t="s">
        <v>1935</v>
      </c>
      <c r="F238" s="33" t="s">
        <v>1936</v>
      </c>
      <c r="G238" s="33" t="s">
        <v>1937</v>
      </c>
    </row>
    <row r="239" spans="1:7" ht="15.6">
      <c r="A239" s="33" t="s">
        <v>1144</v>
      </c>
      <c r="B239" s="125" t="s">
        <v>1938</v>
      </c>
      <c r="C239" s="17" t="s">
        <v>60</v>
      </c>
      <c r="D239" s="33" t="s">
        <v>1939</v>
      </c>
      <c r="E239" s="33" t="s">
        <v>1940</v>
      </c>
      <c r="F239" s="33" t="s">
        <v>1941</v>
      </c>
      <c r="G239" s="33" t="s">
        <v>1942</v>
      </c>
    </row>
    <row r="240" spans="1:7" ht="15.6">
      <c r="A240" s="33" t="s">
        <v>1151</v>
      </c>
      <c r="B240" s="125" t="s">
        <v>1943</v>
      </c>
      <c r="C240" s="17" t="s">
        <v>60</v>
      </c>
      <c r="D240" s="33" t="s">
        <v>1944</v>
      </c>
      <c r="E240" s="33" t="s">
        <v>1945</v>
      </c>
      <c r="F240" s="33" t="s">
        <v>1946</v>
      </c>
      <c r="G240" s="33" t="s">
        <v>1947</v>
      </c>
    </row>
    <row r="241" spans="1:7" ht="15.6">
      <c r="A241" s="33" t="s">
        <v>1154</v>
      </c>
      <c r="B241" s="167" t="s">
        <v>1948</v>
      </c>
      <c r="C241" s="17" t="s">
        <v>1542</v>
      </c>
      <c r="D241" s="33" t="s">
        <v>1949</v>
      </c>
      <c r="E241" s="33" t="s">
        <v>1950</v>
      </c>
      <c r="F241" s="33" t="s">
        <v>1951</v>
      </c>
      <c r="G241" s="33" t="s">
        <v>1952</v>
      </c>
    </row>
    <row r="242" spans="1:7" ht="15.6">
      <c r="A242" s="33" t="s">
        <v>1156</v>
      </c>
      <c r="B242" s="167" t="s">
        <v>1953</v>
      </c>
      <c r="C242" s="17" t="s">
        <v>1542</v>
      </c>
      <c r="D242" s="33" t="s">
        <v>1954</v>
      </c>
      <c r="E242" s="33" t="s">
        <v>1955</v>
      </c>
      <c r="F242" s="33" t="s">
        <v>1956</v>
      </c>
      <c r="G242" s="33" t="s">
        <v>1957</v>
      </c>
    </row>
    <row r="243" spans="1:7" ht="15.6">
      <c r="A243" s="33" t="s">
        <v>1159</v>
      </c>
      <c r="B243" s="167" t="s">
        <v>1958</v>
      </c>
      <c r="C243" s="17" t="s">
        <v>1542</v>
      </c>
      <c r="D243" s="33" t="s">
        <v>1959</v>
      </c>
      <c r="E243" s="33" t="s">
        <v>1960</v>
      </c>
      <c r="F243" s="33" t="s">
        <v>1961</v>
      </c>
      <c r="G243" s="33" t="s">
        <v>1962</v>
      </c>
    </row>
    <row r="244" spans="1:7" ht="15.6">
      <c r="A244" s="33" t="s">
        <v>1166</v>
      </c>
      <c r="B244" s="167" t="s">
        <v>1963</v>
      </c>
      <c r="C244" s="17" t="s">
        <v>1542</v>
      </c>
      <c r="D244" s="33" t="s">
        <v>1964</v>
      </c>
      <c r="E244" s="33" t="s">
        <v>1965</v>
      </c>
      <c r="F244" s="33" t="s">
        <v>1966</v>
      </c>
      <c r="G244" s="33" t="s">
        <v>1967</v>
      </c>
    </row>
    <row r="245" spans="1:7" ht="15.6">
      <c r="A245" s="33" t="s">
        <v>1167</v>
      </c>
      <c r="B245" s="167" t="s">
        <v>1968</v>
      </c>
      <c r="C245" s="17" t="s">
        <v>1542</v>
      </c>
      <c r="D245" s="33" t="s">
        <v>1969</v>
      </c>
      <c r="E245" s="33" t="s">
        <v>1970</v>
      </c>
      <c r="F245" s="33" t="s">
        <v>1971</v>
      </c>
      <c r="G245" s="33" t="s">
        <v>1972</v>
      </c>
    </row>
    <row r="246" spans="1:7" ht="15.6">
      <c r="A246" s="33" t="s">
        <v>1169</v>
      </c>
      <c r="B246" s="180" t="s">
        <v>1973</v>
      </c>
      <c r="C246" s="17" t="s">
        <v>47</v>
      </c>
      <c r="D246" s="33" t="s">
        <v>1974</v>
      </c>
      <c r="E246" s="33" t="s">
        <v>1975</v>
      </c>
      <c r="F246" s="33" t="s">
        <v>1976</v>
      </c>
      <c r="G246" s="33" t="s">
        <v>1977</v>
      </c>
    </row>
    <row r="247" spans="1:7" ht="15.6">
      <c r="A247" s="33" t="s">
        <v>1175</v>
      </c>
      <c r="B247" s="180" t="s">
        <v>1978</v>
      </c>
      <c r="C247" s="17" t="s">
        <v>47</v>
      </c>
      <c r="D247" s="33" t="s">
        <v>1979</v>
      </c>
      <c r="E247" s="33" t="s">
        <v>1980</v>
      </c>
      <c r="F247" s="33" t="s">
        <v>1981</v>
      </c>
      <c r="G247" s="33" t="s">
        <v>1982</v>
      </c>
    </row>
    <row r="248" spans="1:7" ht="15.6">
      <c r="A248" s="33" t="s">
        <v>1179</v>
      </c>
      <c r="B248" s="180" t="s">
        <v>1983</v>
      </c>
      <c r="C248" s="17" t="s">
        <v>47</v>
      </c>
      <c r="D248" s="33" t="s">
        <v>1984</v>
      </c>
      <c r="E248" s="33" t="s">
        <v>1985</v>
      </c>
      <c r="F248" s="33" t="s">
        <v>1986</v>
      </c>
      <c r="G248" s="33" t="s">
        <v>1987</v>
      </c>
    </row>
    <row r="249" spans="1:7" ht="15.6">
      <c r="A249" s="33" t="s">
        <v>1181</v>
      </c>
      <c r="B249" s="180" t="s">
        <v>1988</v>
      </c>
      <c r="C249" s="17" t="s">
        <v>47</v>
      </c>
      <c r="D249" s="33" t="s">
        <v>1989</v>
      </c>
      <c r="E249" s="33" t="s">
        <v>1990</v>
      </c>
      <c r="F249" s="33" t="s">
        <v>1991</v>
      </c>
      <c r="G249" s="33" t="s">
        <v>1992</v>
      </c>
    </row>
    <row r="250" spans="1:7" ht="15.6">
      <c r="A250" s="33" t="s">
        <v>1185</v>
      </c>
      <c r="B250" s="180" t="s">
        <v>1993</v>
      </c>
      <c r="C250" s="17" t="s">
        <v>47</v>
      </c>
      <c r="D250" s="33" t="s">
        <v>1994</v>
      </c>
      <c r="E250" s="33" t="s">
        <v>1995</v>
      </c>
      <c r="F250" s="33" t="s">
        <v>1996</v>
      </c>
      <c r="G250" s="33" t="s">
        <v>1997</v>
      </c>
    </row>
    <row r="251" spans="1:7" ht="15.6">
      <c r="A251" s="33" t="s">
        <v>1188</v>
      </c>
      <c r="B251" s="180" t="s">
        <v>1998</v>
      </c>
      <c r="C251" s="17" t="s">
        <v>47</v>
      </c>
      <c r="D251" s="33" t="s">
        <v>1999</v>
      </c>
      <c r="E251" s="33" t="s">
        <v>2000</v>
      </c>
      <c r="F251" s="33" t="s">
        <v>2001</v>
      </c>
      <c r="G251" s="33" t="s">
        <v>2002</v>
      </c>
    </row>
    <row r="252" spans="1:7" ht="15.6">
      <c r="A252" s="33" t="s">
        <v>1194</v>
      </c>
      <c r="B252" s="180" t="s">
        <v>2003</v>
      </c>
      <c r="C252" s="17" t="s">
        <v>47</v>
      </c>
      <c r="D252" s="33" t="s">
        <v>2004</v>
      </c>
      <c r="E252" s="33" t="s">
        <v>2005</v>
      </c>
      <c r="F252" s="33" t="s">
        <v>2006</v>
      </c>
      <c r="G252" s="33" t="s">
        <v>2007</v>
      </c>
    </row>
    <row r="253" spans="1:7" ht="15.6">
      <c r="A253" s="33" t="s">
        <v>1196</v>
      </c>
      <c r="B253" s="180" t="s">
        <v>2008</v>
      </c>
      <c r="C253" s="17" t="s">
        <v>47</v>
      </c>
      <c r="D253" s="33" t="s">
        <v>2009</v>
      </c>
      <c r="E253" s="33" t="s">
        <v>2010</v>
      </c>
      <c r="F253" s="33" t="s">
        <v>2011</v>
      </c>
      <c r="G253" s="33" t="s">
        <v>2012</v>
      </c>
    </row>
    <row r="254" spans="1:7" ht="15.6">
      <c r="A254" s="33" t="s">
        <v>1197</v>
      </c>
      <c r="B254" s="180" t="s">
        <v>2013</v>
      </c>
      <c r="C254" s="17" t="s">
        <v>47</v>
      </c>
      <c r="D254" s="33" t="s">
        <v>2014</v>
      </c>
      <c r="E254" s="33" t="s">
        <v>2015</v>
      </c>
      <c r="F254" s="33" t="s">
        <v>2016</v>
      </c>
      <c r="G254" s="33" t="s">
        <v>2017</v>
      </c>
    </row>
    <row r="255" spans="1:7" ht="15.6">
      <c r="A255" s="33" t="s">
        <v>1207</v>
      </c>
      <c r="B255" s="182" t="s">
        <v>2018</v>
      </c>
      <c r="C255" s="17" t="s">
        <v>36</v>
      </c>
      <c r="D255" s="33" t="s">
        <v>2019</v>
      </c>
      <c r="E255" s="33" t="s">
        <v>2020</v>
      </c>
      <c r="F255" s="33" t="s">
        <v>2021</v>
      </c>
      <c r="G255" s="33" t="s">
        <v>2022</v>
      </c>
    </row>
    <row r="256" spans="1:7" ht="15.6">
      <c r="A256" s="33" t="s">
        <v>1212</v>
      </c>
      <c r="B256" s="182" t="s">
        <v>2023</v>
      </c>
      <c r="C256" s="17" t="s">
        <v>36</v>
      </c>
      <c r="D256" s="33" t="s">
        <v>2024</v>
      </c>
      <c r="E256" s="33" t="s">
        <v>2025</v>
      </c>
      <c r="F256" s="33" t="s">
        <v>2026</v>
      </c>
      <c r="G256" s="33" t="s">
        <v>2027</v>
      </c>
    </row>
    <row r="257" spans="1:7" ht="15.6">
      <c r="A257" s="33" t="s">
        <v>1219</v>
      </c>
      <c r="B257" s="182" t="s">
        <v>2028</v>
      </c>
      <c r="C257" s="17" t="s">
        <v>36</v>
      </c>
      <c r="D257" s="33" t="s">
        <v>2029</v>
      </c>
      <c r="E257" s="33" t="s">
        <v>2030</v>
      </c>
      <c r="F257" s="33" t="s">
        <v>2031</v>
      </c>
      <c r="G257" s="33" t="s">
        <v>2032</v>
      </c>
    </row>
    <row r="258" spans="1:7" ht="15.6">
      <c r="A258" s="33" t="s">
        <v>1221</v>
      </c>
      <c r="B258" s="182" t="s">
        <v>2033</v>
      </c>
      <c r="C258" s="17" t="s">
        <v>36</v>
      </c>
      <c r="D258" s="33" t="s">
        <v>2034</v>
      </c>
      <c r="E258" s="33" t="s">
        <v>2035</v>
      </c>
      <c r="F258" s="33" t="s">
        <v>2036</v>
      </c>
      <c r="G258" s="33" t="s">
        <v>2037</v>
      </c>
    </row>
    <row r="259" spans="1:7" ht="15.6">
      <c r="A259" s="33" t="s">
        <v>1224</v>
      </c>
      <c r="B259" s="182" t="s">
        <v>2038</v>
      </c>
      <c r="C259" s="17" t="s">
        <v>36</v>
      </c>
      <c r="D259" s="33" t="s">
        <v>2039</v>
      </c>
      <c r="E259" s="33" t="s">
        <v>2040</v>
      </c>
      <c r="F259" s="33" t="s">
        <v>2041</v>
      </c>
      <c r="G259" s="33" t="s">
        <v>2042</v>
      </c>
    </row>
    <row r="260" spans="1:7" ht="15.6">
      <c r="A260" s="33" t="s">
        <v>1233</v>
      </c>
      <c r="B260" s="182" t="s">
        <v>2043</v>
      </c>
      <c r="C260" s="17" t="s">
        <v>36</v>
      </c>
      <c r="D260" s="33" t="s">
        <v>2044</v>
      </c>
      <c r="E260" s="33" t="s">
        <v>2045</v>
      </c>
      <c r="F260" s="33" t="s">
        <v>2046</v>
      </c>
      <c r="G260" s="33" t="s">
        <v>2047</v>
      </c>
    </row>
    <row r="261" spans="1:7" ht="15.6">
      <c r="A261" s="33" t="s">
        <v>1241</v>
      </c>
      <c r="B261" s="182" t="s">
        <v>2048</v>
      </c>
      <c r="C261" s="17" t="s">
        <v>36</v>
      </c>
      <c r="D261" s="33" t="s">
        <v>2049</v>
      </c>
      <c r="E261" s="33" t="s">
        <v>2050</v>
      </c>
      <c r="F261" s="33" t="s">
        <v>2051</v>
      </c>
      <c r="G261" s="33" t="s">
        <v>2052</v>
      </c>
    </row>
    <row r="262" spans="1:7" ht="15.6">
      <c r="A262" s="33" t="s">
        <v>1244</v>
      </c>
      <c r="B262" s="182" t="s">
        <v>2053</v>
      </c>
      <c r="C262" s="17" t="s">
        <v>36</v>
      </c>
      <c r="D262" s="33" t="s">
        <v>2054</v>
      </c>
      <c r="E262" s="33" t="s">
        <v>2055</v>
      </c>
      <c r="F262" s="33" t="s">
        <v>2056</v>
      </c>
      <c r="G262" s="33" t="s">
        <v>2057</v>
      </c>
    </row>
    <row r="263" spans="1:7" ht="15.6">
      <c r="A263" s="33" t="s">
        <v>1246</v>
      </c>
      <c r="B263" s="182" t="s">
        <v>2058</v>
      </c>
      <c r="C263" s="17" t="s">
        <v>36</v>
      </c>
      <c r="D263" s="33" t="s">
        <v>2059</v>
      </c>
      <c r="E263" s="33" t="s">
        <v>2060</v>
      </c>
      <c r="F263" s="33" t="s">
        <v>2061</v>
      </c>
      <c r="G263" s="33" t="s">
        <v>2062</v>
      </c>
    </row>
    <row r="264" spans="1:7" ht="15.6">
      <c r="B264" s="182" t="s">
        <v>2063</v>
      </c>
      <c r="C264" s="17" t="s">
        <v>2064</v>
      </c>
      <c r="D264" s="66" t="s">
        <v>2065</v>
      </c>
      <c r="E264" s="66" t="s">
        <v>2066</v>
      </c>
      <c r="F264" s="66" t="s">
        <v>2067</v>
      </c>
      <c r="G264" s="66" t="s">
        <v>2068</v>
      </c>
    </row>
    <row r="265" spans="1:7" ht="15.6">
      <c r="B265" s="153" t="s">
        <v>2069</v>
      </c>
      <c r="C265" s="17" t="s">
        <v>2070</v>
      </c>
      <c r="D265" s="66" t="s">
        <v>2071</v>
      </c>
      <c r="E265" s="66" t="s">
        <v>2072</v>
      </c>
      <c r="F265" s="66" t="s">
        <v>2073</v>
      </c>
      <c r="G265" s="17" t="s">
        <v>2074</v>
      </c>
    </row>
    <row r="266" spans="1:7" ht="15.6">
      <c r="A266" s="123" t="s">
        <v>1251</v>
      </c>
      <c r="B266" s="186" t="s">
        <v>2075</v>
      </c>
      <c r="C266" s="17" t="s">
        <v>319</v>
      </c>
      <c r="D266" s="17" t="s">
        <v>2076</v>
      </c>
      <c r="E266" s="17" t="s">
        <v>2077</v>
      </c>
      <c r="F266" s="17" t="s">
        <v>2078</v>
      </c>
      <c r="G266" s="17" t="s">
        <v>2079</v>
      </c>
    </row>
    <row r="267" spans="1:7" ht="15.6">
      <c r="A267" s="17" t="s">
        <v>1257</v>
      </c>
      <c r="B267" s="186" t="s">
        <v>2080</v>
      </c>
      <c r="C267" s="17" t="s">
        <v>319</v>
      </c>
      <c r="D267" s="17" t="s">
        <v>2081</v>
      </c>
      <c r="E267" s="17" t="s">
        <v>2082</v>
      </c>
      <c r="F267" s="17" t="s">
        <v>2083</v>
      </c>
      <c r="G267" s="17" t="s">
        <v>2084</v>
      </c>
    </row>
    <row r="268" spans="1:7" ht="15.6">
      <c r="A268" s="17" t="s">
        <v>1259</v>
      </c>
      <c r="B268" s="186" t="s">
        <v>2085</v>
      </c>
      <c r="C268" s="17" t="s">
        <v>319</v>
      </c>
      <c r="D268" s="17" t="s">
        <v>2086</v>
      </c>
      <c r="E268" s="17" t="s">
        <v>2087</v>
      </c>
      <c r="F268" s="17" t="s">
        <v>2088</v>
      </c>
      <c r="G268" s="17" t="s">
        <v>2089</v>
      </c>
    </row>
    <row r="269" spans="1:7" ht="15.6">
      <c r="A269" s="17" t="s">
        <v>1264</v>
      </c>
      <c r="B269" s="186" t="s">
        <v>2090</v>
      </c>
      <c r="C269" s="17" t="s">
        <v>319</v>
      </c>
      <c r="D269" s="17" t="s">
        <v>2091</v>
      </c>
      <c r="E269" s="17" t="s">
        <v>2092</v>
      </c>
      <c r="F269" s="17" t="s">
        <v>2093</v>
      </c>
      <c r="G269" s="17" t="s">
        <v>2094</v>
      </c>
    </row>
    <row r="270" spans="1:7" ht="15.6">
      <c r="A270" s="17" t="s">
        <v>1268</v>
      </c>
      <c r="B270" s="174" t="s">
        <v>2095</v>
      </c>
      <c r="C270" s="17" t="s">
        <v>36</v>
      </c>
      <c r="D270" s="17" t="s">
        <v>2096</v>
      </c>
      <c r="E270" s="17" t="s">
        <v>2097</v>
      </c>
      <c r="F270" s="17" t="s">
        <v>2098</v>
      </c>
      <c r="G270" s="17" t="s">
        <v>2099</v>
      </c>
    </row>
    <row r="271" spans="1:7" ht="15.6">
      <c r="A271" s="17" t="s">
        <v>1273</v>
      </c>
      <c r="B271" s="174" t="s">
        <v>2100</v>
      </c>
      <c r="C271" s="17" t="s">
        <v>36</v>
      </c>
      <c r="D271" s="17" t="s">
        <v>2101</v>
      </c>
      <c r="E271" s="17" t="s">
        <v>2102</v>
      </c>
      <c r="F271" s="17" t="s">
        <v>2103</v>
      </c>
      <c r="G271" s="17" t="s">
        <v>2104</v>
      </c>
    </row>
    <row r="272" spans="1:7" ht="15.6">
      <c r="A272" s="123" t="s">
        <v>1280</v>
      </c>
      <c r="B272" s="174" t="s">
        <v>2105</v>
      </c>
      <c r="C272" s="17" t="s">
        <v>36</v>
      </c>
      <c r="D272" s="17" t="s">
        <v>2106</v>
      </c>
      <c r="E272" s="17" t="s">
        <v>2107</v>
      </c>
      <c r="F272" s="17" t="s">
        <v>2108</v>
      </c>
      <c r="G272" s="17" t="s">
        <v>2109</v>
      </c>
    </row>
    <row r="273" spans="1:7" ht="15.6">
      <c r="A273" s="123" t="s">
        <v>1286</v>
      </c>
      <c r="B273" s="187" t="s">
        <v>2110</v>
      </c>
      <c r="C273" s="17" t="s">
        <v>47</v>
      </c>
      <c r="D273" s="17" t="s">
        <v>2111</v>
      </c>
      <c r="E273" s="17" t="s">
        <v>2112</v>
      </c>
      <c r="F273" s="17" t="s">
        <v>2113</v>
      </c>
      <c r="G273" s="17" t="s">
        <v>2114</v>
      </c>
    </row>
    <row r="274" spans="1:7" ht="15.6">
      <c r="A274" s="123" t="s">
        <v>1287</v>
      </c>
      <c r="B274" s="188" t="s">
        <v>2115</v>
      </c>
      <c r="C274" s="17" t="s">
        <v>1542</v>
      </c>
      <c r="D274" s="17" t="s">
        <v>2116</v>
      </c>
      <c r="E274" s="17" t="s">
        <v>2117</v>
      </c>
      <c r="F274" s="17" t="s">
        <v>2118</v>
      </c>
      <c r="G274" s="17" t="s">
        <v>2119</v>
      </c>
    </row>
    <row r="275" spans="1:7" ht="15.6">
      <c r="A275" s="123" t="s">
        <v>1291</v>
      </c>
      <c r="B275" s="188" t="s">
        <v>2120</v>
      </c>
      <c r="C275" s="17" t="s">
        <v>1542</v>
      </c>
      <c r="D275" s="17" t="s">
        <v>2121</v>
      </c>
      <c r="E275" s="17" t="s">
        <v>2122</v>
      </c>
      <c r="F275" s="17" t="s">
        <v>2123</v>
      </c>
      <c r="G275" s="17" t="s">
        <v>2124</v>
      </c>
    </row>
    <row r="276" spans="1:7" ht="15.6">
      <c r="A276" s="123" t="s">
        <v>1295</v>
      </c>
      <c r="B276" s="140" t="s">
        <v>2125</v>
      </c>
      <c r="C276" s="17" t="s">
        <v>60</v>
      </c>
      <c r="D276" s="17" t="s">
        <v>2126</v>
      </c>
      <c r="E276" s="17" t="s">
        <v>2127</v>
      </c>
      <c r="F276" s="17" t="s">
        <v>2128</v>
      </c>
      <c r="G276" s="17" t="s">
        <v>2129</v>
      </c>
    </row>
    <row r="277" spans="1:7" ht="15.6">
      <c r="A277" s="123" t="s">
        <v>1296</v>
      </c>
      <c r="B277" s="140" t="s">
        <v>2130</v>
      </c>
      <c r="C277" s="17" t="s">
        <v>60</v>
      </c>
      <c r="D277" s="17" t="s">
        <v>2131</v>
      </c>
      <c r="E277" s="17" t="s">
        <v>2132</v>
      </c>
      <c r="F277" s="17" t="s">
        <v>2133</v>
      </c>
      <c r="G277" s="17" t="s">
        <v>2134</v>
      </c>
    </row>
    <row r="278" spans="1:7" ht="15.6">
      <c r="A278" s="123" t="s">
        <v>1302</v>
      </c>
      <c r="B278" s="140" t="s">
        <v>2135</v>
      </c>
      <c r="C278" s="17" t="s">
        <v>60</v>
      </c>
      <c r="D278" s="17" t="s">
        <v>2136</v>
      </c>
      <c r="E278" s="17" t="s">
        <v>2137</v>
      </c>
      <c r="F278" s="17" t="s">
        <v>2138</v>
      </c>
      <c r="G278" s="17" t="s">
        <v>2139</v>
      </c>
    </row>
    <row r="279" spans="1:7" ht="15.6">
      <c r="A279" s="123" t="s">
        <v>1305</v>
      </c>
      <c r="B279" s="140" t="s">
        <v>2140</v>
      </c>
      <c r="C279" s="17" t="s">
        <v>60</v>
      </c>
      <c r="D279" s="17" t="s">
        <v>2141</v>
      </c>
      <c r="E279" s="17" t="s">
        <v>2142</v>
      </c>
      <c r="F279" s="17" t="s">
        <v>2143</v>
      </c>
      <c r="G279" s="17" t="s">
        <v>2144</v>
      </c>
    </row>
    <row r="280" spans="1:7" ht="15.6">
      <c r="A280" s="123" t="s">
        <v>1309</v>
      </c>
      <c r="B280" s="140" t="s">
        <v>2145</v>
      </c>
      <c r="C280" s="17" t="s">
        <v>60</v>
      </c>
      <c r="D280" s="17" t="s">
        <v>2146</v>
      </c>
      <c r="E280" s="17" t="s">
        <v>2147</v>
      </c>
      <c r="F280" s="17" t="s">
        <v>2148</v>
      </c>
      <c r="G280" s="17" t="s">
        <v>2149</v>
      </c>
    </row>
    <row r="281" spans="1:7" ht="15.6">
      <c r="A281" s="123" t="s">
        <v>1315</v>
      </c>
      <c r="B281" s="140" t="s">
        <v>2150</v>
      </c>
      <c r="C281" s="17" t="s">
        <v>60</v>
      </c>
      <c r="D281" s="17" t="s">
        <v>2151</v>
      </c>
      <c r="E281" s="17" t="s">
        <v>2152</v>
      </c>
      <c r="F281" s="17" t="s">
        <v>2153</v>
      </c>
      <c r="G281" s="17" t="s">
        <v>2154</v>
      </c>
    </row>
    <row r="282" spans="1:7" ht="15.6">
      <c r="A282" s="17" t="s">
        <v>1316</v>
      </c>
      <c r="B282" s="174" t="s">
        <v>2155</v>
      </c>
      <c r="C282" s="17" t="s">
        <v>36</v>
      </c>
      <c r="D282" s="17" t="s">
        <v>2156</v>
      </c>
      <c r="E282" s="17" t="s">
        <v>2157</v>
      </c>
      <c r="F282" s="17" t="s">
        <v>2158</v>
      </c>
      <c r="G282" s="17" t="s">
        <v>2159</v>
      </c>
    </row>
    <row r="283" spans="1:7" ht="15.6">
      <c r="A283" s="33" t="s">
        <v>1318</v>
      </c>
      <c r="B283" s="187" t="s">
        <v>2160</v>
      </c>
      <c r="C283" s="17" t="s">
        <v>47</v>
      </c>
      <c r="D283" s="33" t="s">
        <v>2161</v>
      </c>
      <c r="E283" s="33" t="s">
        <v>2162</v>
      </c>
      <c r="F283" s="33" t="s">
        <v>2163</v>
      </c>
      <c r="G283" s="33" t="s">
        <v>2164</v>
      </c>
    </row>
    <row r="284" spans="1:7" ht="15.6">
      <c r="A284" s="33" t="s">
        <v>1325</v>
      </c>
      <c r="B284" s="187" t="s">
        <v>2165</v>
      </c>
      <c r="C284" s="17" t="s">
        <v>47</v>
      </c>
      <c r="D284" s="33" t="s">
        <v>2166</v>
      </c>
      <c r="E284" s="33" t="s">
        <v>2167</v>
      </c>
      <c r="F284" s="33" t="s">
        <v>2168</v>
      </c>
      <c r="G284" s="33" t="s">
        <v>2169</v>
      </c>
    </row>
    <row r="285" spans="1:7" ht="15.6">
      <c r="A285" s="33" t="s">
        <v>1327</v>
      </c>
      <c r="B285" s="187" t="s">
        <v>2170</v>
      </c>
      <c r="C285" s="17" t="s">
        <v>47</v>
      </c>
      <c r="D285" s="33" t="s">
        <v>2171</v>
      </c>
      <c r="E285" s="17" t="s">
        <v>2172</v>
      </c>
      <c r="F285" s="17" t="s">
        <v>2173</v>
      </c>
      <c r="G285" s="17" t="s">
        <v>2174</v>
      </c>
    </row>
    <row r="286" spans="1:7" ht="15.6">
      <c r="A286" s="33" t="s">
        <v>1333</v>
      </c>
      <c r="B286" s="187" t="s">
        <v>2175</v>
      </c>
      <c r="C286" s="17" t="s">
        <v>47</v>
      </c>
      <c r="D286" s="33" t="s">
        <v>2176</v>
      </c>
      <c r="E286" s="17" t="s">
        <v>2177</v>
      </c>
      <c r="F286" s="17" t="s">
        <v>2178</v>
      </c>
      <c r="G286" s="17" t="s">
        <v>2179</v>
      </c>
    </row>
    <row r="287" spans="1:7" ht="15.6">
      <c r="A287" s="33" t="s">
        <v>1334</v>
      </c>
      <c r="B287" s="187" t="s">
        <v>2180</v>
      </c>
      <c r="C287" s="17" t="s">
        <v>47</v>
      </c>
      <c r="D287" s="33" t="s">
        <v>2181</v>
      </c>
      <c r="E287" s="33" t="s">
        <v>2182</v>
      </c>
      <c r="F287" s="33" t="s">
        <v>2183</v>
      </c>
      <c r="G287" s="17" t="s">
        <v>2184</v>
      </c>
    </row>
    <row r="288" spans="1:7" ht="15.6">
      <c r="A288" s="33" t="s">
        <v>1337</v>
      </c>
      <c r="B288" s="187" t="s">
        <v>2185</v>
      </c>
      <c r="C288" s="17" t="s">
        <v>47</v>
      </c>
      <c r="D288" s="17" t="s">
        <v>2186</v>
      </c>
      <c r="E288" s="17" t="s">
        <v>2187</v>
      </c>
      <c r="F288" s="17" t="s">
        <v>2188</v>
      </c>
      <c r="G288" s="17" t="s">
        <v>2189</v>
      </c>
    </row>
    <row r="289" spans="1:7" ht="15.6">
      <c r="A289" s="33" t="s">
        <v>1339</v>
      </c>
      <c r="B289" s="187" t="s">
        <v>2190</v>
      </c>
      <c r="C289" s="17" t="s">
        <v>47</v>
      </c>
      <c r="D289" s="33" t="s">
        <v>2191</v>
      </c>
      <c r="E289" s="33" t="s">
        <v>2192</v>
      </c>
      <c r="F289" s="33" t="s">
        <v>2193</v>
      </c>
      <c r="G289" s="33" t="s">
        <v>2194</v>
      </c>
    </row>
    <row r="290" spans="1:7" ht="15.6">
      <c r="A290" s="33" t="s">
        <v>1343</v>
      </c>
      <c r="B290" s="187" t="s">
        <v>2195</v>
      </c>
      <c r="C290" s="17" t="s">
        <v>47</v>
      </c>
      <c r="D290" s="33" t="s">
        <v>2196</v>
      </c>
      <c r="E290" s="17" t="s">
        <v>2197</v>
      </c>
      <c r="F290" s="17" t="s">
        <v>2198</v>
      </c>
      <c r="G290" s="17" t="s">
        <v>2199</v>
      </c>
    </row>
    <row r="291" spans="1:7" ht="15.6">
      <c r="A291" s="33" t="s">
        <v>1349</v>
      </c>
      <c r="B291" s="187" t="s">
        <v>2200</v>
      </c>
      <c r="C291" s="17" t="s">
        <v>47</v>
      </c>
      <c r="D291" s="33" t="s">
        <v>2201</v>
      </c>
      <c r="E291" s="33" t="s">
        <v>2202</v>
      </c>
      <c r="F291" s="17" t="s">
        <v>2203</v>
      </c>
      <c r="G291" s="17" t="s">
        <v>2204</v>
      </c>
    </row>
    <row r="292" spans="1:7" ht="15.6">
      <c r="A292" s="33" t="s">
        <v>1354</v>
      </c>
      <c r="B292" s="140" t="s">
        <v>2205</v>
      </c>
      <c r="C292" s="17" t="s">
        <v>60</v>
      </c>
      <c r="D292" s="33" t="s">
        <v>2206</v>
      </c>
      <c r="E292" s="33" t="s">
        <v>2207</v>
      </c>
      <c r="F292" s="33" t="s">
        <v>2208</v>
      </c>
      <c r="G292" s="33" t="s">
        <v>2209</v>
      </c>
    </row>
    <row r="293" spans="1:7" ht="15.6">
      <c r="A293" s="33" t="s">
        <v>1357</v>
      </c>
      <c r="B293" s="140" t="s">
        <v>2210</v>
      </c>
      <c r="C293" s="17" t="s">
        <v>60</v>
      </c>
      <c r="D293" s="33" t="s">
        <v>2211</v>
      </c>
      <c r="E293" s="33" t="s">
        <v>2212</v>
      </c>
      <c r="F293" s="17" t="s">
        <v>2213</v>
      </c>
      <c r="G293" s="33" t="s">
        <v>2214</v>
      </c>
    </row>
    <row r="294" spans="1:7" ht="15.6">
      <c r="A294" s="33" t="s">
        <v>1362</v>
      </c>
      <c r="B294" s="140" t="s">
        <v>2215</v>
      </c>
      <c r="C294" s="17" t="s">
        <v>60</v>
      </c>
      <c r="D294" s="33" t="s">
        <v>2216</v>
      </c>
      <c r="E294" s="33" t="s">
        <v>2217</v>
      </c>
      <c r="F294" s="33" t="s">
        <v>2218</v>
      </c>
      <c r="G294" s="33" t="s">
        <v>2219</v>
      </c>
    </row>
    <row r="295" spans="1:7" ht="15.6">
      <c r="A295" s="33" t="s">
        <v>1364</v>
      </c>
      <c r="B295" s="187" t="s">
        <v>2220</v>
      </c>
      <c r="C295" s="17" t="s">
        <v>47</v>
      </c>
      <c r="D295" s="17" t="s">
        <v>2221</v>
      </c>
      <c r="E295" s="17" t="s">
        <v>2222</v>
      </c>
      <c r="F295" s="17" t="s">
        <v>2223</v>
      </c>
      <c r="G295" s="17" t="s">
        <v>2224</v>
      </c>
    </row>
    <row r="296" spans="1:7" ht="15.6">
      <c r="A296" s="33" t="s">
        <v>1366</v>
      </c>
      <c r="B296" s="188" t="s">
        <v>2225</v>
      </c>
      <c r="C296" s="17" t="s">
        <v>1542</v>
      </c>
      <c r="D296" s="17" t="s">
        <v>2226</v>
      </c>
      <c r="E296" s="17" t="s">
        <v>2227</v>
      </c>
      <c r="F296" s="17" t="s">
        <v>2228</v>
      </c>
      <c r="G296" s="17" t="s">
        <v>2229</v>
      </c>
    </row>
    <row r="297" spans="1:7" ht="15.6">
      <c r="A297" s="33" t="s">
        <v>1372</v>
      </c>
      <c r="B297" s="188" t="s">
        <v>2230</v>
      </c>
      <c r="C297" s="17" t="s">
        <v>1542</v>
      </c>
      <c r="D297" s="17" t="s">
        <v>2231</v>
      </c>
      <c r="E297" s="17" t="s">
        <v>2232</v>
      </c>
      <c r="F297" s="17" t="s">
        <v>2233</v>
      </c>
      <c r="G297" s="17" t="s">
        <v>2234</v>
      </c>
    </row>
    <row r="298" spans="1:7" ht="15.6">
      <c r="A298" s="33" t="s">
        <v>1376</v>
      </c>
      <c r="B298" s="188" t="s">
        <v>2235</v>
      </c>
      <c r="C298" s="17" t="s">
        <v>1542</v>
      </c>
      <c r="D298" s="17" t="s">
        <v>2236</v>
      </c>
      <c r="E298" s="17" t="s">
        <v>2237</v>
      </c>
      <c r="F298" s="17" t="s">
        <v>2238</v>
      </c>
      <c r="G298" s="17" t="s">
        <v>2239</v>
      </c>
    </row>
    <row r="299" spans="1:7" ht="15.6">
      <c r="A299" s="33" t="s">
        <v>1384</v>
      </c>
      <c r="B299" s="140" t="s">
        <v>2240</v>
      </c>
      <c r="C299" s="17" t="s">
        <v>60</v>
      </c>
      <c r="D299" s="17" t="s">
        <v>2241</v>
      </c>
      <c r="E299" s="17" t="s">
        <v>2242</v>
      </c>
      <c r="F299" s="17" t="s">
        <v>2243</v>
      </c>
      <c r="G299" s="17" t="s">
        <v>2244</v>
      </c>
    </row>
    <row r="300" spans="1:7" ht="15.6">
      <c r="A300" s="33" t="s">
        <v>1386</v>
      </c>
      <c r="B300" s="188" t="s">
        <v>2245</v>
      </c>
      <c r="C300" s="17" t="s">
        <v>1542</v>
      </c>
      <c r="D300" s="17" t="s">
        <v>2246</v>
      </c>
      <c r="E300" s="17" t="s">
        <v>2247</v>
      </c>
      <c r="F300" s="17" t="s">
        <v>2248</v>
      </c>
      <c r="G300" s="17" t="s">
        <v>2249</v>
      </c>
    </row>
    <row r="301" spans="1:7" ht="15.6">
      <c r="A301" s="33" t="s">
        <v>1388</v>
      </c>
      <c r="B301" s="188" t="s">
        <v>2250</v>
      </c>
      <c r="C301" s="17" t="s">
        <v>1542</v>
      </c>
      <c r="D301" s="17" t="s">
        <v>2251</v>
      </c>
      <c r="E301" s="17" t="s">
        <v>2252</v>
      </c>
      <c r="F301" s="17" t="s">
        <v>2253</v>
      </c>
      <c r="G301" s="17" t="s">
        <v>2254</v>
      </c>
    </row>
    <row r="302" spans="1:7" ht="15.6">
      <c r="A302" s="33" t="s">
        <v>1396</v>
      </c>
      <c r="B302" s="188" t="s">
        <v>2255</v>
      </c>
      <c r="C302" s="17" t="s">
        <v>1542</v>
      </c>
      <c r="D302" s="17" t="s">
        <v>2256</v>
      </c>
      <c r="E302" s="33" t="s">
        <v>2257</v>
      </c>
      <c r="F302" s="17" t="s">
        <v>2258</v>
      </c>
      <c r="G302" s="17" t="s">
        <v>2259</v>
      </c>
    </row>
    <row r="303" spans="1:7" ht="15.6">
      <c r="A303" s="33" t="s">
        <v>1398</v>
      </c>
      <c r="B303" s="188" t="s">
        <v>2260</v>
      </c>
      <c r="C303" s="17" t="s">
        <v>1542</v>
      </c>
      <c r="D303" s="17" t="s">
        <v>2261</v>
      </c>
      <c r="E303" s="17" t="s">
        <v>2262</v>
      </c>
      <c r="F303" s="17" t="s">
        <v>2263</v>
      </c>
      <c r="G303" s="17" t="s">
        <v>2264</v>
      </c>
    </row>
    <row r="304" spans="1:7" ht="15.6">
      <c r="A304" s="33" t="s">
        <v>1401</v>
      </c>
      <c r="B304" s="188" t="s">
        <v>2265</v>
      </c>
      <c r="C304" s="17" t="s">
        <v>1542</v>
      </c>
      <c r="D304" s="17" t="s">
        <v>2266</v>
      </c>
      <c r="E304" s="17" t="s">
        <v>2267</v>
      </c>
      <c r="F304" s="17" t="s">
        <v>2268</v>
      </c>
      <c r="G304" s="17" t="s">
        <v>2269</v>
      </c>
    </row>
    <row r="305" spans="1:7" ht="15.6">
      <c r="A305" s="33" t="s">
        <v>1409</v>
      </c>
      <c r="B305" s="187" t="s">
        <v>2270</v>
      </c>
      <c r="C305" s="17" t="s">
        <v>47</v>
      </c>
      <c r="D305" s="17" t="s">
        <v>2271</v>
      </c>
      <c r="E305" s="17" t="s">
        <v>2272</v>
      </c>
      <c r="F305" s="17" t="s">
        <v>2273</v>
      </c>
      <c r="G305" s="17" t="s">
        <v>2274</v>
      </c>
    </row>
    <row r="306" spans="1:7" ht="14.4">
      <c r="A306" s="123"/>
      <c r="D306" s="33"/>
      <c r="E306" s="33"/>
      <c r="F306" s="33"/>
      <c r="G306" s="33"/>
    </row>
    <row r="307" spans="1:7" ht="14.4">
      <c r="A307" s="123"/>
      <c r="D307" s="33"/>
      <c r="E307" s="33"/>
      <c r="F307" s="33"/>
      <c r="G307" s="33"/>
    </row>
    <row r="308" spans="1:7" ht="14.4">
      <c r="A308" s="123"/>
      <c r="D308" s="33"/>
      <c r="E308" s="33"/>
      <c r="F308" s="33"/>
      <c r="G308" s="33"/>
    </row>
    <row r="309" spans="1:7" ht="14.4">
      <c r="A309" s="123"/>
      <c r="D309" s="33"/>
      <c r="E309" s="33"/>
      <c r="F309" s="33"/>
      <c r="G309" s="33"/>
    </row>
    <row r="310" spans="1:7" ht="13.2">
      <c r="A310" s="123"/>
    </row>
    <row r="311" spans="1:7" ht="13.2">
      <c r="A311" s="123"/>
    </row>
    <row r="312" spans="1:7" ht="13.2">
      <c r="A312" s="123"/>
    </row>
    <row r="313" spans="1:7" ht="13.2">
      <c r="A313" s="123"/>
    </row>
    <row r="314" spans="1:7" ht="13.2">
      <c r="A314" s="123"/>
    </row>
    <row r="315" spans="1:7" ht="13.2">
      <c r="A315" s="123"/>
    </row>
    <row r="316" spans="1:7" ht="13.2">
      <c r="A316" s="123"/>
    </row>
    <row r="317" spans="1:7" ht="13.2">
      <c r="A317" s="123"/>
    </row>
    <row r="318" spans="1:7" ht="13.2">
      <c r="A318" s="123"/>
    </row>
    <row r="319" spans="1:7" ht="13.2">
      <c r="A319" s="123"/>
    </row>
    <row r="320" spans="1:7" ht="13.2">
      <c r="A320" s="123"/>
    </row>
    <row r="321" spans="1:1" ht="13.2">
      <c r="A321" s="123"/>
    </row>
    <row r="322" spans="1:1" ht="13.2">
      <c r="A322" s="123"/>
    </row>
    <row r="323" spans="1:1" ht="13.2">
      <c r="A323" s="123"/>
    </row>
    <row r="324" spans="1:1" ht="13.2">
      <c r="A324" s="123"/>
    </row>
    <row r="325" spans="1:1" ht="13.2">
      <c r="A325" s="123"/>
    </row>
    <row r="326" spans="1:1" ht="13.2">
      <c r="A326" s="123"/>
    </row>
    <row r="327" spans="1:1" ht="13.2">
      <c r="A327" s="123"/>
    </row>
    <row r="328" spans="1:1" ht="13.2">
      <c r="A328" s="123"/>
    </row>
    <row r="329" spans="1:1" ht="13.2">
      <c r="A329" s="123"/>
    </row>
    <row r="330" spans="1:1" ht="13.2">
      <c r="A330" s="123"/>
    </row>
    <row r="331" spans="1:1" ht="13.2">
      <c r="A331" s="123"/>
    </row>
    <row r="332" spans="1:1" ht="13.2">
      <c r="A332" s="123"/>
    </row>
    <row r="333" spans="1:1" ht="13.2">
      <c r="A333" s="123"/>
    </row>
    <row r="334" spans="1:1" ht="13.2">
      <c r="A334" s="123"/>
    </row>
    <row r="335" spans="1:1" ht="13.2">
      <c r="A335" s="123"/>
    </row>
    <row r="336" spans="1:1" ht="13.2">
      <c r="A336" s="123"/>
    </row>
    <row r="337" spans="1:1" ht="13.2">
      <c r="A337" s="123"/>
    </row>
    <row r="338" spans="1:1" ht="13.2">
      <c r="A338" s="123"/>
    </row>
    <row r="339" spans="1:1" ht="13.2">
      <c r="A339" s="123"/>
    </row>
    <row r="340" spans="1:1" ht="13.2">
      <c r="A340" s="123"/>
    </row>
    <row r="341" spans="1:1" ht="13.2">
      <c r="A341" s="123"/>
    </row>
    <row r="342" spans="1:1" ht="13.2">
      <c r="A342" s="123"/>
    </row>
    <row r="343" spans="1:1" ht="13.2">
      <c r="A343" s="123"/>
    </row>
    <row r="344" spans="1:1" ht="13.2">
      <c r="A344" s="123"/>
    </row>
    <row r="345" spans="1:1" ht="13.2">
      <c r="A345" s="123"/>
    </row>
    <row r="346" spans="1:1" ht="13.2">
      <c r="A346" s="123"/>
    </row>
    <row r="347" spans="1:1" ht="13.2">
      <c r="A347" s="123"/>
    </row>
    <row r="348" spans="1:1" ht="13.2">
      <c r="A348" s="123"/>
    </row>
    <row r="349" spans="1:1" ht="13.2">
      <c r="A349" s="123"/>
    </row>
    <row r="350" spans="1:1" ht="13.2">
      <c r="A350" s="123"/>
    </row>
    <row r="351" spans="1:1" ht="13.2">
      <c r="A351" s="123"/>
    </row>
    <row r="352" spans="1:1" ht="13.2">
      <c r="A352" s="123"/>
    </row>
    <row r="353" spans="1:1" ht="13.2">
      <c r="A353" s="123"/>
    </row>
    <row r="354" spans="1:1" ht="13.2">
      <c r="A354" s="123"/>
    </row>
    <row r="355" spans="1:1" ht="13.2">
      <c r="A355" s="123"/>
    </row>
    <row r="356" spans="1:1" ht="13.2">
      <c r="A356" s="123"/>
    </row>
    <row r="357" spans="1:1" ht="13.2">
      <c r="A357" s="123"/>
    </row>
    <row r="358" spans="1:1" ht="13.2">
      <c r="A358" s="123"/>
    </row>
    <row r="359" spans="1:1" ht="13.2">
      <c r="A359" s="123"/>
    </row>
    <row r="360" spans="1:1" ht="13.2">
      <c r="A360" s="123"/>
    </row>
    <row r="361" spans="1:1" ht="13.2">
      <c r="A361" s="123"/>
    </row>
    <row r="362" spans="1:1" ht="13.2">
      <c r="A362" s="123"/>
    </row>
    <row r="363" spans="1:1" ht="13.2">
      <c r="A363" s="123"/>
    </row>
    <row r="364" spans="1:1" ht="13.2">
      <c r="A364" s="123"/>
    </row>
    <row r="365" spans="1:1" ht="13.2">
      <c r="A365" s="123"/>
    </row>
    <row r="366" spans="1:1" ht="13.2">
      <c r="A366" s="123"/>
    </row>
    <row r="367" spans="1:1" ht="13.2">
      <c r="A367" s="123"/>
    </row>
    <row r="368" spans="1:1" ht="13.2">
      <c r="A368" s="123"/>
    </row>
    <row r="369" spans="1:1" ht="13.2">
      <c r="A369" s="123"/>
    </row>
    <row r="370" spans="1:1" ht="13.2">
      <c r="A370" s="123"/>
    </row>
    <row r="371" spans="1:1" ht="13.2">
      <c r="A371" s="123"/>
    </row>
    <row r="372" spans="1:1" ht="13.2">
      <c r="A372" s="123"/>
    </row>
    <row r="373" spans="1:1" ht="13.2">
      <c r="A373" s="123"/>
    </row>
    <row r="374" spans="1:1" ht="13.2">
      <c r="A374" s="123"/>
    </row>
    <row r="375" spans="1:1" ht="13.2">
      <c r="A375" s="123"/>
    </row>
    <row r="376" spans="1:1" ht="13.2">
      <c r="A376" s="123"/>
    </row>
    <row r="377" spans="1:1" ht="13.2">
      <c r="A377" s="123"/>
    </row>
    <row r="378" spans="1:1" ht="13.2">
      <c r="A378" s="123"/>
    </row>
    <row r="379" spans="1:1" ht="13.2">
      <c r="A379" s="123"/>
    </row>
    <row r="380" spans="1:1" ht="13.2">
      <c r="A380" s="123"/>
    </row>
    <row r="381" spans="1:1" ht="13.2">
      <c r="A381" s="123"/>
    </row>
    <row r="382" spans="1:1" ht="13.2">
      <c r="A382" s="123"/>
    </row>
    <row r="383" spans="1:1" ht="13.2">
      <c r="A383" s="123"/>
    </row>
    <row r="384" spans="1:1" ht="13.2">
      <c r="A384" s="123"/>
    </row>
    <row r="385" spans="1:1" ht="13.2">
      <c r="A385" s="123"/>
    </row>
    <row r="386" spans="1:1" ht="13.2">
      <c r="A386" s="123"/>
    </row>
    <row r="387" spans="1:1" ht="13.2">
      <c r="A387" s="123"/>
    </row>
    <row r="388" spans="1:1" ht="13.2">
      <c r="A388" s="123"/>
    </row>
    <row r="389" spans="1:1" ht="13.2">
      <c r="A389" s="123"/>
    </row>
    <row r="390" spans="1:1" ht="13.2">
      <c r="A390" s="123"/>
    </row>
    <row r="391" spans="1:1" ht="13.2">
      <c r="A391" s="123"/>
    </row>
    <row r="392" spans="1:1" ht="13.2">
      <c r="A392" s="123"/>
    </row>
    <row r="393" spans="1:1" ht="13.2">
      <c r="A393" s="123"/>
    </row>
    <row r="394" spans="1:1" ht="13.2">
      <c r="A394" s="123"/>
    </row>
    <row r="395" spans="1:1" ht="13.2">
      <c r="A395" s="123"/>
    </row>
    <row r="396" spans="1:1" ht="13.2">
      <c r="A396" s="123"/>
    </row>
    <row r="397" spans="1:1" ht="13.2">
      <c r="A397" s="123"/>
    </row>
    <row r="398" spans="1:1" ht="13.2">
      <c r="A398" s="123"/>
    </row>
    <row r="399" spans="1:1" ht="13.2">
      <c r="A399" s="123"/>
    </row>
    <row r="400" spans="1:1" ht="13.2">
      <c r="A400" s="123"/>
    </row>
    <row r="401" spans="1:1" ht="13.2">
      <c r="A401" s="123"/>
    </row>
    <row r="402" spans="1:1" ht="13.2">
      <c r="A402" s="123"/>
    </row>
    <row r="403" spans="1:1" ht="13.2">
      <c r="A403" s="123"/>
    </row>
    <row r="404" spans="1:1" ht="13.2">
      <c r="A404" s="123"/>
    </row>
    <row r="405" spans="1:1" ht="13.2">
      <c r="A405" s="123"/>
    </row>
    <row r="406" spans="1:1" ht="13.2">
      <c r="A406" s="123"/>
    </row>
    <row r="407" spans="1:1" ht="13.2">
      <c r="A407" s="123"/>
    </row>
    <row r="408" spans="1:1" ht="13.2">
      <c r="A408" s="123"/>
    </row>
    <row r="409" spans="1:1" ht="13.2">
      <c r="A409" s="123"/>
    </row>
    <row r="410" spans="1:1" ht="13.2">
      <c r="A410" s="123"/>
    </row>
    <row r="411" spans="1:1" ht="13.2">
      <c r="A411" s="123"/>
    </row>
    <row r="412" spans="1:1" ht="13.2">
      <c r="A412" s="123"/>
    </row>
    <row r="413" spans="1:1" ht="13.2">
      <c r="A413" s="123"/>
    </row>
    <row r="414" spans="1:1" ht="13.2">
      <c r="A414" s="123"/>
    </row>
    <row r="415" spans="1:1" ht="13.2">
      <c r="A415" s="123"/>
    </row>
    <row r="416" spans="1:1" ht="13.2">
      <c r="A416" s="123"/>
    </row>
    <row r="417" spans="1:1" ht="13.2">
      <c r="A417" s="123"/>
    </row>
    <row r="418" spans="1:1" ht="13.2">
      <c r="A418" s="123"/>
    </row>
    <row r="419" spans="1:1" ht="13.2">
      <c r="A419" s="123"/>
    </row>
    <row r="420" spans="1:1" ht="13.2">
      <c r="A420" s="123"/>
    </row>
    <row r="421" spans="1:1" ht="13.2">
      <c r="A421" s="123"/>
    </row>
    <row r="422" spans="1:1" ht="13.2">
      <c r="A422" s="123"/>
    </row>
    <row r="423" spans="1:1" ht="13.2">
      <c r="A423" s="123"/>
    </row>
    <row r="424" spans="1:1" ht="13.2">
      <c r="A424" s="123"/>
    </row>
    <row r="425" spans="1:1" ht="13.2">
      <c r="A425" s="123"/>
    </row>
    <row r="426" spans="1:1" ht="13.2">
      <c r="A426" s="123"/>
    </row>
    <row r="427" spans="1:1" ht="13.2">
      <c r="A427" s="123"/>
    </row>
    <row r="428" spans="1:1" ht="13.2">
      <c r="A428" s="123"/>
    </row>
    <row r="429" spans="1:1" ht="13.2">
      <c r="A429" s="123"/>
    </row>
    <row r="430" spans="1:1" ht="13.2">
      <c r="A430" s="123"/>
    </row>
    <row r="431" spans="1:1" ht="13.2">
      <c r="A431" s="123"/>
    </row>
    <row r="432" spans="1:1" ht="13.2">
      <c r="A432" s="123"/>
    </row>
    <row r="433" spans="1:1" ht="13.2">
      <c r="A433" s="123"/>
    </row>
    <row r="434" spans="1:1" ht="13.2">
      <c r="A434" s="123"/>
    </row>
    <row r="435" spans="1:1" ht="13.2">
      <c r="A435" s="123"/>
    </row>
    <row r="436" spans="1:1" ht="13.2">
      <c r="A436" s="123"/>
    </row>
    <row r="437" spans="1:1" ht="13.2">
      <c r="A437" s="123"/>
    </row>
    <row r="438" spans="1:1" ht="13.2">
      <c r="A438" s="123"/>
    </row>
    <row r="439" spans="1:1" ht="13.2">
      <c r="A439" s="123"/>
    </row>
    <row r="440" spans="1:1" ht="13.2">
      <c r="A440" s="123"/>
    </row>
    <row r="441" spans="1:1" ht="13.2">
      <c r="A441" s="123"/>
    </row>
    <row r="442" spans="1:1" ht="13.2">
      <c r="A442" s="123"/>
    </row>
    <row r="443" spans="1:1" ht="13.2">
      <c r="A443" s="123"/>
    </row>
    <row r="444" spans="1:1" ht="13.2">
      <c r="A444" s="123"/>
    </row>
    <row r="445" spans="1:1" ht="13.2">
      <c r="A445" s="123"/>
    </row>
    <row r="446" spans="1:1" ht="13.2">
      <c r="A446" s="123"/>
    </row>
    <row r="447" spans="1:1" ht="13.2">
      <c r="A447" s="123"/>
    </row>
    <row r="448" spans="1:1" ht="13.2">
      <c r="A448" s="123"/>
    </row>
    <row r="449" spans="1:1" ht="13.2">
      <c r="A449" s="123"/>
    </row>
    <row r="450" spans="1:1" ht="13.2">
      <c r="A450" s="123"/>
    </row>
    <row r="451" spans="1:1" ht="13.2">
      <c r="A451" s="123"/>
    </row>
    <row r="452" spans="1:1" ht="13.2">
      <c r="A452" s="123"/>
    </row>
    <row r="453" spans="1:1" ht="13.2">
      <c r="A453" s="123"/>
    </row>
    <row r="454" spans="1:1" ht="13.2">
      <c r="A454" s="123"/>
    </row>
    <row r="455" spans="1:1" ht="13.2">
      <c r="A455" s="123"/>
    </row>
    <row r="456" spans="1:1" ht="13.2">
      <c r="A456" s="123"/>
    </row>
    <row r="457" spans="1:1" ht="13.2">
      <c r="A457" s="123"/>
    </row>
    <row r="458" spans="1:1" ht="13.2">
      <c r="A458" s="123"/>
    </row>
    <row r="459" spans="1:1" ht="13.2">
      <c r="A459" s="123"/>
    </row>
    <row r="460" spans="1:1" ht="13.2">
      <c r="A460" s="123"/>
    </row>
    <row r="461" spans="1:1" ht="13.2">
      <c r="A461" s="123"/>
    </row>
    <row r="462" spans="1:1" ht="13.2">
      <c r="A462" s="123"/>
    </row>
    <row r="463" spans="1:1" ht="13.2">
      <c r="A463" s="123"/>
    </row>
    <row r="464" spans="1:1" ht="13.2">
      <c r="A464" s="123"/>
    </row>
    <row r="465" spans="1:1" ht="13.2">
      <c r="A465" s="123"/>
    </row>
    <row r="466" spans="1:1" ht="13.2">
      <c r="A466" s="123"/>
    </row>
    <row r="467" spans="1:1" ht="13.2">
      <c r="A467" s="123"/>
    </row>
    <row r="468" spans="1:1" ht="13.2">
      <c r="A468" s="123"/>
    </row>
    <row r="469" spans="1:1" ht="13.2">
      <c r="A469" s="123"/>
    </row>
    <row r="470" spans="1:1" ht="13.2">
      <c r="A470" s="123"/>
    </row>
    <row r="471" spans="1:1" ht="13.2">
      <c r="A471" s="123"/>
    </row>
    <row r="472" spans="1:1" ht="13.2">
      <c r="A472" s="123"/>
    </row>
    <row r="473" spans="1:1" ht="13.2">
      <c r="A473" s="123"/>
    </row>
    <row r="474" spans="1:1" ht="13.2">
      <c r="A474" s="123"/>
    </row>
    <row r="475" spans="1:1" ht="13.2">
      <c r="A475" s="123"/>
    </row>
    <row r="476" spans="1:1" ht="13.2">
      <c r="A476" s="123"/>
    </row>
    <row r="477" spans="1:1" ht="13.2">
      <c r="A477" s="123"/>
    </row>
    <row r="478" spans="1:1" ht="13.2">
      <c r="A478" s="123"/>
    </row>
    <row r="479" spans="1:1" ht="13.2">
      <c r="A479" s="123"/>
    </row>
    <row r="480" spans="1:1" ht="13.2">
      <c r="A480" s="123"/>
    </row>
    <row r="481" spans="1:1" ht="13.2">
      <c r="A481" s="123"/>
    </row>
    <row r="482" spans="1:1" ht="13.2">
      <c r="A482" s="123"/>
    </row>
    <row r="483" spans="1:1" ht="13.2">
      <c r="A483" s="123"/>
    </row>
    <row r="484" spans="1:1" ht="13.2">
      <c r="A484" s="123"/>
    </row>
    <row r="485" spans="1:1" ht="13.2">
      <c r="A485" s="123"/>
    </row>
    <row r="486" spans="1:1" ht="13.2">
      <c r="A486" s="123"/>
    </row>
    <row r="487" spans="1:1" ht="13.2">
      <c r="A487" s="123"/>
    </row>
    <row r="488" spans="1:1" ht="13.2">
      <c r="A488" s="123"/>
    </row>
    <row r="489" spans="1:1" ht="13.2">
      <c r="A489" s="123"/>
    </row>
    <row r="490" spans="1:1" ht="13.2">
      <c r="A490" s="123"/>
    </row>
    <row r="491" spans="1:1" ht="13.2">
      <c r="A491" s="123"/>
    </row>
    <row r="492" spans="1:1" ht="13.2">
      <c r="A492" s="123"/>
    </row>
    <row r="493" spans="1:1" ht="13.2">
      <c r="A493" s="123"/>
    </row>
    <row r="494" spans="1:1" ht="13.2">
      <c r="A494" s="123"/>
    </row>
    <row r="495" spans="1:1" ht="13.2">
      <c r="A495" s="123"/>
    </row>
    <row r="496" spans="1:1" ht="13.2">
      <c r="A496" s="123"/>
    </row>
    <row r="497" spans="1:1" ht="13.2">
      <c r="A497" s="123"/>
    </row>
    <row r="498" spans="1:1" ht="13.2">
      <c r="A498" s="123"/>
    </row>
    <row r="499" spans="1:1" ht="13.2">
      <c r="A499" s="123"/>
    </row>
    <row r="500" spans="1:1" ht="13.2">
      <c r="A500" s="123"/>
    </row>
    <row r="501" spans="1:1" ht="13.2">
      <c r="A501" s="123"/>
    </row>
    <row r="502" spans="1:1" ht="13.2">
      <c r="A502" s="123"/>
    </row>
    <row r="503" spans="1:1" ht="13.2">
      <c r="A503" s="123"/>
    </row>
    <row r="504" spans="1:1" ht="13.2">
      <c r="A504" s="123"/>
    </row>
    <row r="505" spans="1:1" ht="13.2">
      <c r="A505" s="123"/>
    </row>
    <row r="506" spans="1:1" ht="13.2">
      <c r="A506" s="123"/>
    </row>
    <row r="507" spans="1:1" ht="13.2">
      <c r="A507" s="123"/>
    </row>
    <row r="508" spans="1:1" ht="13.2">
      <c r="A508" s="123"/>
    </row>
    <row r="509" spans="1:1" ht="13.2">
      <c r="A509" s="123"/>
    </row>
    <row r="510" spans="1:1" ht="13.2">
      <c r="A510" s="123"/>
    </row>
    <row r="511" spans="1:1" ht="13.2">
      <c r="A511" s="123"/>
    </row>
    <row r="512" spans="1:1" ht="13.2">
      <c r="A512" s="123"/>
    </row>
    <row r="513" spans="1:1" ht="13.2">
      <c r="A513" s="123"/>
    </row>
    <row r="514" spans="1:1" ht="13.2">
      <c r="A514" s="123"/>
    </row>
    <row r="515" spans="1:1" ht="13.2">
      <c r="A515" s="123"/>
    </row>
    <row r="516" spans="1:1" ht="13.2">
      <c r="A516" s="123"/>
    </row>
    <row r="517" spans="1:1" ht="13.2">
      <c r="A517" s="123"/>
    </row>
    <row r="518" spans="1:1" ht="13.2">
      <c r="A518" s="123"/>
    </row>
    <row r="519" spans="1:1" ht="13.2">
      <c r="A519" s="123"/>
    </row>
    <row r="520" spans="1:1" ht="13.2">
      <c r="A520" s="123"/>
    </row>
    <row r="521" spans="1:1" ht="13.2">
      <c r="A521" s="123"/>
    </row>
    <row r="522" spans="1:1" ht="13.2">
      <c r="A522" s="123"/>
    </row>
    <row r="523" spans="1:1" ht="13.2">
      <c r="A523" s="123"/>
    </row>
    <row r="524" spans="1:1" ht="13.2">
      <c r="A524" s="123"/>
    </row>
    <row r="525" spans="1:1" ht="13.2">
      <c r="A525" s="123"/>
    </row>
    <row r="526" spans="1:1" ht="13.2">
      <c r="A526" s="123"/>
    </row>
    <row r="527" spans="1:1" ht="13.2">
      <c r="A527" s="123"/>
    </row>
    <row r="528" spans="1:1" ht="13.2">
      <c r="A528" s="123"/>
    </row>
    <row r="529" spans="1:1" ht="13.2">
      <c r="A529" s="123"/>
    </row>
    <row r="530" spans="1:1" ht="13.2">
      <c r="A530" s="123"/>
    </row>
    <row r="531" spans="1:1" ht="13.2">
      <c r="A531" s="123"/>
    </row>
    <row r="532" spans="1:1" ht="13.2">
      <c r="A532" s="123"/>
    </row>
    <row r="533" spans="1:1" ht="13.2">
      <c r="A533" s="123"/>
    </row>
    <row r="534" spans="1:1" ht="13.2">
      <c r="A534" s="123"/>
    </row>
    <row r="535" spans="1:1" ht="13.2">
      <c r="A535" s="123"/>
    </row>
    <row r="536" spans="1:1" ht="13.2">
      <c r="A536" s="123"/>
    </row>
    <row r="537" spans="1:1" ht="13.2">
      <c r="A537" s="123"/>
    </row>
    <row r="538" spans="1:1" ht="13.2">
      <c r="A538" s="123"/>
    </row>
    <row r="539" spans="1:1" ht="13.2">
      <c r="A539" s="123"/>
    </row>
    <row r="540" spans="1:1" ht="13.2">
      <c r="A540" s="123"/>
    </row>
    <row r="541" spans="1:1" ht="13.2">
      <c r="A541" s="123"/>
    </row>
    <row r="542" spans="1:1" ht="13.2">
      <c r="A542" s="123"/>
    </row>
    <row r="543" spans="1:1" ht="13.2">
      <c r="A543" s="123"/>
    </row>
    <row r="544" spans="1:1" ht="13.2">
      <c r="A544" s="123"/>
    </row>
    <row r="545" spans="1:1" ht="13.2">
      <c r="A545" s="123"/>
    </row>
    <row r="546" spans="1:1" ht="13.2">
      <c r="A546" s="123"/>
    </row>
    <row r="547" spans="1:1" ht="13.2">
      <c r="A547" s="123"/>
    </row>
    <row r="548" spans="1:1" ht="13.2">
      <c r="A548" s="123"/>
    </row>
    <row r="549" spans="1:1" ht="13.2">
      <c r="A549" s="123"/>
    </row>
    <row r="550" spans="1:1" ht="13.2">
      <c r="A550" s="123"/>
    </row>
    <row r="551" spans="1:1" ht="13.2">
      <c r="A551" s="123"/>
    </row>
    <row r="552" spans="1:1" ht="13.2">
      <c r="A552" s="123"/>
    </row>
    <row r="553" spans="1:1" ht="13.2">
      <c r="A553" s="123"/>
    </row>
    <row r="554" spans="1:1" ht="13.2">
      <c r="A554" s="123"/>
    </row>
    <row r="555" spans="1:1" ht="13.2">
      <c r="A555" s="123"/>
    </row>
    <row r="556" spans="1:1" ht="13.2">
      <c r="A556" s="123"/>
    </row>
    <row r="557" spans="1:1" ht="13.2">
      <c r="A557" s="123"/>
    </row>
    <row r="558" spans="1:1" ht="13.2">
      <c r="A558" s="123"/>
    </row>
    <row r="559" spans="1:1" ht="13.2">
      <c r="A559" s="123"/>
    </row>
    <row r="560" spans="1:1" ht="13.2">
      <c r="A560" s="123"/>
    </row>
    <row r="561" spans="1:1" ht="13.2">
      <c r="A561" s="123"/>
    </row>
    <row r="562" spans="1:1" ht="13.2">
      <c r="A562" s="123"/>
    </row>
    <row r="563" spans="1:1" ht="13.2">
      <c r="A563" s="123"/>
    </row>
    <row r="564" spans="1:1" ht="13.2">
      <c r="A564" s="123"/>
    </row>
    <row r="565" spans="1:1" ht="13.2">
      <c r="A565" s="123"/>
    </row>
    <row r="566" spans="1:1" ht="13.2">
      <c r="A566" s="123"/>
    </row>
    <row r="567" spans="1:1" ht="13.2">
      <c r="A567" s="123"/>
    </row>
    <row r="568" spans="1:1" ht="13.2">
      <c r="A568" s="123"/>
    </row>
    <row r="569" spans="1:1" ht="13.2">
      <c r="A569" s="123"/>
    </row>
    <row r="570" spans="1:1" ht="13.2">
      <c r="A570" s="123"/>
    </row>
    <row r="571" spans="1:1" ht="13.2">
      <c r="A571" s="123"/>
    </row>
    <row r="572" spans="1:1" ht="13.2">
      <c r="A572" s="123"/>
    </row>
    <row r="573" spans="1:1" ht="13.2">
      <c r="A573" s="123"/>
    </row>
    <row r="574" spans="1:1" ht="13.2">
      <c r="A574" s="123"/>
    </row>
    <row r="575" spans="1:1" ht="13.2">
      <c r="A575" s="123"/>
    </row>
    <row r="576" spans="1:1" ht="13.2">
      <c r="A576" s="123"/>
    </row>
    <row r="577" spans="1:1" ht="13.2">
      <c r="A577" s="123"/>
    </row>
    <row r="578" spans="1:1" ht="13.2">
      <c r="A578" s="123"/>
    </row>
    <row r="579" spans="1:1" ht="13.2">
      <c r="A579" s="123"/>
    </row>
    <row r="580" spans="1:1" ht="13.2">
      <c r="A580" s="123"/>
    </row>
    <row r="581" spans="1:1" ht="13.2">
      <c r="A581" s="123"/>
    </row>
    <row r="582" spans="1:1" ht="13.2">
      <c r="A582" s="123"/>
    </row>
    <row r="583" spans="1:1" ht="13.2">
      <c r="A583" s="123"/>
    </row>
    <row r="584" spans="1:1" ht="13.2">
      <c r="A584" s="123"/>
    </row>
    <row r="585" spans="1:1" ht="13.2">
      <c r="A585" s="123"/>
    </row>
    <row r="586" spans="1:1" ht="13.2">
      <c r="A586" s="123"/>
    </row>
    <row r="587" spans="1:1" ht="13.2">
      <c r="A587" s="123"/>
    </row>
    <row r="588" spans="1:1" ht="13.2">
      <c r="A588" s="123"/>
    </row>
    <row r="589" spans="1:1" ht="13.2">
      <c r="A589" s="123"/>
    </row>
    <row r="590" spans="1:1" ht="13.2">
      <c r="A590" s="123"/>
    </row>
    <row r="591" spans="1:1" ht="13.2">
      <c r="A591" s="123"/>
    </row>
    <row r="592" spans="1:1" ht="13.2">
      <c r="A592" s="123"/>
    </row>
    <row r="593" spans="1:1" ht="13.2">
      <c r="A593" s="123"/>
    </row>
    <row r="594" spans="1:1" ht="13.2">
      <c r="A594" s="123"/>
    </row>
    <row r="595" spans="1:1" ht="13.2">
      <c r="A595" s="123"/>
    </row>
    <row r="596" spans="1:1" ht="13.2">
      <c r="A596" s="123"/>
    </row>
    <row r="597" spans="1:1" ht="13.2">
      <c r="A597" s="123"/>
    </row>
    <row r="598" spans="1:1" ht="13.2">
      <c r="A598" s="123"/>
    </row>
    <row r="599" spans="1:1" ht="13.2">
      <c r="A599" s="123"/>
    </row>
    <row r="600" spans="1:1" ht="13.2">
      <c r="A600" s="123"/>
    </row>
    <row r="601" spans="1:1" ht="13.2">
      <c r="A601" s="123"/>
    </row>
    <row r="602" spans="1:1" ht="13.2">
      <c r="A602" s="123"/>
    </row>
    <row r="603" spans="1:1" ht="13.2">
      <c r="A603" s="123"/>
    </row>
    <row r="604" spans="1:1" ht="13.2">
      <c r="A604" s="123"/>
    </row>
    <row r="605" spans="1:1" ht="13.2">
      <c r="A605" s="123"/>
    </row>
    <row r="606" spans="1:1" ht="13.2">
      <c r="A606" s="123"/>
    </row>
    <row r="607" spans="1:1" ht="13.2">
      <c r="A607" s="123"/>
    </row>
    <row r="608" spans="1:1" ht="13.2">
      <c r="A608" s="123"/>
    </row>
    <row r="609" spans="1:1" ht="13.2">
      <c r="A609" s="123"/>
    </row>
    <row r="610" spans="1:1" ht="13.2">
      <c r="A610" s="123"/>
    </row>
    <row r="611" spans="1:1" ht="13.2">
      <c r="A611" s="123"/>
    </row>
    <row r="612" spans="1:1" ht="13.2">
      <c r="A612" s="123"/>
    </row>
    <row r="613" spans="1:1" ht="13.2">
      <c r="A613" s="123"/>
    </row>
    <row r="614" spans="1:1" ht="13.2">
      <c r="A614" s="123"/>
    </row>
    <row r="615" spans="1:1" ht="13.2">
      <c r="A615" s="123"/>
    </row>
    <row r="616" spans="1:1" ht="13.2">
      <c r="A616" s="123"/>
    </row>
    <row r="617" spans="1:1" ht="13.2">
      <c r="A617" s="123"/>
    </row>
    <row r="618" spans="1:1" ht="13.2">
      <c r="A618" s="123"/>
    </row>
    <row r="619" spans="1:1" ht="13.2">
      <c r="A619" s="123"/>
    </row>
    <row r="620" spans="1:1" ht="13.2">
      <c r="A620" s="123"/>
    </row>
    <row r="621" spans="1:1" ht="13.2">
      <c r="A621" s="123"/>
    </row>
    <row r="622" spans="1:1" ht="13.2">
      <c r="A622" s="123"/>
    </row>
    <row r="623" spans="1:1" ht="13.2">
      <c r="A623" s="123"/>
    </row>
    <row r="624" spans="1:1" ht="13.2">
      <c r="A624" s="123"/>
    </row>
    <row r="625" spans="1:1" ht="13.2">
      <c r="A625" s="123"/>
    </row>
    <row r="626" spans="1:1" ht="13.2">
      <c r="A626" s="123"/>
    </row>
    <row r="627" spans="1:1" ht="13.2">
      <c r="A627" s="123"/>
    </row>
    <row r="628" spans="1:1" ht="13.2">
      <c r="A628" s="123"/>
    </row>
    <row r="629" spans="1:1" ht="13.2">
      <c r="A629" s="123"/>
    </row>
    <row r="630" spans="1:1" ht="13.2">
      <c r="A630" s="123"/>
    </row>
    <row r="631" spans="1:1" ht="13.2">
      <c r="A631" s="123"/>
    </row>
    <row r="632" spans="1:1" ht="13.2">
      <c r="A632" s="123"/>
    </row>
    <row r="633" spans="1:1" ht="13.2">
      <c r="A633" s="123"/>
    </row>
    <row r="634" spans="1:1" ht="13.2">
      <c r="A634" s="123"/>
    </row>
    <row r="635" spans="1:1" ht="13.2">
      <c r="A635" s="123"/>
    </row>
    <row r="636" spans="1:1" ht="13.2">
      <c r="A636" s="123"/>
    </row>
    <row r="637" spans="1:1" ht="13.2">
      <c r="A637" s="123"/>
    </row>
    <row r="638" spans="1:1" ht="13.2">
      <c r="A638" s="123"/>
    </row>
    <row r="639" spans="1:1" ht="13.2">
      <c r="A639" s="123"/>
    </row>
    <row r="640" spans="1:1" ht="13.2">
      <c r="A640" s="123"/>
    </row>
    <row r="641" spans="1:1" ht="13.2">
      <c r="A641" s="123"/>
    </row>
    <row r="642" spans="1:1" ht="13.2">
      <c r="A642" s="123"/>
    </row>
    <row r="643" spans="1:1" ht="13.2">
      <c r="A643" s="123"/>
    </row>
    <row r="644" spans="1:1" ht="13.2">
      <c r="A644" s="123"/>
    </row>
    <row r="645" spans="1:1" ht="13.2">
      <c r="A645" s="123"/>
    </row>
    <row r="646" spans="1:1" ht="13.2">
      <c r="A646" s="123"/>
    </row>
    <row r="647" spans="1:1" ht="13.2">
      <c r="A647" s="123"/>
    </row>
    <row r="648" spans="1:1" ht="13.2">
      <c r="A648" s="123"/>
    </row>
    <row r="649" spans="1:1" ht="13.2">
      <c r="A649" s="123"/>
    </row>
    <row r="650" spans="1:1" ht="13.2">
      <c r="A650" s="123"/>
    </row>
    <row r="651" spans="1:1" ht="13.2">
      <c r="A651" s="123"/>
    </row>
    <row r="652" spans="1:1" ht="13.2">
      <c r="A652" s="123"/>
    </row>
    <row r="653" spans="1:1" ht="13.2">
      <c r="A653" s="123"/>
    </row>
    <row r="654" spans="1:1" ht="13.2">
      <c r="A654" s="123"/>
    </row>
    <row r="655" spans="1:1" ht="13.2">
      <c r="A655" s="123"/>
    </row>
    <row r="656" spans="1:1" ht="13.2">
      <c r="A656" s="123"/>
    </row>
    <row r="657" spans="1:1" ht="13.2">
      <c r="A657" s="123"/>
    </row>
    <row r="658" spans="1:1" ht="13.2">
      <c r="A658" s="123"/>
    </row>
    <row r="659" spans="1:1" ht="13.2">
      <c r="A659" s="123"/>
    </row>
    <row r="660" spans="1:1" ht="13.2">
      <c r="A660" s="123"/>
    </row>
    <row r="661" spans="1:1" ht="13.2">
      <c r="A661" s="123"/>
    </row>
    <row r="662" spans="1:1" ht="13.2">
      <c r="A662" s="123"/>
    </row>
    <row r="663" spans="1:1" ht="13.2">
      <c r="A663" s="123"/>
    </row>
    <row r="664" spans="1:1" ht="13.2">
      <c r="A664" s="123"/>
    </row>
    <row r="665" spans="1:1" ht="13.2">
      <c r="A665" s="123"/>
    </row>
    <row r="666" spans="1:1" ht="13.2">
      <c r="A666" s="123"/>
    </row>
    <row r="667" spans="1:1" ht="13.2">
      <c r="A667" s="123"/>
    </row>
    <row r="668" spans="1:1" ht="13.2">
      <c r="A668" s="123"/>
    </row>
    <row r="669" spans="1:1" ht="13.2">
      <c r="A669" s="123"/>
    </row>
    <row r="670" spans="1:1" ht="13.2">
      <c r="A670" s="123"/>
    </row>
    <row r="671" spans="1:1" ht="13.2">
      <c r="A671" s="123"/>
    </row>
    <row r="672" spans="1:1" ht="13.2">
      <c r="A672" s="123"/>
    </row>
    <row r="673" spans="1:1" ht="13.2">
      <c r="A673" s="123"/>
    </row>
    <row r="674" spans="1:1" ht="13.2">
      <c r="A674" s="123"/>
    </row>
    <row r="675" spans="1:1" ht="13.2">
      <c r="A675" s="123"/>
    </row>
    <row r="676" spans="1:1" ht="13.2">
      <c r="A676" s="123"/>
    </row>
    <row r="677" spans="1:1" ht="13.2">
      <c r="A677" s="123"/>
    </row>
    <row r="678" spans="1:1" ht="13.2">
      <c r="A678" s="123"/>
    </row>
    <row r="679" spans="1:1" ht="13.2">
      <c r="A679" s="123"/>
    </row>
    <row r="680" spans="1:1" ht="13.2">
      <c r="A680" s="123"/>
    </row>
    <row r="681" spans="1:1" ht="13.2">
      <c r="A681" s="123"/>
    </row>
    <row r="682" spans="1:1" ht="13.2">
      <c r="A682" s="123"/>
    </row>
    <row r="683" spans="1:1" ht="13.2">
      <c r="A683" s="123"/>
    </row>
    <row r="684" spans="1:1" ht="13.2">
      <c r="A684" s="123"/>
    </row>
    <row r="685" spans="1:1" ht="13.2">
      <c r="A685" s="123"/>
    </row>
    <row r="686" spans="1:1" ht="13.2">
      <c r="A686" s="123"/>
    </row>
    <row r="687" spans="1:1" ht="13.2">
      <c r="A687" s="123"/>
    </row>
    <row r="688" spans="1:1" ht="13.2">
      <c r="A688" s="123"/>
    </row>
    <row r="689" spans="1:1" ht="13.2">
      <c r="A689" s="123"/>
    </row>
    <row r="690" spans="1:1" ht="13.2">
      <c r="A690" s="123"/>
    </row>
    <row r="691" spans="1:1" ht="13.2">
      <c r="A691" s="123"/>
    </row>
    <row r="692" spans="1:1" ht="13.2">
      <c r="A692" s="123"/>
    </row>
    <row r="693" spans="1:1" ht="13.2">
      <c r="A693" s="123"/>
    </row>
    <row r="694" spans="1:1" ht="13.2">
      <c r="A694" s="123"/>
    </row>
    <row r="695" spans="1:1" ht="13.2">
      <c r="A695" s="123"/>
    </row>
    <row r="696" spans="1:1" ht="13.2">
      <c r="A696" s="123"/>
    </row>
    <row r="697" spans="1:1" ht="13.2">
      <c r="A697" s="123"/>
    </row>
    <row r="698" spans="1:1" ht="13.2">
      <c r="A698" s="123"/>
    </row>
    <row r="699" spans="1:1" ht="13.2">
      <c r="A699" s="123"/>
    </row>
    <row r="700" spans="1:1" ht="13.2">
      <c r="A700" s="123"/>
    </row>
    <row r="701" spans="1:1" ht="13.2">
      <c r="A701" s="123"/>
    </row>
    <row r="702" spans="1:1" ht="13.2">
      <c r="A702" s="123"/>
    </row>
    <row r="703" spans="1:1" ht="13.2">
      <c r="A703" s="123"/>
    </row>
    <row r="704" spans="1:1" ht="13.2">
      <c r="A704" s="123"/>
    </row>
    <row r="705" spans="1:1" ht="13.2">
      <c r="A705" s="123"/>
    </row>
    <row r="706" spans="1:1" ht="13.2">
      <c r="A706" s="123"/>
    </row>
    <row r="707" spans="1:1" ht="13.2">
      <c r="A707" s="123"/>
    </row>
    <row r="708" spans="1:1" ht="13.2">
      <c r="A708" s="123"/>
    </row>
    <row r="709" spans="1:1" ht="13.2">
      <c r="A709" s="123"/>
    </row>
    <row r="710" spans="1:1" ht="13.2">
      <c r="A710" s="123"/>
    </row>
    <row r="711" spans="1:1" ht="13.2">
      <c r="A711" s="123"/>
    </row>
    <row r="712" spans="1:1" ht="13.2">
      <c r="A712" s="123"/>
    </row>
    <row r="713" spans="1:1" ht="13.2">
      <c r="A713" s="123"/>
    </row>
    <row r="714" spans="1:1" ht="13.2">
      <c r="A714" s="123"/>
    </row>
    <row r="715" spans="1:1" ht="13.2">
      <c r="A715" s="123"/>
    </row>
    <row r="716" spans="1:1" ht="13.2">
      <c r="A716" s="123"/>
    </row>
    <row r="717" spans="1:1" ht="13.2">
      <c r="A717" s="123"/>
    </row>
    <row r="718" spans="1:1" ht="13.2">
      <c r="A718" s="123"/>
    </row>
    <row r="719" spans="1:1" ht="13.2">
      <c r="A719" s="123"/>
    </row>
    <row r="720" spans="1:1" ht="13.2">
      <c r="A720" s="123"/>
    </row>
    <row r="721" spans="1:1" ht="13.2">
      <c r="A721" s="123"/>
    </row>
    <row r="722" spans="1:1" ht="13.2">
      <c r="A722" s="123"/>
    </row>
    <row r="723" spans="1:1" ht="13.2">
      <c r="A723" s="123"/>
    </row>
    <row r="724" spans="1:1" ht="13.2">
      <c r="A724" s="123"/>
    </row>
    <row r="725" spans="1:1" ht="13.2">
      <c r="A725" s="123"/>
    </row>
    <row r="726" spans="1:1" ht="13.2">
      <c r="A726" s="123"/>
    </row>
    <row r="727" spans="1:1" ht="13.2">
      <c r="A727" s="123"/>
    </row>
    <row r="728" spans="1:1" ht="13.2">
      <c r="A728" s="123"/>
    </row>
    <row r="729" spans="1:1" ht="13.2">
      <c r="A729" s="123"/>
    </row>
    <row r="730" spans="1:1" ht="13.2">
      <c r="A730" s="123"/>
    </row>
    <row r="731" spans="1:1" ht="13.2">
      <c r="A731" s="123"/>
    </row>
    <row r="732" spans="1:1" ht="13.2">
      <c r="A732" s="123"/>
    </row>
    <row r="733" spans="1:1" ht="13.2">
      <c r="A733" s="123"/>
    </row>
    <row r="734" spans="1:1" ht="13.2">
      <c r="A734" s="123"/>
    </row>
    <row r="735" spans="1:1" ht="13.2">
      <c r="A735" s="123"/>
    </row>
    <row r="736" spans="1:1" ht="13.2">
      <c r="A736" s="123"/>
    </row>
    <row r="737" spans="1:1" ht="13.2">
      <c r="A737" s="123"/>
    </row>
    <row r="738" spans="1:1" ht="13.2">
      <c r="A738" s="123"/>
    </row>
    <row r="739" spans="1:1" ht="13.2">
      <c r="A739" s="123"/>
    </row>
    <row r="740" spans="1:1" ht="13.2">
      <c r="A740" s="123"/>
    </row>
    <row r="741" spans="1:1" ht="13.2">
      <c r="A741" s="123"/>
    </row>
    <row r="742" spans="1:1" ht="13.2">
      <c r="A742" s="123"/>
    </row>
    <row r="743" spans="1:1" ht="13.2">
      <c r="A743" s="123"/>
    </row>
    <row r="744" spans="1:1" ht="13.2">
      <c r="A744" s="123"/>
    </row>
    <row r="745" spans="1:1" ht="13.2">
      <c r="A745" s="123"/>
    </row>
    <row r="746" spans="1:1" ht="13.2">
      <c r="A746" s="123"/>
    </row>
    <row r="747" spans="1:1" ht="13.2">
      <c r="A747" s="123"/>
    </row>
    <row r="748" spans="1:1" ht="13.2">
      <c r="A748" s="123"/>
    </row>
    <row r="749" spans="1:1" ht="13.2">
      <c r="A749" s="123"/>
    </row>
    <row r="750" spans="1:1" ht="13.2">
      <c r="A750" s="123"/>
    </row>
    <row r="751" spans="1:1" ht="13.2">
      <c r="A751" s="123"/>
    </row>
    <row r="752" spans="1:1" ht="13.2">
      <c r="A752" s="123"/>
    </row>
    <row r="753" spans="1:1" ht="13.2">
      <c r="A753" s="123"/>
    </row>
    <row r="754" spans="1:1" ht="13.2">
      <c r="A754" s="123"/>
    </row>
    <row r="755" spans="1:1" ht="13.2">
      <c r="A755" s="123"/>
    </row>
    <row r="756" spans="1:1" ht="13.2">
      <c r="A756" s="123"/>
    </row>
    <row r="757" spans="1:1" ht="13.2">
      <c r="A757" s="123"/>
    </row>
    <row r="758" spans="1:1" ht="13.2">
      <c r="A758" s="123"/>
    </row>
    <row r="759" spans="1:1" ht="13.2">
      <c r="A759" s="123"/>
    </row>
    <row r="760" spans="1:1" ht="13.2">
      <c r="A760" s="123"/>
    </row>
    <row r="761" spans="1:1" ht="13.2">
      <c r="A761" s="123"/>
    </row>
    <row r="762" spans="1:1" ht="13.2">
      <c r="A762" s="123"/>
    </row>
    <row r="763" spans="1:1" ht="13.2">
      <c r="A763" s="123"/>
    </row>
    <row r="764" spans="1:1" ht="13.2">
      <c r="A764" s="123"/>
    </row>
    <row r="765" spans="1:1" ht="13.2">
      <c r="A765" s="123"/>
    </row>
    <row r="766" spans="1:1" ht="13.2">
      <c r="A766" s="123"/>
    </row>
    <row r="767" spans="1:1" ht="13.2">
      <c r="A767" s="123"/>
    </row>
    <row r="768" spans="1:1" ht="13.2">
      <c r="A768" s="123"/>
    </row>
    <row r="769" spans="1:1" ht="13.2">
      <c r="A769" s="123"/>
    </row>
    <row r="770" spans="1:1" ht="13.2">
      <c r="A770" s="123"/>
    </row>
    <row r="771" spans="1:1" ht="13.2">
      <c r="A771" s="123"/>
    </row>
    <row r="772" spans="1:1" ht="13.2">
      <c r="A772" s="123"/>
    </row>
    <row r="773" spans="1:1" ht="13.2">
      <c r="A773" s="123"/>
    </row>
    <row r="774" spans="1:1" ht="13.2">
      <c r="A774" s="123"/>
    </row>
    <row r="775" spans="1:1" ht="13.2">
      <c r="A775" s="123"/>
    </row>
    <row r="776" spans="1:1" ht="13.2">
      <c r="A776" s="123"/>
    </row>
    <row r="777" spans="1:1" ht="13.2">
      <c r="A777" s="123"/>
    </row>
    <row r="778" spans="1:1" ht="13.2">
      <c r="A778" s="123"/>
    </row>
    <row r="779" spans="1:1" ht="13.2">
      <c r="A779" s="123"/>
    </row>
    <row r="780" spans="1:1" ht="13.2">
      <c r="A780" s="123"/>
    </row>
    <row r="781" spans="1:1" ht="13.2">
      <c r="A781" s="123"/>
    </row>
    <row r="782" spans="1:1" ht="13.2">
      <c r="A782" s="123"/>
    </row>
    <row r="783" spans="1:1" ht="13.2">
      <c r="A783" s="123"/>
    </row>
    <row r="784" spans="1:1" ht="13.2">
      <c r="A784" s="123"/>
    </row>
    <row r="785" spans="1:1" ht="13.2">
      <c r="A785" s="123"/>
    </row>
    <row r="786" spans="1:1" ht="13.2">
      <c r="A786" s="123"/>
    </row>
    <row r="787" spans="1:1" ht="13.2">
      <c r="A787" s="123"/>
    </row>
    <row r="788" spans="1:1" ht="13.2">
      <c r="A788" s="123"/>
    </row>
    <row r="789" spans="1:1" ht="13.2">
      <c r="A789" s="123"/>
    </row>
    <row r="790" spans="1:1" ht="13.2">
      <c r="A790" s="123"/>
    </row>
    <row r="791" spans="1:1" ht="13.2">
      <c r="A791" s="123"/>
    </row>
    <row r="792" spans="1:1" ht="13.2">
      <c r="A792" s="123"/>
    </row>
    <row r="793" spans="1:1" ht="13.2">
      <c r="A793" s="123"/>
    </row>
    <row r="794" spans="1:1" ht="13.2">
      <c r="A794" s="123"/>
    </row>
    <row r="795" spans="1:1" ht="13.2">
      <c r="A795" s="123"/>
    </row>
    <row r="796" spans="1:1" ht="13.2">
      <c r="A796" s="123"/>
    </row>
    <row r="797" spans="1:1" ht="13.2">
      <c r="A797" s="123"/>
    </row>
    <row r="798" spans="1:1" ht="13.2">
      <c r="A798" s="123"/>
    </row>
    <row r="799" spans="1:1" ht="13.2">
      <c r="A799" s="123"/>
    </row>
    <row r="800" spans="1:1" ht="13.2">
      <c r="A800" s="123"/>
    </row>
    <row r="801" spans="1:1" ht="13.2">
      <c r="A801" s="123"/>
    </row>
    <row r="802" spans="1:1" ht="13.2">
      <c r="A802" s="123"/>
    </row>
    <row r="803" spans="1:1" ht="13.2">
      <c r="A803" s="123"/>
    </row>
    <row r="804" spans="1:1" ht="13.2">
      <c r="A804" s="123"/>
    </row>
    <row r="805" spans="1:1" ht="13.2">
      <c r="A805" s="123"/>
    </row>
    <row r="806" spans="1:1" ht="13.2">
      <c r="A806" s="123"/>
    </row>
    <row r="807" spans="1:1" ht="13.2">
      <c r="A807" s="123"/>
    </row>
    <row r="808" spans="1:1" ht="13.2">
      <c r="A808" s="123"/>
    </row>
    <row r="809" spans="1:1" ht="13.2">
      <c r="A809" s="123"/>
    </row>
    <row r="810" spans="1:1" ht="13.2">
      <c r="A810" s="123"/>
    </row>
    <row r="811" spans="1:1" ht="13.2">
      <c r="A811" s="123"/>
    </row>
    <row r="812" spans="1:1" ht="13.2">
      <c r="A812" s="123"/>
    </row>
    <row r="813" spans="1:1" ht="13.2">
      <c r="A813" s="123"/>
    </row>
    <row r="814" spans="1:1" ht="13.2">
      <c r="A814" s="123"/>
    </row>
    <row r="815" spans="1:1" ht="13.2">
      <c r="A815" s="123"/>
    </row>
    <row r="816" spans="1:1" ht="13.2">
      <c r="A816" s="123"/>
    </row>
    <row r="817" spans="1:1" ht="13.2">
      <c r="A817" s="123"/>
    </row>
    <row r="818" spans="1:1" ht="13.2">
      <c r="A818" s="123"/>
    </row>
    <row r="819" spans="1:1" ht="13.2">
      <c r="A819" s="123"/>
    </row>
    <row r="820" spans="1:1" ht="13.2">
      <c r="A820" s="123"/>
    </row>
    <row r="821" spans="1:1" ht="13.2">
      <c r="A821" s="123"/>
    </row>
    <row r="822" spans="1:1" ht="13.2">
      <c r="A822" s="123"/>
    </row>
    <row r="823" spans="1:1" ht="13.2">
      <c r="A823" s="123"/>
    </row>
    <row r="824" spans="1:1" ht="13.2">
      <c r="A824" s="123"/>
    </row>
    <row r="825" spans="1:1" ht="13.2">
      <c r="A825" s="123"/>
    </row>
    <row r="826" spans="1:1" ht="13.2">
      <c r="A826" s="123"/>
    </row>
    <row r="827" spans="1:1" ht="13.2">
      <c r="A827" s="123"/>
    </row>
    <row r="828" spans="1:1" ht="13.2">
      <c r="A828" s="123"/>
    </row>
    <row r="829" spans="1:1" ht="13.2">
      <c r="A829" s="123"/>
    </row>
    <row r="830" spans="1:1" ht="13.2">
      <c r="A830" s="123"/>
    </row>
    <row r="831" spans="1:1" ht="13.2">
      <c r="A831" s="123"/>
    </row>
    <row r="832" spans="1:1" ht="13.2">
      <c r="A832" s="123"/>
    </row>
    <row r="833" spans="1:1" ht="13.2">
      <c r="A833" s="123"/>
    </row>
    <row r="834" spans="1:1" ht="13.2">
      <c r="A834" s="123"/>
    </row>
    <row r="835" spans="1:1" ht="13.2">
      <c r="A835" s="123"/>
    </row>
    <row r="836" spans="1:1" ht="13.2">
      <c r="A836" s="123"/>
    </row>
    <row r="837" spans="1:1" ht="13.2">
      <c r="A837" s="123"/>
    </row>
    <row r="838" spans="1:1" ht="13.2">
      <c r="A838" s="123"/>
    </row>
    <row r="839" spans="1:1" ht="13.2">
      <c r="A839" s="123"/>
    </row>
    <row r="840" spans="1:1" ht="13.2">
      <c r="A840" s="123"/>
    </row>
    <row r="841" spans="1:1" ht="13.2">
      <c r="A841" s="123"/>
    </row>
    <row r="842" spans="1:1" ht="13.2">
      <c r="A842" s="123"/>
    </row>
    <row r="843" spans="1:1" ht="13.2">
      <c r="A843" s="123"/>
    </row>
    <row r="844" spans="1:1" ht="13.2">
      <c r="A844" s="123"/>
    </row>
    <row r="845" spans="1:1" ht="13.2">
      <c r="A845" s="123"/>
    </row>
    <row r="846" spans="1:1" ht="13.2">
      <c r="A846" s="123"/>
    </row>
    <row r="847" spans="1:1" ht="13.2">
      <c r="A847" s="123"/>
    </row>
    <row r="848" spans="1:1" ht="13.2">
      <c r="A848" s="123"/>
    </row>
    <row r="849" spans="1:1" ht="13.2">
      <c r="A849" s="123"/>
    </row>
    <row r="850" spans="1:1" ht="13.2">
      <c r="A850" s="123"/>
    </row>
    <row r="851" spans="1:1" ht="13.2">
      <c r="A851" s="123"/>
    </row>
    <row r="852" spans="1:1" ht="13.2">
      <c r="A852" s="123"/>
    </row>
    <row r="853" spans="1:1" ht="13.2">
      <c r="A853" s="123"/>
    </row>
    <row r="854" spans="1:1" ht="13.2">
      <c r="A854" s="123"/>
    </row>
    <row r="855" spans="1:1" ht="13.2">
      <c r="A855" s="123"/>
    </row>
    <row r="856" spans="1:1" ht="13.2">
      <c r="A856" s="123"/>
    </row>
    <row r="857" spans="1:1" ht="13.2">
      <c r="A857" s="123"/>
    </row>
    <row r="858" spans="1:1" ht="13.2">
      <c r="A858" s="123"/>
    </row>
    <row r="859" spans="1:1" ht="13.2">
      <c r="A859" s="123"/>
    </row>
    <row r="860" spans="1:1" ht="13.2">
      <c r="A860" s="123"/>
    </row>
    <row r="861" spans="1:1" ht="13.2">
      <c r="A861" s="123"/>
    </row>
    <row r="862" spans="1:1" ht="13.2">
      <c r="A862" s="123"/>
    </row>
    <row r="863" spans="1:1" ht="13.2">
      <c r="A863" s="123"/>
    </row>
    <row r="864" spans="1:1" ht="13.2">
      <c r="A864" s="123"/>
    </row>
    <row r="865" spans="1:1" ht="13.2">
      <c r="A865" s="123"/>
    </row>
    <row r="866" spans="1:1" ht="13.2">
      <c r="A866" s="123"/>
    </row>
    <row r="867" spans="1:1" ht="13.2">
      <c r="A867" s="123"/>
    </row>
    <row r="868" spans="1:1" ht="13.2">
      <c r="A868" s="123"/>
    </row>
    <row r="869" spans="1:1" ht="13.2">
      <c r="A869" s="123"/>
    </row>
    <row r="870" spans="1:1" ht="13.2">
      <c r="A870" s="123"/>
    </row>
    <row r="871" spans="1:1" ht="13.2">
      <c r="A871" s="123"/>
    </row>
    <row r="872" spans="1:1" ht="13.2">
      <c r="A872" s="123"/>
    </row>
    <row r="873" spans="1:1" ht="13.2">
      <c r="A873" s="123"/>
    </row>
    <row r="874" spans="1:1" ht="13.2">
      <c r="A874" s="123"/>
    </row>
    <row r="875" spans="1:1" ht="13.2">
      <c r="A875" s="123"/>
    </row>
    <row r="876" spans="1:1" ht="13.2">
      <c r="A876" s="123"/>
    </row>
    <row r="877" spans="1:1" ht="13.2">
      <c r="A877" s="123"/>
    </row>
    <row r="878" spans="1:1" ht="13.2">
      <c r="A878" s="123"/>
    </row>
    <row r="879" spans="1:1" ht="13.2">
      <c r="A879" s="123"/>
    </row>
    <row r="880" spans="1:1" ht="13.2">
      <c r="A880" s="123"/>
    </row>
    <row r="881" spans="1:1" ht="13.2">
      <c r="A881" s="123"/>
    </row>
    <row r="882" spans="1:1" ht="13.2">
      <c r="A882" s="123"/>
    </row>
    <row r="883" spans="1:1" ht="13.2">
      <c r="A883" s="123"/>
    </row>
    <row r="884" spans="1:1" ht="13.2">
      <c r="A884" s="123"/>
    </row>
    <row r="885" spans="1:1" ht="13.2">
      <c r="A885" s="123"/>
    </row>
    <row r="886" spans="1:1" ht="13.2">
      <c r="A886" s="123"/>
    </row>
    <row r="887" spans="1:1" ht="13.2">
      <c r="A887" s="123"/>
    </row>
    <row r="888" spans="1:1" ht="13.2">
      <c r="A888" s="123"/>
    </row>
    <row r="889" spans="1:1" ht="13.2">
      <c r="A889" s="123"/>
    </row>
    <row r="890" spans="1:1" ht="13.2">
      <c r="A890" s="123"/>
    </row>
    <row r="891" spans="1:1" ht="13.2">
      <c r="A891" s="123"/>
    </row>
    <row r="892" spans="1:1" ht="13.2">
      <c r="A892" s="123"/>
    </row>
    <row r="893" spans="1:1" ht="13.2">
      <c r="A893" s="123"/>
    </row>
    <row r="894" spans="1:1" ht="13.2">
      <c r="A894" s="123"/>
    </row>
    <row r="895" spans="1:1" ht="13.2">
      <c r="A895" s="123"/>
    </row>
    <row r="896" spans="1:1" ht="13.2">
      <c r="A896" s="123"/>
    </row>
    <row r="897" spans="1:1" ht="13.2">
      <c r="A897" s="123"/>
    </row>
    <row r="898" spans="1:1" ht="13.2">
      <c r="A898" s="123"/>
    </row>
    <row r="899" spans="1:1" ht="13.2">
      <c r="A899" s="123"/>
    </row>
    <row r="900" spans="1:1" ht="13.2">
      <c r="A900" s="123"/>
    </row>
    <row r="901" spans="1:1" ht="13.2">
      <c r="A901" s="123"/>
    </row>
    <row r="902" spans="1:1" ht="13.2">
      <c r="A902" s="123"/>
    </row>
    <row r="903" spans="1:1" ht="13.2">
      <c r="A903" s="123"/>
    </row>
    <row r="904" spans="1:1" ht="13.2">
      <c r="A904" s="123"/>
    </row>
    <row r="905" spans="1:1" ht="13.2">
      <c r="A905" s="123"/>
    </row>
    <row r="906" spans="1:1" ht="13.2">
      <c r="A906" s="123"/>
    </row>
    <row r="907" spans="1:1" ht="13.2">
      <c r="A907" s="123"/>
    </row>
    <row r="908" spans="1:1" ht="13.2">
      <c r="A908" s="123"/>
    </row>
    <row r="909" spans="1:1" ht="13.2">
      <c r="A909" s="123"/>
    </row>
    <row r="910" spans="1:1" ht="13.2">
      <c r="A910" s="123"/>
    </row>
    <row r="911" spans="1:1" ht="13.2">
      <c r="A911" s="123"/>
    </row>
    <row r="912" spans="1:1" ht="13.2">
      <c r="A912" s="123"/>
    </row>
    <row r="913" spans="1:1" ht="13.2">
      <c r="A913" s="123"/>
    </row>
    <row r="914" spans="1:1" ht="13.2">
      <c r="A914" s="123"/>
    </row>
    <row r="915" spans="1:1" ht="13.2">
      <c r="A915" s="123"/>
    </row>
    <row r="916" spans="1:1" ht="13.2">
      <c r="A916" s="123"/>
    </row>
    <row r="917" spans="1:1" ht="13.2">
      <c r="A917" s="123"/>
    </row>
    <row r="918" spans="1:1" ht="13.2">
      <c r="A918" s="123"/>
    </row>
    <row r="919" spans="1:1" ht="13.2">
      <c r="A919" s="123"/>
    </row>
    <row r="920" spans="1:1" ht="13.2">
      <c r="A920" s="123"/>
    </row>
    <row r="921" spans="1:1" ht="13.2">
      <c r="A921" s="123"/>
    </row>
    <row r="922" spans="1:1" ht="13.2">
      <c r="A922" s="123"/>
    </row>
    <row r="923" spans="1:1" ht="13.2">
      <c r="A923" s="123"/>
    </row>
    <row r="924" spans="1:1" ht="13.2">
      <c r="A924" s="123"/>
    </row>
    <row r="925" spans="1:1" ht="13.2">
      <c r="A925" s="123"/>
    </row>
    <row r="926" spans="1:1" ht="13.2">
      <c r="A926" s="123"/>
    </row>
    <row r="927" spans="1:1" ht="13.2">
      <c r="A927" s="123"/>
    </row>
    <row r="928" spans="1:1" ht="13.2">
      <c r="A928" s="123"/>
    </row>
    <row r="929" spans="1:1" ht="13.2">
      <c r="A929" s="123"/>
    </row>
    <row r="930" spans="1:1" ht="13.2">
      <c r="A930" s="123"/>
    </row>
    <row r="931" spans="1:1" ht="13.2">
      <c r="A931" s="123"/>
    </row>
    <row r="932" spans="1:1" ht="13.2">
      <c r="A932" s="123"/>
    </row>
    <row r="933" spans="1:1" ht="13.2">
      <c r="A933" s="123"/>
    </row>
    <row r="934" spans="1:1" ht="13.2">
      <c r="A934" s="123"/>
    </row>
    <row r="935" spans="1:1" ht="13.2">
      <c r="A935" s="123"/>
    </row>
    <row r="936" spans="1:1" ht="13.2">
      <c r="A936" s="123"/>
    </row>
    <row r="937" spans="1:1" ht="13.2">
      <c r="A937" s="123"/>
    </row>
    <row r="938" spans="1:1" ht="13.2">
      <c r="A938" s="123"/>
    </row>
    <row r="939" spans="1:1" ht="13.2">
      <c r="A939" s="123"/>
    </row>
    <row r="940" spans="1:1" ht="13.2">
      <c r="A940" s="123"/>
    </row>
    <row r="941" spans="1:1" ht="13.2">
      <c r="A941" s="123"/>
    </row>
    <row r="942" spans="1:1" ht="13.2">
      <c r="A942" s="123"/>
    </row>
    <row r="943" spans="1:1" ht="13.2">
      <c r="A943" s="123"/>
    </row>
    <row r="944" spans="1:1" ht="13.2">
      <c r="A944" s="123"/>
    </row>
    <row r="945" spans="1:1" ht="13.2">
      <c r="A945" s="123"/>
    </row>
    <row r="946" spans="1:1" ht="13.2">
      <c r="A946" s="123"/>
    </row>
    <row r="947" spans="1:1" ht="13.2">
      <c r="A947" s="123"/>
    </row>
    <row r="948" spans="1:1" ht="13.2">
      <c r="A948" s="123"/>
    </row>
    <row r="949" spans="1:1" ht="13.2">
      <c r="A949" s="123"/>
    </row>
    <row r="950" spans="1:1" ht="13.2">
      <c r="A950" s="123"/>
    </row>
    <row r="951" spans="1:1" ht="13.2">
      <c r="A951" s="123"/>
    </row>
    <row r="952" spans="1:1" ht="13.2">
      <c r="A952" s="123"/>
    </row>
    <row r="953" spans="1:1" ht="13.2">
      <c r="A953" s="123"/>
    </row>
    <row r="954" spans="1:1" ht="13.2">
      <c r="A954" s="123"/>
    </row>
    <row r="955" spans="1:1" ht="13.2">
      <c r="A955" s="123"/>
    </row>
    <row r="956" spans="1:1" ht="13.2">
      <c r="A956" s="123"/>
    </row>
    <row r="957" spans="1:1" ht="13.2">
      <c r="A957" s="123"/>
    </row>
    <row r="958" spans="1:1" ht="13.2">
      <c r="A958" s="123"/>
    </row>
    <row r="959" spans="1:1" ht="13.2">
      <c r="A959" s="123"/>
    </row>
    <row r="960" spans="1:1" ht="13.2">
      <c r="A960" s="123"/>
    </row>
    <row r="961" spans="1:1" ht="13.2">
      <c r="A961" s="123"/>
    </row>
    <row r="962" spans="1:1" ht="13.2">
      <c r="A962" s="123"/>
    </row>
    <row r="963" spans="1:1" ht="13.2">
      <c r="A963" s="123"/>
    </row>
    <row r="964" spans="1:1" ht="13.2">
      <c r="A964" s="123"/>
    </row>
    <row r="965" spans="1:1" ht="13.2">
      <c r="A965" s="123"/>
    </row>
    <row r="966" spans="1:1" ht="13.2">
      <c r="A966" s="123"/>
    </row>
    <row r="967" spans="1:1" ht="13.2">
      <c r="A967" s="123"/>
    </row>
    <row r="968" spans="1:1" ht="13.2">
      <c r="A968" s="123"/>
    </row>
    <row r="969" spans="1:1" ht="13.2">
      <c r="A969" s="123"/>
    </row>
    <row r="970" spans="1:1" ht="13.2">
      <c r="A970" s="123"/>
    </row>
    <row r="971" spans="1:1" ht="13.2">
      <c r="A971" s="123"/>
    </row>
    <row r="972" spans="1:1" ht="13.2">
      <c r="A972" s="123"/>
    </row>
    <row r="973" spans="1:1" ht="13.2">
      <c r="A973" s="123"/>
    </row>
    <row r="974" spans="1:1" ht="13.2">
      <c r="A974" s="123"/>
    </row>
    <row r="975" spans="1:1" ht="13.2">
      <c r="A975" s="123"/>
    </row>
    <row r="976" spans="1:1" ht="13.2">
      <c r="A976" s="123"/>
    </row>
    <row r="977" spans="1:1" ht="13.2">
      <c r="A977" s="123"/>
    </row>
    <row r="978" spans="1:1" ht="13.2">
      <c r="A978" s="123"/>
    </row>
    <row r="979" spans="1:1" ht="13.2">
      <c r="A979" s="123"/>
    </row>
    <row r="980" spans="1:1" ht="13.2">
      <c r="A980" s="123"/>
    </row>
    <row r="981" spans="1:1" ht="13.2">
      <c r="A981" s="123"/>
    </row>
    <row r="982" spans="1:1" ht="13.2">
      <c r="A982" s="123"/>
    </row>
    <row r="983" spans="1:1" ht="13.2">
      <c r="A983" s="123"/>
    </row>
    <row r="984" spans="1:1" ht="13.2">
      <c r="A984" s="123"/>
    </row>
    <row r="985" spans="1:1" ht="13.2">
      <c r="A985" s="123"/>
    </row>
    <row r="986" spans="1:1" ht="13.2">
      <c r="A986" s="123"/>
    </row>
    <row r="987" spans="1:1" ht="13.2">
      <c r="A987" s="123"/>
    </row>
    <row r="988" spans="1:1" ht="13.2">
      <c r="A988" s="123"/>
    </row>
    <row r="989" spans="1:1" ht="13.2">
      <c r="A989" s="123"/>
    </row>
    <row r="990" spans="1:1" ht="13.2">
      <c r="A990" s="123"/>
    </row>
    <row r="991" spans="1:1" ht="13.2">
      <c r="A991" s="123"/>
    </row>
    <row r="992" spans="1:1" ht="13.2">
      <c r="A992" s="123"/>
    </row>
    <row r="993" spans="1:1" ht="13.2">
      <c r="A993" s="123"/>
    </row>
    <row r="994" spans="1:1" ht="13.2">
      <c r="A994" s="123"/>
    </row>
    <row r="995" spans="1:1" ht="13.2">
      <c r="A995" s="123"/>
    </row>
    <row r="996" spans="1:1" ht="13.2">
      <c r="A996" s="123"/>
    </row>
    <row r="997" spans="1:1" ht="13.2">
      <c r="A997" s="123"/>
    </row>
    <row r="998" spans="1:1" ht="13.2">
      <c r="A998" s="123"/>
    </row>
    <row r="999" spans="1:1" ht="13.2">
      <c r="A999" s="123"/>
    </row>
    <row r="1000" spans="1:1" ht="13.2">
      <c r="A1000" s="123"/>
    </row>
    <row r="1001" spans="1:1" ht="13.2">
      <c r="A1001" s="123"/>
    </row>
    <row r="1002" spans="1:1" ht="13.2">
      <c r="A1002" s="123"/>
    </row>
    <row r="1003" spans="1:1" ht="13.2">
      <c r="A1003" s="123"/>
    </row>
    <row r="1004" spans="1:1" ht="13.2">
      <c r="A1004" s="123"/>
    </row>
    <row r="1005" spans="1:1" ht="13.2">
      <c r="A1005" s="123"/>
    </row>
    <row r="1006" spans="1:1" ht="13.2">
      <c r="A1006" s="123"/>
    </row>
    <row r="1007" spans="1:1" ht="13.2">
      <c r="A1007" s="123"/>
    </row>
    <row r="1008" spans="1:1" ht="13.2">
      <c r="A1008" s="123"/>
    </row>
    <row r="1009" spans="1:1" ht="13.2">
      <c r="A1009" s="123"/>
    </row>
    <row r="1010" spans="1:1" ht="13.2">
      <c r="A1010" s="123"/>
    </row>
    <row r="1011" spans="1:1" ht="13.2">
      <c r="A1011" s="123"/>
    </row>
    <row r="1012" spans="1:1" ht="13.2">
      <c r="A1012" s="123"/>
    </row>
    <row r="1013" spans="1:1" ht="13.2">
      <c r="A1013" s="123"/>
    </row>
    <row r="1014" spans="1:1" ht="13.2">
      <c r="A1014" s="123"/>
    </row>
    <row r="1015" spans="1:1" ht="13.2">
      <c r="A1015" s="123"/>
    </row>
  </sheetData>
  <mergeCells count="4">
    <mergeCell ref="K88:L88"/>
    <mergeCell ref="K89:L89"/>
    <mergeCell ref="K90:L90"/>
    <mergeCell ref="K91:L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29"/>
  <sheetViews>
    <sheetView workbookViewId="0"/>
  </sheetViews>
  <sheetFormatPr defaultColWidth="12.6640625" defaultRowHeight="15.75" customHeight="1"/>
  <cols>
    <col min="1" max="1" width="18.6640625" customWidth="1"/>
    <col min="3" max="3" width="14.6640625" customWidth="1"/>
  </cols>
  <sheetData>
    <row r="1" spans="1:3" ht="15.75" customHeight="1">
      <c r="A1" s="33" t="s">
        <v>2275</v>
      </c>
      <c r="B1" s="33" t="s">
        <v>2276</v>
      </c>
      <c r="C1" s="33" t="s">
        <v>2277</v>
      </c>
    </row>
    <row r="2" spans="1:3" ht="15.75" customHeight="1">
      <c r="A2" s="33" t="s">
        <v>2278</v>
      </c>
      <c r="B2" s="33" t="s">
        <v>120</v>
      </c>
      <c r="C2" s="33" t="s">
        <v>502</v>
      </c>
    </row>
    <row r="3" spans="1:3" ht="15.75" customHeight="1">
      <c r="A3" s="33" t="s">
        <v>2279</v>
      </c>
      <c r="B3" s="33" t="s">
        <v>120</v>
      </c>
      <c r="C3" s="33" t="s">
        <v>503</v>
      </c>
    </row>
    <row r="4" spans="1:3" ht="15.75" customHeight="1">
      <c r="A4" s="33" t="s">
        <v>2280</v>
      </c>
      <c r="B4" s="33" t="s">
        <v>120</v>
      </c>
      <c r="C4" s="33" t="s">
        <v>504</v>
      </c>
    </row>
    <row r="5" spans="1:3" ht="15.75" customHeight="1">
      <c r="A5" s="33" t="s">
        <v>2281</v>
      </c>
      <c r="B5" s="33" t="s">
        <v>120</v>
      </c>
      <c r="C5" s="33" t="s">
        <v>505</v>
      </c>
    </row>
    <row r="6" spans="1:3" ht="15.75" customHeight="1">
      <c r="A6" s="33" t="s">
        <v>2282</v>
      </c>
      <c r="B6" s="33" t="s">
        <v>121</v>
      </c>
      <c r="C6" s="33" t="s">
        <v>502</v>
      </c>
    </row>
    <row r="7" spans="1:3" ht="15.75" customHeight="1">
      <c r="A7" s="33" t="s">
        <v>2283</v>
      </c>
      <c r="B7" s="33" t="s">
        <v>121</v>
      </c>
      <c r="C7" s="33" t="s">
        <v>503</v>
      </c>
    </row>
    <row r="8" spans="1:3" ht="15.75" customHeight="1">
      <c r="A8" s="33" t="s">
        <v>2284</v>
      </c>
      <c r="B8" s="33" t="s">
        <v>121</v>
      </c>
      <c r="C8" s="33" t="s">
        <v>504</v>
      </c>
    </row>
    <row r="9" spans="1:3" ht="15.75" customHeight="1">
      <c r="A9" s="33" t="s">
        <v>2285</v>
      </c>
      <c r="B9" s="33" t="s">
        <v>121</v>
      </c>
      <c r="C9" s="33" t="s">
        <v>505</v>
      </c>
    </row>
    <row r="10" spans="1:3" ht="15.75" customHeight="1">
      <c r="A10" s="33" t="s">
        <v>2286</v>
      </c>
      <c r="B10" s="33" t="s">
        <v>122</v>
      </c>
      <c r="C10" s="33" t="s">
        <v>502</v>
      </c>
    </row>
    <row r="11" spans="1:3" ht="15.75" customHeight="1">
      <c r="A11" s="33" t="s">
        <v>2287</v>
      </c>
      <c r="B11" s="33" t="s">
        <v>122</v>
      </c>
      <c r="C11" s="33" t="s">
        <v>503</v>
      </c>
    </row>
    <row r="12" spans="1:3" ht="15.75" customHeight="1">
      <c r="A12" s="33" t="s">
        <v>2288</v>
      </c>
      <c r="B12" s="33" t="s">
        <v>122</v>
      </c>
      <c r="C12" s="33" t="s">
        <v>504</v>
      </c>
    </row>
    <row r="13" spans="1:3" ht="15.75" customHeight="1">
      <c r="A13" s="33" t="s">
        <v>2289</v>
      </c>
      <c r="B13" s="33" t="s">
        <v>122</v>
      </c>
      <c r="C13" s="33" t="s">
        <v>505</v>
      </c>
    </row>
    <row r="14" spans="1:3" ht="15.75" customHeight="1">
      <c r="A14" s="33" t="s">
        <v>2290</v>
      </c>
      <c r="B14" s="33" t="s">
        <v>123</v>
      </c>
      <c r="C14" s="33" t="s">
        <v>502</v>
      </c>
    </row>
    <row r="15" spans="1:3" ht="15.75" customHeight="1">
      <c r="A15" s="33" t="s">
        <v>2291</v>
      </c>
      <c r="B15" s="33" t="s">
        <v>123</v>
      </c>
      <c r="C15" s="33" t="s">
        <v>503</v>
      </c>
    </row>
    <row r="16" spans="1:3" ht="15.75" customHeight="1">
      <c r="A16" s="33" t="s">
        <v>2292</v>
      </c>
      <c r="B16" s="33" t="s">
        <v>123</v>
      </c>
      <c r="C16" s="33" t="s">
        <v>504</v>
      </c>
    </row>
    <row r="17" spans="1:3" ht="15.75" customHeight="1">
      <c r="A17" s="33" t="s">
        <v>2293</v>
      </c>
      <c r="B17" s="33" t="s">
        <v>123</v>
      </c>
      <c r="C17" s="33" t="s">
        <v>505</v>
      </c>
    </row>
    <row r="18" spans="1:3" ht="15.75" customHeight="1">
      <c r="A18" s="33" t="s">
        <v>2294</v>
      </c>
      <c r="B18" s="33" t="s">
        <v>605</v>
      </c>
      <c r="C18" s="33" t="s">
        <v>742</v>
      </c>
    </row>
    <row r="19" spans="1:3" ht="15.75" customHeight="1">
      <c r="A19" s="33" t="s">
        <v>2295</v>
      </c>
      <c r="B19" s="33" t="s">
        <v>605</v>
      </c>
      <c r="C19" s="33" t="s">
        <v>744</v>
      </c>
    </row>
    <row r="20" spans="1:3" ht="15.75" customHeight="1">
      <c r="A20" s="33" t="s">
        <v>2296</v>
      </c>
      <c r="B20" s="33" t="s">
        <v>605</v>
      </c>
      <c r="C20" s="33" t="s">
        <v>745</v>
      </c>
    </row>
    <row r="21" spans="1:3" ht="15.75" customHeight="1">
      <c r="A21" s="33" t="s">
        <v>2297</v>
      </c>
      <c r="B21" s="33" t="s">
        <v>605</v>
      </c>
      <c r="C21" s="33" t="s">
        <v>746</v>
      </c>
    </row>
    <row r="22" spans="1:3" ht="15.75" customHeight="1">
      <c r="A22" s="33" t="s">
        <v>2298</v>
      </c>
      <c r="B22" s="33" t="s">
        <v>606</v>
      </c>
      <c r="C22" s="33" t="s">
        <v>742</v>
      </c>
    </row>
    <row r="23" spans="1:3" ht="15.75" customHeight="1">
      <c r="A23" s="33" t="s">
        <v>2299</v>
      </c>
      <c r="B23" s="33" t="s">
        <v>606</v>
      </c>
      <c r="C23" s="33" t="s">
        <v>744</v>
      </c>
    </row>
    <row r="24" spans="1:3" ht="15.75" customHeight="1">
      <c r="A24" s="33" t="s">
        <v>2300</v>
      </c>
      <c r="B24" s="33" t="s">
        <v>606</v>
      </c>
      <c r="C24" s="33" t="s">
        <v>745</v>
      </c>
    </row>
    <row r="25" spans="1:3" ht="15.75" customHeight="1">
      <c r="A25" s="33" t="s">
        <v>2301</v>
      </c>
      <c r="B25" s="33" t="s">
        <v>606</v>
      </c>
      <c r="C25" s="33" t="s">
        <v>746</v>
      </c>
    </row>
    <row r="26" spans="1:3" ht="15.75" customHeight="1">
      <c r="A26" s="33" t="s">
        <v>2302</v>
      </c>
      <c r="B26" s="33" t="s">
        <v>607</v>
      </c>
      <c r="C26" s="33" t="s">
        <v>742</v>
      </c>
    </row>
    <row r="27" spans="1:3" ht="15.75" customHeight="1">
      <c r="A27" s="33" t="s">
        <v>2303</v>
      </c>
      <c r="B27" s="33" t="s">
        <v>607</v>
      </c>
      <c r="C27" s="33" t="s">
        <v>744</v>
      </c>
    </row>
    <row r="28" spans="1:3" ht="14.4">
      <c r="A28" s="33" t="s">
        <v>2304</v>
      </c>
      <c r="B28" s="33" t="s">
        <v>607</v>
      </c>
      <c r="C28" s="33" t="s">
        <v>745</v>
      </c>
    </row>
    <row r="29" spans="1:3" ht="14.4">
      <c r="A29" s="33" t="s">
        <v>2305</v>
      </c>
      <c r="B29" s="33" t="s">
        <v>607</v>
      </c>
      <c r="C29" s="33" t="s">
        <v>746</v>
      </c>
    </row>
    <row r="30" spans="1:3" ht="14.4">
      <c r="A30" s="33" t="s">
        <v>2306</v>
      </c>
      <c r="B30" s="33" t="s">
        <v>608</v>
      </c>
      <c r="C30" s="33" t="s">
        <v>742</v>
      </c>
    </row>
    <row r="31" spans="1:3" ht="14.4">
      <c r="A31" s="33" t="s">
        <v>2307</v>
      </c>
      <c r="B31" s="33" t="s">
        <v>608</v>
      </c>
      <c r="C31" s="33" t="s">
        <v>744</v>
      </c>
    </row>
    <row r="32" spans="1:3" ht="14.4">
      <c r="A32" s="33" t="s">
        <v>2308</v>
      </c>
      <c r="B32" s="33" t="s">
        <v>608</v>
      </c>
      <c r="C32" s="33" t="s">
        <v>745</v>
      </c>
    </row>
    <row r="33" spans="1:3" ht="14.4">
      <c r="A33" s="33" t="s">
        <v>2309</v>
      </c>
      <c r="B33" s="33" t="s">
        <v>608</v>
      </c>
      <c r="C33" s="33" t="s">
        <v>746</v>
      </c>
    </row>
    <row r="34" spans="1:3" ht="14.4">
      <c r="A34" s="33" t="s">
        <v>2310</v>
      </c>
      <c r="B34" s="33" t="s">
        <v>398</v>
      </c>
      <c r="C34" s="33" t="s">
        <v>480</v>
      </c>
    </row>
    <row r="35" spans="1:3" ht="14.4">
      <c r="A35" s="33" t="s">
        <v>2311</v>
      </c>
      <c r="B35" s="33" t="s">
        <v>398</v>
      </c>
      <c r="C35" s="33" t="s">
        <v>491</v>
      </c>
    </row>
    <row r="36" spans="1:3" ht="14.4">
      <c r="A36" s="33" t="s">
        <v>2312</v>
      </c>
      <c r="B36" s="33" t="s">
        <v>398</v>
      </c>
      <c r="C36" s="33" t="s">
        <v>481</v>
      </c>
    </row>
    <row r="37" spans="1:3" ht="14.4">
      <c r="A37" s="33" t="s">
        <v>2313</v>
      </c>
      <c r="B37" s="33" t="s">
        <v>398</v>
      </c>
      <c r="C37" s="33" t="s">
        <v>492</v>
      </c>
    </row>
    <row r="38" spans="1:3" ht="14.4">
      <c r="A38" s="33" t="s">
        <v>2314</v>
      </c>
      <c r="B38" s="33" t="s">
        <v>398</v>
      </c>
      <c r="C38" s="33" t="s">
        <v>482</v>
      </c>
    </row>
    <row r="39" spans="1:3" ht="14.4">
      <c r="A39" s="33" t="s">
        <v>2315</v>
      </c>
      <c r="B39" s="33" t="s">
        <v>398</v>
      </c>
      <c r="C39" s="33" t="s">
        <v>493</v>
      </c>
    </row>
    <row r="40" spans="1:3" ht="14.4">
      <c r="A40" s="33" t="s">
        <v>2316</v>
      </c>
      <c r="B40" s="33" t="s">
        <v>398</v>
      </c>
      <c r="C40" s="33" t="s">
        <v>483</v>
      </c>
    </row>
    <row r="41" spans="1:3" ht="14.4">
      <c r="A41" s="33" t="s">
        <v>2317</v>
      </c>
      <c r="B41" s="33" t="s">
        <v>398</v>
      </c>
      <c r="C41" s="33" t="s">
        <v>494</v>
      </c>
    </row>
    <row r="42" spans="1:3" ht="14.4">
      <c r="A42" s="33" t="s">
        <v>2318</v>
      </c>
      <c r="B42" s="33" t="s">
        <v>399</v>
      </c>
      <c r="C42" s="33" t="s">
        <v>480</v>
      </c>
    </row>
    <row r="43" spans="1:3" ht="14.4">
      <c r="A43" s="33" t="s">
        <v>2319</v>
      </c>
      <c r="B43" s="33" t="s">
        <v>399</v>
      </c>
      <c r="C43" s="33" t="s">
        <v>491</v>
      </c>
    </row>
    <row r="44" spans="1:3" ht="14.4">
      <c r="A44" s="33" t="s">
        <v>2320</v>
      </c>
      <c r="B44" s="33" t="s">
        <v>399</v>
      </c>
      <c r="C44" s="33" t="s">
        <v>481</v>
      </c>
    </row>
    <row r="45" spans="1:3" ht="14.4">
      <c r="A45" s="33" t="s">
        <v>2321</v>
      </c>
      <c r="B45" s="33" t="s">
        <v>399</v>
      </c>
      <c r="C45" s="33" t="s">
        <v>492</v>
      </c>
    </row>
    <row r="46" spans="1:3" ht="14.4">
      <c r="A46" s="33" t="s">
        <v>2322</v>
      </c>
      <c r="B46" s="33" t="s">
        <v>399</v>
      </c>
      <c r="C46" s="33" t="s">
        <v>482</v>
      </c>
    </row>
    <row r="47" spans="1:3" ht="14.4">
      <c r="A47" s="33" t="s">
        <v>2323</v>
      </c>
      <c r="B47" s="33" t="s">
        <v>399</v>
      </c>
      <c r="C47" s="33" t="s">
        <v>493</v>
      </c>
    </row>
    <row r="48" spans="1:3" ht="14.4">
      <c r="A48" s="33" t="s">
        <v>2324</v>
      </c>
      <c r="B48" s="33" t="s">
        <v>399</v>
      </c>
      <c r="C48" s="33" t="s">
        <v>483</v>
      </c>
    </row>
    <row r="49" spans="1:3" ht="14.4">
      <c r="A49" s="33" t="s">
        <v>2325</v>
      </c>
      <c r="B49" s="33" t="s">
        <v>399</v>
      </c>
      <c r="C49" s="33" t="s">
        <v>494</v>
      </c>
    </row>
    <row r="50" spans="1:3" ht="14.4">
      <c r="A50" s="33" t="s">
        <v>2326</v>
      </c>
      <c r="B50" s="33" t="s">
        <v>400</v>
      </c>
      <c r="C50" s="33" t="s">
        <v>480</v>
      </c>
    </row>
    <row r="51" spans="1:3" ht="14.4">
      <c r="A51" s="33" t="s">
        <v>2327</v>
      </c>
      <c r="B51" s="33" t="s">
        <v>400</v>
      </c>
      <c r="C51" s="33" t="s">
        <v>491</v>
      </c>
    </row>
    <row r="52" spans="1:3" ht="14.4">
      <c r="A52" s="33" t="s">
        <v>2328</v>
      </c>
      <c r="B52" s="33" t="s">
        <v>400</v>
      </c>
      <c r="C52" s="33" t="s">
        <v>481</v>
      </c>
    </row>
    <row r="53" spans="1:3" ht="14.4">
      <c r="A53" s="33" t="s">
        <v>2329</v>
      </c>
      <c r="B53" s="33" t="s">
        <v>400</v>
      </c>
      <c r="C53" s="33" t="s">
        <v>492</v>
      </c>
    </row>
    <row r="54" spans="1:3" ht="14.4">
      <c r="A54" s="33" t="s">
        <v>2330</v>
      </c>
      <c r="B54" s="33" t="s">
        <v>400</v>
      </c>
      <c r="C54" s="33" t="s">
        <v>482</v>
      </c>
    </row>
    <row r="55" spans="1:3" ht="14.4">
      <c r="A55" s="33" t="s">
        <v>2331</v>
      </c>
      <c r="B55" s="33" t="s">
        <v>400</v>
      </c>
      <c r="C55" s="33" t="s">
        <v>493</v>
      </c>
    </row>
    <row r="56" spans="1:3" ht="14.4">
      <c r="A56" s="33" t="s">
        <v>2332</v>
      </c>
      <c r="B56" s="33" t="s">
        <v>400</v>
      </c>
      <c r="C56" s="33" t="s">
        <v>483</v>
      </c>
    </row>
    <row r="57" spans="1:3" ht="14.4">
      <c r="A57" s="33" t="s">
        <v>2333</v>
      </c>
      <c r="B57" s="33" t="s">
        <v>400</v>
      </c>
      <c r="C57" s="33" t="s">
        <v>494</v>
      </c>
    </row>
    <row r="58" spans="1:3" ht="14.4">
      <c r="A58" s="33" t="s">
        <v>2334</v>
      </c>
      <c r="B58" s="33" t="s">
        <v>401</v>
      </c>
      <c r="C58" s="33" t="s">
        <v>480</v>
      </c>
    </row>
    <row r="59" spans="1:3" ht="14.4">
      <c r="A59" s="33" t="s">
        <v>2335</v>
      </c>
      <c r="B59" s="33" t="s">
        <v>401</v>
      </c>
      <c r="C59" s="33" t="s">
        <v>491</v>
      </c>
    </row>
    <row r="60" spans="1:3" ht="14.4">
      <c r="A60" s="33" t="s">
        <v>2336</v>
      </c>
      <c r="B60" s="33" t="s">
        <v>401</v>
      </c>
      <c r="C60" s="33" t="s">
        <v>481</v>
      </c>
    </row>
    <row r="61" spans="1:3" ht="14.4">
      <c r="A61" s="33" t="s">
        <v>2337</v>
      </c>
      <c r="B61" s="33" t="s">
        <v>401</v>
      </c>
      <c r="C61" s="33" t="s">
        <v>492</v>
      </c>
    </row>
    <row r="62" spans="1:3" ht="14.4">
      <c r="A62" s="33" t="s">
        <v>2338</v>
      </c>
      <c r="B62" s="33" t="s">
        <v>401</v>
      </c>
      <c r="C62" s="33" t="s">
        <v>482</v>
      </c>
    </row>
    <row r="63" spans="1:3" ht="14.4">
      <c r="A63" s="33" t="s">
        <v>2339</v>
      </c>
      <c r="B63" s="33" t="s">
        <v>401</v>
      </c>
      <c r="C63" s="33" t="s">
        <v>493</v>
      </c>
    </row>
    <row r="64" spans="1:3" ht="14.4">
      <c r="A64" s="33" t="s">
        <v>2340</v>
      </c>
      <c r="B64" s="33" t="s">
        <v>401</v>
      </c>
      <c r="C64" s="33" t="s">
        <v>483</v>
      </c>
    </row>
    <row r="65" spans="1:3" ht="14.4">
      <c r="A65" s="33" t="s">
        <v>2341</v>
      </c>
      <c r="B65" s="33" t="s">
        <v>401</v>
      </c>
      <c r="C65" s="33" t="s">
        <v>494</v>
      </c>
    </row>
    <row r="66" spans="1:3" ht="14.4">
      <c r="A66" s="33" t="s">
        <v>2342</v>
      </c>
      <c r="B66" s="33" t="s">
        <v>605</v>
      </c>
      <c r="C66" s="33" t="s">
        <v>658</v>
      </c>
    </row>
    <row r="67" spans="1:3" ht="14.4">
      <c r="A67" s="33" t="s">
        <v>2343</v>
      </c>
      <c r="B67" s="33" t="s">
        <v>605</v>
      </c>
      <c r="C67" s="33" t="s">
        <v>648</v>
      </c>
    </row>
    <row r="68" spans="1:3" ht="14.4">
      <c r="A68" s="33" t="s">
        <v>2344</v>
      </c>
      <c r="B68" s="33" t="s">
        <v>605</v>
      </c>
      <c r="C68" s="33" t="s">
        <v>659</v>
      </c>
    </row>
    <row r="69" spans="1:3" ht="14.4">
      <c r="A69" s="33" t="s">
        <v>2345</v>
      </c>
      <c r="B69" s="33" t="s">
        <v>605</v>
      </c>
      <c r="C69" s="33" t="s">
        <v>649</v>
      </c>
    </row>
    <row r="70" spans="1:3" ht="14.4">
      <c r="A70" s="33" t="s">
        <v>2346</v>
      </c>
      <c r="B70" s="33" t="s">
        <v>605</v>
      </c>
      <c r="C70" s="33" t="s">
        <v>660</v>
      </c>
    </row>
    <row r="71" spans="1:3" ht="14.4">
      <c r="A71" s="33" t="s">
        <v>2347</v>
      </c>
      <c r="B71" s="33" t="s">
        <v>605</v>
      </c>
      <c r="C71" s="33" t="s">
        <v>651</v>
      </c>
    </row>
    <row r="72" spans="1:3" ht="14.4">
      <c r="A72" s="33" t="s">
        <v>2348</v>
      </c>
      <c r="B72" s="33" t="s">
        <v>605</v>
      </c>
      <c r="C72" s="33" t="s">
        <v>661</v>
      </c>
    </row>
    <row r="73" spans="1:3" ht="14.4">
      <c r="A73" s="33" t="s">
        <v>2349</v>
      </c>
      <c r="B73" s="33" t="s">
        <v>605</v>
      </c>
      <c r="C73" s="33" t="s">
        <v>652</v>
      </c>
    </row>
    <row r="74" spans="1:3" ht="14.4">
      <c r="A74" s="33" t="s">
        <v>2350</v>
      </c>
      <c r="B74" s="33" t="s">
        <v>606</v>
      </c>
      <c r="C74" s="33" t="s">
        <v>658</v>
      </c>
    </row>
    <row r="75" spans="1:3" ht="14.4">
      <c r="A75" s="33" t="s">
        <v>2351</v>
      </c>
      <c r="B75" s="33" t="s">
        <v>606</v>
      </c>
      <c r="C75" s="33" t="s">
        <v>648</v>
      </c>
    </row>
    <row r="76" spans="1:3" ht="14.4">
      <c r="A76" s="33" t="s">
        <v>2352</v>
      </c>
      <c r="B76" s="33" t="s">
        <v>606</v>
      </c>
      <c r="C76" s="33" t="s">
        <v>659</v>
      </c>
    </row>
    <row r="77" spans="1:3" ht="14.4">
      <c r="A77" s="33" t="s">
        <v>2353</v>
      </c>
      <c r="B77" s="33" t="s">
        <v>606</v>
      </c>
      <c r="C77" s="33" t="s">
        <v>649</v>
      </c>
    </row>
    <row r="78" spans="1:3" ht="14.4">
      <c r="A78" s="33" t="s">
        <v>2354</v>
      </c>
      <c r="B78" s="33" t="s">
        <v>606</v>
      </c>
      <c r="C78" s="33" t="s">
        <v>660</v>
      </c>
    </row>
    <row r="79" spans="1:3" ht="14.4">
      <c r="A79" s="33" t="s">
        <v>2355</v>
      </c>
      <c r="B79" s="33" t="s">
        <v>606</v>
      </c>
      <c r="C79" s="33" t="s">
        <v>651</v>
      </c>
    </row>
    <row r="80" spans="1:3" ht="14.4">
      <c r="A80" s="33" t="s">
        <v>2356</v>
      </c>
      <c r="B80" s="33" t="s">
        <v>606</v>
      </c>
      <c r="C80" s="33" t="s">
        <v>661</v>
      </c>
    </row>
    <row r="81" spans="1:3" ht="14.4">
      <c r="A81" s="33" t="s">
        <v>2357</v>
      </c>
      <c r="B81" s="33" t="s">
        <v>606</v>
      </c>
      <c r="C81" s="33" t="s">
        <v>652</v>
      </c>
    </row>
    <row r="82" spans="1:3" ht="14.4">
      <c r="A82" s="33" t="s">
        <v>2358</v>
      </c>
      <c r="B82" s="33" t="s">
        <v>607</v>
      </c>
      <c r="C82" s="33" t="s">
        <v>658</v>
      </c>
    </row>
    <row r="83" spans="1:3" ht="14.4">
      <c r="A83" s="33" t="s">
        <v>2359</v>
      </c>
      <c r="B83" s="33" t="s">
        <v>607</v>
      </c>
      <c r="C83" s="33" t="s">
        <v>648</v>
      </c>
    </row>
    <row r="84" spans="1:3" ht="14.4">
      <c r="A84" s="33" t="s">
        <v>2360</v>
      </c>
      <c r="B84" s="33" t="s">
        <v>607</v>
      </c>
      <c r="C84" s="33" t="s">
        <v>659</v>
      </c>
    </row>
    <row r="85" spans="1:3" ht="14.4">
      <c r="A85" s="33" t="s">
        <v>2361</v>
      </c>
      <c r="B85" s="33" t="s">
        <v>607</v>
      </c>
      <c r="C85" s="33" t="s">
        <v>649</v>
      </c>
    </row>
    <row r="86" spans="1:3" ht="14.4">
      <c r="A86" s="33" t="s">
        <v>2362</v>
      </c>
      <c r="B86" s="33" t="s">
        <v>607</v>
      </c>
      <c r="C86" s="33" t="s">
        <v>660</v>
      </c>
    </row>
    <row r="87" spans="1:3" ht="14.4">
      <c r="A87" s="33" t="s">
        <v>2363</v>
      </c>
      <c r="B87" s="33" t="s">
        <v>607</v>
      </c>
      <c r="C87" s="33" t="s">
        <v>651</v>
      </c>
    </row>
    <row r="88" spans="1:3" ht="14.4">
      <c r="A88" s="33" t="s">
        <v>2364</v>
      </c>
      <c r="B88" s="33" t="s">
        <v>607</v>
      </c>
      <c r="C88" s="33" t="s">
        <v>661</v>
      </c>
    </row>
    <row r="89" spans="1:3" ht="14.4">
      <c r="A89" s="33" t="s">
        <v>2365</v>
      </c>
      <c r="B89" s="33" t="s">
        <v>607</v>
      </c>
      <c r="C89" s="33" t="s">
        <v>652</v>
      </c>
    </row>
    <row r="90" spans="1:3" ht="14.4">
      <c r="A90" s="33" t="s">
        <v>2366</v>
      </c>
      <c r="B90" s="33" t="s">
        <v>608</v>
      </c>
      <c r="C90" s="33" t="s">
        <v>658</v>
      </c>
    </row>
    <row r="91" spans="1:3" ht="14.4">
      <c r="A91" s="33" t="s">
        <v>2367</v>
      </c>
      <c r="B91" s="33" t="s">
        <v>608</v>
      </c>
      <c r="C91" s="33" t="s">
        <v>648</v>
      </c>
    </row>
    <row r="92" spans="1:3" ht="14.4">
      <c r="A92" s="33" t="s">
        <v>2368</v>
      </c>
      <c r="B92" s="33" t="s">
        <v>608</v>
      </c>
      <c r="C92" s="33" t="s">
        <v>659</v>
      </c>
    </row>
    <row r="93" spans="1:3" ht="14.4">
      <c r="A93" s="33" t="s">
        <v>2369</v>
      </c>
      <c r="B93" s="33" t="s">
        <v>608</v>
      </c>
      <c r="C93" s="33" t="s">
        <v>649</v>
      </c>
    </row>
    <row r="94" spans="1:3" ht="14.4">
      <c r="A94" s="33" t="s">
        <v>2370</v>
      </c>
      <c r="B94" s="33" t="s">
        <v>608</v>
      </c>
      <c r="C94" s="33" t="s">
        <v>660</v>
      </c>
    </row>
    <row r="95" spans="1:3" ht="14.4">
      <c r="A95" s="33" t="s">
        <v>2371</v>
      </c>
      <c r="B95" s="33" t="s">
        <v>608</v>
      </c>
      <c r="C95" s="33" t="s">
        <v>651</v>
      </c>
    </row>
    <row r="96" spans="1:3" ht="14.4">
      <c r="A96" s="33" t="s">
        <v>2372</v>
      </c>
      <c r="B96" s="33" t="s">
        <v>608</v>
      </c>
      <c r="C96" s="33" t="s">
        <v>661</v>
      </c>
    </row>
    <row r="97" spans="1:4" ht="14.4">
      <c r="A97" s="33" t="s">
        <v>2373</v>
      </c>
      <c r="B97" s="33" t="s">
        <v>608</v>
      </c>
      <c r="C97" s="33" t="s">
        <v>652</v>
      </c>
    </row>
    <row r="98" spans="1:4" ht="14.4">
      <c r="A98" s="33" t="s">
        <v>2374</v>
      </c>
      <c r="B98" s="33" t="s">
        <v>605</v>
      </c>
      <c r="C98" s="33" t="s">
        <v>339</v>
      </c>
      <c r="D98" s="33"/>
    </row>
    <row r="99" spans="1:4" ht="14.4">
      <c r="A99" s="33" t="s">
        <v>2375</v>
      </c>
      <c r="B99" s="33" t="s">
        <v>605</v>
      </c>
      <c r="C99" s="33" t="s">
        <v>340</v>
      </c>
    </row>
    <row r="100" spans="1:4" ht="14.4">
      <c r="A100" s="33" t="s">
        <v>2376</v>
      </c>
      <c r="B100" s="33" t="s">
        <v>605</v>
      </c>
      <c r="C100" s="33" t="s">
        <v>341</v>
      </c>
    </row>
    <row r="101" spans="1:4" ht="14.4">
      <c r="A101" s="33" t="s">
        <v>2377</v>
      </c>
      <c r="B101" s="33" t="s">
        <v>605</v>
      </c>
      <c r="C101" s="33" t="s">
        <v>342</v>
      </c>
    </row>
    <row r="102" spans="1:4" ht="14.4">
      <c r="A102" s="33" t="s">
        <v>2378</v>
      </c>
      <c r="B102" s="33" t="s">
        <v>606</v>
      </c>
      <c r="C102" s="33" t="s">
        <v>339</v>
      </c>
    </row>
    <row r="103" spans="1:4" ht="14.4">
      <c r="A103" s="33" t="s">
        <v>2379</v>
      </c>
      <c r="B103" s="33" t="s">
        <v>606</v>
      </c>
      <c r="C103" s="33" t="s">
        <v>340</v>
      </c>
    </row>
    <row r="104" spans="1:4" ht="14.4">
      <c r="A104" s="33" t="s">
        <v>2380</v>
      </c>
      <c r="B104" s="33" t="s">
        <v>606</v>
      </c>
      <c r="C104" s="33" t="s">
        <v>341</v>
      </c>
    </row>
    <row r="105" spans="1:4" ht="14.4">
      <c r="A105" s="33" t="s">
        <v>2381</v>
      </c>
      <c r="B105" s="33" t="s">
        <v>606</v>
      </c>
      <c r="C105" s="33" t="s">
        <v>342</v>
      </c>
    </row>
    <row r="106" spans="1:4" ht="14.4">
      <c r="A106" s="33" t="s">
        <v>2382</v>
      </c>
      <c r="B106" s="33" t="s">
        <v>607</v>
      </c>
      <c r="C106" s="33" t="s">
        <v>339</v>
      </c>
    </row>
    <row r="107" spans="1:4" ht="14.4">
      <c r="A107" s="33" t="s">
        <v>2383</v>
      </c>
      <c r="B107" s="33" t="s">
        <v>607</v>
      </c>
      <c r="C107" s="33" t="s">
        <v>340</v>
      </c>
    </row>
    <row r="108" spans="1:4" ht="14.4">
      <c r="A108" s="33" t="s">
        <v>2384</v>
      </c>
      <c r="B108" s="33" t="s">
        <v>607</v>
      </c>
      <c r="C108" s="33" t="s">
        <v>341</v>
      </c>
    </row>
    <row r="109" spans="1:4" ht="14.4">
      <c r="A109" s="33" t="s">
        <v>2385</v>
      </c>
      <c r="B109" s="33" t="s">
        <v>607</v>
      </c>
      <c r="C109" s="33" t="s">
        <v>342</v>
      </c>
    </row>
    <row r="110" spans="1:4" ht="14.4">
      <c r="A110" s="33" t="s">
        <v>2386</v>
      </c>
      <c r="B110" s="33" t="s">
        <v>608</v>
      </c>
      <c r="C110" s="33" t="s">
        <v>339</v>
      </c>
    </row>
    <row r="111" spans="1:4" ht="14.4">
      <c r="A111" s="33" t="s">
        <v>2387</v>
      </c>
      <c r="B111" s="33" t="s">
        <v>608</v>
      </c>
      <c r="C111" s="33" t="s">
        <v>340</v>
      </c>
    </row>
    <row r="112" spans="1:4" ht="14.4">
      <c r="A112" s="33" t="s">
        <v>2388</v>
      </c>
      <c r="B112" s="33" t="s">
        <v>608</v>
      </c>
      <c r="C112" s="33" t="s">
        <v>341</v>
      </c>
    </row>
    <row r="113" spans="1:3" ht="14.4">
      <c r="A113" s="33" t="s">
        <v>2389</v>
      </c>
      <c r="B113" s="33" t="s">
        <v>608</v>
      </c>
      <c r="C113" s="33" t="s">
        <v>342</v>
      </c>
    </row>
    <row r="114" spans="1:3" ht="14.4">
      <c r="A114" s="33" t="s">
        <v>2390</v>
      </c>
      <c r="B114" s="33" t="s">
        <v>605</v>
      </c>
      <c r="C114" s="33" t="s">
        <v>331</v>
      </c>
    </row>
    <row r="115" spans="1:3" ht="14.4">
      <c r="A115" s="33" t="s">
        <v>2391</v>
      </c>
      <c r="B115" s="33" t="s">
        <v>605</v>
      </c>
      <c r="C115" s="33" t="s">
        <v>332</v>
      </c>
    </row>
    <row r="116" spans="1:3" ht="14.4">
      <c r="A116" s="33" t="s">
        <v>2392</v>
      </c>
      <c r="B116" s="33" t="s">
        <v>605</v>
      </c>
      <c r="C116" s="33" t="s">
        <v>333</v>
      </c>
    </row>
    <row r="117" spans="1:3" ht="14.4">
      <c r="A117" s="33" t="s">
        <v>2393</v>
      </c>
      <c r="B117" s="33" t="s">
        <v>605</v>
      </c>
      <c r="C117" s="33" t="s">
        <v>334</v>
      </c>
    </row>
    <row r="118" spans="1:3" ht="14.4">
      <c r="A118" s="33" t="s">
        <v>2394</v>
      </c>
      <c r="B118" s="33" t="s">
        <v>606</v>
      </c>
      <c r="C118" s="33" t="s">
        <v>331</v>
      </c>
    </row>
    <row r="119" spans="1:3" ht="14.4">
      <c r="A119" s="33" t="s">
        <v>2395</v>
      </c>
      <c r="B119" s="33" t="s">
        <v>606</v>
      </c>
      <c r="C119" s="33" t="s">
        <v>332</v>
      </c>
    </row>
    <row r="120" spans="1:3" ht="14.4">
      <c r="A120" s="33" t="s">
        <v>2396</v>
      </c>
      <c r="B120" s="33" t="s">
        <v>606</v>
      </c>
      <c r="C120" s="33" t="s">
        <v>333</v>
      </c>
    </row>
    <row r="121" spans="1:3" ht="14.4">
      <c r="A121" s="33" t="s">
        <v>2397</v>
      </c>
      <c r="B121" s="33" t="s">
        <v>606</v>
      </c>
      <c r="C121" s="33" t="s">
        <v>334</v>
      </c>
    </row>
    <row r="122" spans="1:3" ht="14.4">
      <c r="A122" s="33" t="s">
        <v>2398</v>
      </c>
      <c r="B122" s="33" t="s">
        <v>607</v>
      </c>
      <c r="C122" s="33" t="s">
        <v>331</v>
      </c>
    </row>
    <row r="123" spans="1:3" ht="14.4">
      <c r="A123" s="33" t="s">
        <v>2399</v>
      </c>
      <c r="B123" s="33" t="s">
        <v>607</v>
      </c>
      <c r="C123" s="33" t="s">
        <v>332</v>
      </c>
    </row>
    <row r="124" spans="1:3" ht="14.4">
      <c r="A124" s="33" t="s">
        <v>2400</v>
      </c>
      <c r="B124" s="33" t="s">
        <v>607</v>
      </c>
      <c r="C124" s="33" t="s">
        <v>333</v>
      </c>
    </row>
    <row r="125" spans="1:3" ht="14.4">
      <c r="A125" s="33" t="s">
        <v>2401</v>
      </c>
      <c r="B125" s="33" t="s">
        <v>607</v>
      </c>
      <c r="C125" s="33" t="s">
        <v>334</v>
      </c>
    </row>
    <row r="126" spans="1:3" ht="14.4">
      <c r="A126" s="33" t="s">
        <v>2402</v>
      </c>
      <c r="B126" s="33" t="s">
        <v>608</v>
      </c>
      <c r="C126" s="33" t="s">
        <v>331</v>
      </c>
    </row>
    <row r="127" spans="1:3" ht="14.4">
      <c r="A127" s="33" t="s">
        <v>2403</v>
      </c>
      <c r="B127" s="33" t="s">
        <v>608</v>
      </c>
      <c r="C127" s="33" t="s">
        <v>332</v>
      </c>
    </row>
    <row r="128" spans="1:3" ht="14.4">
      <c r="A128" s="33" t="s">
        <v>2404</v>
      </c>
      <c r="B128" s="33" t="s">
        <v>608</v>
      </c>
      <c r="C128" s="33" t="s">
        <v>333</v>
      </c>
    </row>
    <row r="129" spans="1:3" ht="14.4">
      <c r="A129" s="33" t="s">
        <v>2405</v>
      </c>
      <c r="B129" s="33" t="s">
        <v>608</v>
      </c>
      <c r="C129" s="33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28.77734375" customWidth="1"/>
    <col min="2" max="2" width="7.33203125" customWidth="1"/>
    <col min="3" max="3" width="5.6640625" customWidth="1"/>
    <col min="4" max="5" width="6.44140625" customWidth="1"/>
    <col min="6" max="6" width="4.109375" customWidth="1"/>
    <col min="7" max="7" width="5.88671875" customWidth="1"/>
    <col min="8" max="8" width="6.21875" customWidth="1"/>
    <col min="9" max="9" width="5.33203125" customWidth="1"/>
    <col min="10" max="10" width="12.21875" customWidth="1"/>
    <col min="11" max="11" width="14.77734375" customWidth="1"/>
    <col min="12" max="12" width="29.21875" customWidth="1"/>
    <col min="13" max="13" width="4.6640625" hidden="1" customWidth="1"/>
    <col min="14" max="14" width="4.88671875" hidden="1" customWidth="1"/>
    <col min="15" max="15" width="7.21875" hidden="1" customWidth="1"/>
    <col min="16" max="16" width="12.6640625" hidden="1"/>
    <col min="18" max="18" width="19.109375" customWidth="1"/>
    <col min="19" max="19" width="12.6640625" customWidth="1"/>
    <col min="20" max="20" width="11" customWidth="1"/>
    <col min="21" max="21" width="12.88671875" customWidth="1"/>
    <col min="24" max="24" width="16.77734375" customWidth="1"/>
    <col min="25" max="25" width="19" hidden="1" customWidth="1"/>
    <col min="26" max="26" width="22.109375" hidden="1" customWidth="1"/>
    <col min="27" max="27" width="25.77734375" customWidth="1"/>
  </cols>
  <sheetData>
    <row r="1" spans="1:27">
      <c r="A1" s="17" t="s">
        <v>2406</v>
      </c>
      <c r="B1" s="194" t="s">
        <v>25</v>
      </c>
      <c r="C1" s="195" t="s">
        <v>2407</v>
      </c>
      <c r="D1" s="17" t="s">
        <v>26</v>
      </c>
      <c r="E1" s="195" t="s">
        <v>2408</v>
      </c>
      <c r="F1" s="17" t="s">
        <v>27</v>
      </c>
      <c r="G1" s="195" t="s">
        <v>2409</v>
      </c>
      <c r="H1" s="17" t="s">
        <v>28</v>
      </c>
      <c r="I1" s="195" t="s">
        <v>2410</v>
      </c>
      <c r="J1" s="17" t="s">
        <v>2411</v>
      </c>
      <c r="K1" s="17" t="s">
        <v>2412</v>
      </c>
      <c r="L1" s="17" t="s">
        <v>2413</v>
      </c>
      <c r="Q1" s="17" t="s">
        <v>2414</v>
      </c>
      <c r="R1" s="17" t="s">
        <v>2415</v>
      </c>
      <c r="S1" s="17" t="s">
        <v>2416</v>
      </c>
      <c r="T1" s="17" t="s">
        <v>2417</v>
      </c>
      <c r="U1" s="17" t="s">
        <v>2418</v>
      </c>
      <c r="V1" s="17" t="s">
        <v>2419</v>
      </c>
      <c r="W1" s="17" t="s">
        <v>2420</v>
      </c>
      <c r="X1" s="17" t="s">
        <v>2421</v>
      </c>
      <c r="Y1" s="17" t="s">
        <v>2422</v>
      </c>
      <c r="Z1" s="17" t="s">
        <v>2423</v>
      </c>
      <c r="AA1" s="17" t="s">
        <v>2424</v>
      </c>
    </row>
    <row r="2" spans="1:27" ht="15.75" customHeight="1">
      <c r="A2" s="196" t="s">
        <v>36</v>
      </c>
      <c r="B2" s="197">
        <v>19</v>
      </c>
      <c r="C2" s="198">
        <v>67</v>
      </c>
      <c r="D2" s="197">
        <v>51</v>
      </c>
      <c r="E2" s="198">
        <v>40</v>
      </c>
      <c r="F2" s="197">
        <v>56</v>
      </c>
      <c r="G2" s="198">
        <v>13</v>
      </c>
      <c r="H2" s="197">
        <v>54</v>
      </c>
      <c r="I2" s="198">
        <v>0</v>
      </c>
      <c r="J2" s="199">
        <v>46162</v>
      </c>
      <c r="K2" s="17" t="s">
        <v>2425</v>
      </c>
      <c r="L2" s="17" t="s">
        <v>2426</v>
      </c>
      <c r="Q2" s="200">
        <v>46280</v>
      </c>
      <c r="R2" s="201" t="s">
        <v>36</v>
      </c>
      <c r="S2" s="17">
        <v>3</v>
      </c>
      <c r="T2" s="17">
        <v>2</v>
      </c>
      <c r="U2" s="202" t="b">
        <v>1</v>
      </c>
      <c r="V2" s="17" t="s">
        <v>2427</v>
      </c>
      <c r="W2" s="17" t="b">
        <v>0</v>
      </c>
      <c r="X2" s="17" t="b">
        <v>0</v>
      </c>
      <c r="Y2" s="203">
        <v>46279.692511574074</v>
      </c>
      <c r="Z2" s="203">
        <v>46287.601666666669</v>
      </c>
      <c r="AA2" s="17" t="s">
        <v>2428</v>
      </c>
    </row>
    <row r="3" spans="1:27" ht="15.75" customHeight="1">
      <c r="A3" s="204" t="s">
        <v>47</v>
      </c>
      <c r="B3" s="197">
        <v>17</v>
      </c>
      <c r="C3" s="198">
        <v>28</v>
      </c>
      <c r="D3" s="197">
        <v>19</v>
      </c>
      <c r="E3" s="198">
        <v>36</v>
      </c>
      <c r="F3" s="197">
        <v>15</v>
      </c>
      <c r="G3" s="198">
        <v>35</v>
      </c>
      <c r="H3" s="197">
        <v>18</v>
      </c>
      <c r="I3" s="198">
        <v>21</v>
      </c>
      <c r="J3" s="199">
        <v>46161</v>
      </c>
      <c r="K3" s="17" t="s">
        <v>2425</v>
      </c>
      <c r="L3" s="17" t="s">
        <v>2426</v>
      </c>
      <c r="Q3" s="200">
        <v>46281</v>
      </c>
      <c r="R3" s="201" t="s">
        <v>47</v>
      </c>
      <c r="S3" s="17">
        <v>5</v>
      </c>
      <c r="T3" s="17">
        <v>2</v>
      </c>
      <c r="U3" s="202" t="b">
        <v>1</v>
      </c>
      <c r="V3" s="17" t="s">
        <v>2429</v>
      </c>
      <c r="W3" s="17" t="b">
        <v>0</v>
      </c>
      <c r="X3" s="17" t="b">
        <v>0</v>
      </c>
      <c r="Y3" s="203">
        <v>46279.692511574074</v>
      </c>
      <c r="Z3" s="203">
        <v>46287.601666666669</v>
      </c>
      <c r="AA3" s="17" t="s">
        <v>2430</v>
      </c>
    </row>
    <row r="4" spans="1:27" ht="15.75" customHeight="1">
      <c r="A4" s="205" t="s">
        <v>190</v>
      </c>
      <c r="B4" s="197">
        <v>23</v>
      </c>
      <c r="C4" s="198">
        <v>0</v>
      </c>
      <c r="D4" s="206">
        <v>12</v>
      </c>
      <c r="E4" s="198">
        <v>0</v>
      </c>
      <c r="F4" s="197">
        <v>25</v>
      </c>
      <c r="G4" s="198">
        <v>0</v>
      </c>
      <c r="H4" s="197">
        <v>32</v>
      </c>
      <c r="I4" s="198">
        <v>0</v>
      </c>
      <c r="J4" s="199">
        <v>46104</v>
      </c>
      <c r="K4" s="17" t="s">
        <v>2425</v>
      </c>
      <c r="L4" s="17" t="s">
        <v>2426</v>
      </c>
      <c r="Q4" s="200">
        <v>46282</v>
      </c>
      <c r="R4" s="201" t="s">
        <v>296</v>
      </c>
      <c r="S4" s="17">
        <v>3</v>
      </c>
      <c r="T4" s="17">
        <v>5</v>
      </c>
      <c r="U4" s="202" t="b">
        <v>1</v>
      </c>
      <c r="V4" s="17" t="s">
        <v>2431</v>
      </c>
      <c r="W4" s="17" t="b">
        <v>0</v>
      </c>
      <c r="X4" s="17" t="b">
        <v>0</v>
      </c>
      <c r="Y4" s="203">
        <v>46279.692511574074</v>
      </c>
      <c r="Z4" s="203">
        <v>46287.601666666669</v>
      </c>
      <c r="AA4" s="17" t="s">
        <v>2432</v>
      </c>
    </row>
    <row r="5" spans="1:27" ht="15.75" customHeight="1">
      <c r="A5" s="207" t="s">
        <v>296</v>
      </c>
      <c r="B5" s="197">
        <v>0</v>
      </c>
      <c r="C5" s="198">
        <v>125</v>
      </c>
      <c r="D5" s="197">
        <v>27</v>
      </c>
      <c r="E5" s="198">
        <v>75</v>
      </c>
      <c r="F5" s="197">
        <v>39</v>
      </c>
      <c r="G5" s="198">
        <v>25</v>
      </c>
      <c r="H5" s="197">
        <v>10</v>
      </c>
      <c r="I5" s="198">
        <v>75</v>
      </c>
      <c r="J5" s="199">
        <v>46149</v>
      </c>
      <c r="K5" s="17" t="s">
        <v>2425</v>
      </c>
      <c r="L5" s="17" t="s">
        <v>2426</v>
      </c>
      <c r="R5" s="201" t="s">
        <v>47</v>
      </c>
      <c r="S5" s="17">
        <v>1</v>
      </c>
      <c r="U5" s="17" t="b">
        <v>0</v>
      </c>
      <c r="W5" s="17" t="b">
        <v>0</v>
      </c>
      <c r="X5" s="17" t="b">
        <v>0</v>
      </c>
      <c r="Y5" s="203">
        <v>46287.557187500002</v>
      </c>
      <c r="Z5" s="203">
        <v>46287.601666666669</v>
      </c>
    </row>
    <row r="6" spans="1:27" ht="15.75" customHeight="1">
      <c r="A6" s="208" t="s">
        <v>376</v>
      </c>
      <c r="B6" s="206">
        <v>4</v>
      </c>
      <c r="C6" s="198">
        <v>0</v>
      </c>
      <c r="D6" s="209">
        <v>0</v>
      </c>
      <c r="E6" s="198">
        <v>0</v>
      </c>
      <c r="F6" s="209">
        <v>3</v>
      </c>
      <c r="G6" s="198">
        <v>0</v>
      </c>
      <c r="H6" s="197">
        <v>20</v>
      </c>
      <c r="I6" s="198">
        <v>0</v>
      </c>
      <c r="J6" s="199">
        <v>46104</v>
      </c>
      <c r="K6" s="17" t="s">
        <v>2425</v>
      </c>
      <c r="L6" s="17" t="s">
        <v>2433</v>
      </c>
      <c r="R6" s="201" t="s">
        <v>637</v>
      </c>
      <c r="S6" s="17">
        <v>3</v>
      </c>
      <c r="U6" s="17" t="b">
        <v>0</v>
      </c>
      <c r="W6" s="17" t="b">
        <v>0</v>
      </c>
      <c r="X6" s="17" t="b">
        <v>0</v>
      </c>
      <c r="Y6" s="203">
        <v>46287.557187500002</v>
      </c>
      <c r="Z6" s="203">
        <v>46287.601666666669</v>
      </c>
    </row>
    <row r="7" spans="1:27" ht="15.75" customHeight="1">
      <c r="A7" s="210" t="s">
        <v>397</v>
      </c>
      <c r="B7" s="197">
        <v>53</v>
      </c>
      <c r="C7" s="198">
        <v>0</v>
      </c>
      <c r="D7" s="197">
        <v>68</v>
      </c>
      <c r="E7" s="198">
        <v>0</v>
      </c>
      <c r="F7" s="197">
        <v>45</v>
      </c>
      <c r="G7" s="198">
        <v>0</v>
      </c>
      <c r="H7" s="197">
        <v>52</v>
      </c>
      <c r="I7" s="198">
        <v>0</v>
      </c>
      <c r="J7" s="199">
        <v>46146</v>
      </c>
      <c r="K7" s="17" t="s">
        <v>2425</v>
      </c>
      <c r="L7" s="17" t="s">
        <v>2426</v>
      </c>
      <c r="R7" s="201" t="s">
        <v>60</v>
      </c>
      <c r="S7" s="17">
        <v>3</v>
      </c>
      <c r="U7" s="17" t="b">
        <v>0</v>
      </c>
      <c r="W7" s="17" t="b">
        <v>0</v>
      </c>
      <c r="X7" s="17" t="b">
        <v>0</v>
      </c>
      <c r="Y7" s="203">
        <v>46287.557187500002</v>
      </c>
      <c r="Z7" s="203">
        <v>46287.601666666669</v>
      </c>
    </row>
    <row r="8" spans="1:27" ht="15.75" customHeight="1">
      <c r="A8" s="211" t="s">
        <v>319</v>
      </c>
      <c r="B8" s="197">
        <v>42</v>
      </c>
      <c r="C8" s="198">
        <v>0</v>
      </c>
      <c r="D8" s="197">
        <v>71</v>
      </c>
      <c r="E8" s="198">
        <v>0</v>
      </c>
      <c r="F8" s="197">
        <v>46</v>
      </c>
      <c r="G8" s="198">
        <v>0</v>
      </c>
      <c r="H8" s="197">
        <v>33</v>
      </c>
      <c r="I8" s="198">
        <v>0</v>
      </c>
      <c r="J8" s="199">
        <v>46108</v>
      </c>
      <c r="K8" s="17" t="s">
        <v>2425</v>
      </c>
      <c r="L8" s="17" t="s">
        <v>2426</v>
      </c>
      <c r="R8" s="201" t="s">
        <v>1542</v>
      </c>
      <c r="S8" s="17">
        <v>3</v>
      </c>
      <c r="U8" s="17" t="b">
        <v>0</v>
      </c>
      <c r="W8" s="17" t="b">
        <v>0</v>
      </c>
      <c r="X8" s="17" t="b">
        <v>0</v>
      </c>
      <c r="Y8" s="203">
        <v>46287.557187500002</v>
      </c>
      <c r="Z8" s="203">
        <v>46287.601666666669</v>
      </c>
    </row>
    <row r="9" spans="1:27" ht="15.75" customHeight="1">
      <c r="A9" s="212" t="s">
        <v>637</v>
      </c>
      <c r="B9" s="206">
        <v>7</v>
      </c>
      <c r="C9" s="198">
        <v>0</v>
      </c>
      <c r="D9" s="209">
        <v>2</v>
      </c>
      <c r="E9" s="198">
        <v>0</v>
      </c>
      <c r="F9" s="206">
        <v>6</v>
      </c>
      <c r="G9" s="198">
        <v>0</v>
      </c>
      <c r="H9" s="197">
        <v>21</v>
      </c>
      <c r="I9" s="198">
        <v>0</v>
      </c>
      <c r="J9" s="199">
        <v>46183</v>
      </c>
      <c r="K9" s="17" t="s">
        <v>2425</v>
      </c>
      <c r="L9" s="17" t="s">
        <v>2426</v>
      </c>
      <c r="R9" s="213"/>
      <c r="Y9" s="203"/>
      <c r="Z9" s="203"/>
    </row>
    <row r="10" spans="1:27" ht="15.75" customHeight="1">
      <c r="A10" s="214" t="s">
        <v>330</v>
      </c>
      <c r="B10" s="197">
        <v>12</v>
      </c>
      <c r="C10" s="198">
        <v>0</v>
      </c>
      <c r="D10" s="197">
        <v>19</v>
      </c>
      <c r="E10" s="198">
        <v>0</v>
      </c>
      <c r="F10" s="197">
        <v>17</v>
      </c>
      <c r="G10" s="198">
        <v>0</v>
      </c>
      <c r="H10" s="197">
        <v>17</v>
      </c>
      <c r="I10" s="198">
        <v>0</v>
      </c>
      <c r="J10" s="199">
        <v>46183</v>
      </c>
      <c r="K10" s="17" t="s">
        <v>2425</v>
      </c>
      <c r="L10" s="17" t="s">
        <v>2426</v>
      </c>
      <c r="R10" s="213"/>
      <c r="Y10" s="203"/>
      <c r="Z10" s="203"/>
    </row>
    <row r="11" spans="1:27" ht="15.75" customHeight="1">
      <c r="A11" s="215" t="s">
        <v>985</v>
      </c>
      <c r="B11" s="197">
        <v>78</v>
      </c>
      <c r="C11" s="198">
        <v>0</v>
      </c>
      <c r="D11" s="197">
        <v>77</v>
      </c>
      <c r="E11" s="198">
        <v>0</v>
      </c>
      <c r="F11" s="197">
        <v>66</v>
      </c>
      <c r="G11" s="198">
        <v>0</v>
      </c>
      <c r="H11" s="197">
        <v>63</v>
      </c>
      <c r="I11" s="198">
        <v>0</v>
      </c>
      <c r="J11" s="199">
        <v>46183</v>
      </c>
      <c r="K11" s="17" t="s">
        <v>2425</v>
      </c>
      <c r="L11" s="17" t="s">
        <v>2426</v>
      </c>
      <c r="R11" s="213"/>
      <c r="Y11" s="203"/>
      <c r="Z11" s="203"/>
    </row>
    <row r="12" spans="1:27" ht="15.75" customHeight="1">
      <c r="A12" s="216" t="s">
        <v>790</v>
      </c>
      <c r="B12" s="197">
        <v>19</v>
      </c>
      <c r="C12" s="198">
        <v>0</v>
      </c>
      <c r="D12" s="197">
        <v>19</v>
      </c>
      <c r="E12" s="198">
        <v>0</v>
      </c>
      <c r="F12" s="197">
        <v>20</v>
      </c>
      <c r="G12" s="198">
        <v>0</v>
      </c>
      <c r="H12" s="197">
        <v>15</v>
      </c>
      <c r="I12" s="198">
        <v>0</v>
      </c>
      <c r="J12" s="199">
        <v>46104</v>
      </c>
      <c r="K12" s="17" t="s">
        <v>2425</v>
      </c>
      <c r="L12" s="17" t="s">
        <v>2426</v>
      </c>
      <c r="R12" s="213"/>
      <c r="Y12" s="203"/>
      <c r="Z12" s="203"/>
    </row>
    <row r="13" spans="1:27" ht="15.75" customHeight="1">
      <c r="A13" s="217" t="s">
        <v>60</v>
      </c>
      <c r="B13" s="206">
        <v>5</v>
      </c>
      <c r="C13" s="198">
        <v>0</v>
      </c>
      <c r="D13" s="206">
        <v>18</v>
      </c>
      <c r="E13" s="198">
        <v>0</v>
      </c>
      <c r="F13" s="209">
        <v>1</v>
      </c>
      <c r="G13" s="198">
        <v>0</v>
      </c>
      <c r="H13" s="197">
        <v>40</v>
      </c>
      <c r="I13" s="198">
        <v>0</v>
      </c>
      <c r="J13" s="199">
        <v>46183</v>
      </c>
      <c r="K13" s="17" t="s">
        <v>2425</v>
      </c>
      <c r="L13" s="17" t="s">
        <v>2426</v>
      </c>
      <c r="R13" s="213"/>
      <c r="U13" s="17"/>
      <c r="W13" s="17"/>
      <c r="Y13" s="203"/>
      <c r="Z13" s="203"/>
    </row>
    <row r="14" spans="1:27" ht="15.75" customHeight="1">
      <c r="A14" s="218" t="s">
        <v>73</v>
      </c>
      <c r="B14" s="206">
        <v>11</v>
      </c>
      <c r="C14" s="198">
        <v>0</v>
      </c>
      <c r="D14" s="206">
        <v>14</v>
      </c>
      <c r="E14" s="198">
        <v>0</v>
      </c>
      <c r="F14" s="206">
        <v>7</v>
      </c>
      <c r="G14" s="198">
        <v>0</v>
      </c>
      <c r="H14" s="206">
        <v>3</v>
      </c>
      <c r="I14" s="198">
        <v>0</v>
      </c>
      <c r="J14" s="199">
        <v>46183</v>
      </c>
      <c r="K14" s="17" t="s">
        <v>2425</v>
      </c>
      <c r="L14" s="17" t="s">
        <v>2426</v>
      </c>
    </row>
    <row r="15" spans="1:27" ht="15.75" customHeight="1">
      <c r="A15" s="219" t="s">
        <v>307</v>
      </c>
      <c r="B15" s="197">
        <v>19</v>
      </c>
      <c r="C15" s="198">
        <v>0</v>
      </c>
      <c r="D15" s="206">
        <v>4</v>
      </c>
      <c r="E15" s="198">
        <v>0</v>
      </c>
      <c r="F15" s="197">
        <v>25</v>
      </c>
      <c r="G15" s="198">
        <v>0</v>
      </c>
      <c r="H15" s="197">
        <v>34</v>
      </c>
      <c r="I15" s="198">
        <v>0</v>
      </c>
      <c r="J15" s="199">
        <v>46104</v>
      </c>
      <c r="K15" s="17" t="s">
        <v>2425</v>
      </c>
      <c r="L15" s="17" t="s">
        <v>2426</v>
      </c>
    </row>
    <row r="16" spans="1:27" ht="15.75" customHeight="1">
      <c r="A16" s="220" t="s">
        <v>1542</v>
      </c>
      <c r="B16" s="206">
        <v>8</v>
      </c>
      <c r="C16" s="198">
        <v>0</v>
      </c>
      <c r="D16" s="206">
        <v>14</v>
      </c>
      <c r="E16" s="198">
        <v>0</v>
      </c>
      <c r="F16" s="197">
        <v>13</v>
      </c>
      <c r="G16" s="198">
        <v>0</v>
      </c>
      <c r="H16" s="197">
        <v>10</v>
      </c>
      <c r="I16" s="198">
        <v>0</v>
      </c>
      <c r="J16" s="199">
        <v>46098</v>
      </c>
      <c r="K16" s="17" t="s">
        <v>2425</v>
      </c>
      <c r="L16" s="17" t="s">
        <v>2426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 spans="1:23" ht="15.75" customHeight="1">
      <c r="A17" s="221" t="s">
        <v>1553</v>
      </c>
      <c r="B17" s="197">
        <v>39</v>
      </c>
      <c r="C17" s="198">
        <v>0</v>
      </c>
      <c r="D17" s="197">
        <v>40</v>
      </c>
      <c r="E17" s="198">
        <v>0</v>
      </c>
      <c r="F17" s="197">
        <v>39</v>
      </c>
      <c r="G17" s="198">
        <v>0</v>
      </c>
      <c r="H17" s="197">
        <v>40</v>
      </c>
      <c r="I17" s="198">
        <v>0</v>
      </c>
      <c r="J17" s="199">
        <v>46143</v>
      </c>
      <c r="K17" s="17" t="s">
        <v>2425</v>
      </c>
      <c r="L17" s="17" t="s">
        <v>2426</v>
      </c>
    </row>
    <row r="18" spans="1:23" ht="15.75" customHeight="1">
      <c r="A18" s="222" t="s">
        <v>1522</v>
      </c>
      <c r="B18" s="197">
        <v>26</v>
      </c>
      <c r="C18" s="198">
        <v>0</v>
      </c>
      <c r="D18" s="197">
        <v>58</v>
      </c>
      <c r="E18" s="198">
        <v>0</v>
      </c>
      <c r="F18" s="197">
        <v>41</v>
      </c>
      <c r="G18" s="198">
        <v>0</v>
      </c>
      <c r="H18" s="197">
        <v>17</v>
      </c>
      <c r="I18" s="198">
        <v>0</v>
      </c>
      <c r="J18" s="199">
        <v>46119</v>
      </c>
      <c r="K18" s="17" t="s">
        <v>2425</v>
      </c>
      <c r="L18" s="17" t="s">
        <v>2426</v>
      </c>
    </row>
    <row r="19" spans="1:23" ht="15.75" customHeight="1">
      <c r="A19" s="223" t="s">
        <v>109</v>
      </c>
      <c r="B19" s="197">
        <v>25</v>
      </c>
      <c r="C19" s="198">
        <v>0</v>
      </c>
      <c r="D19" s="206">
        <v>4</v>
      </c>
      <c r="E19" s="198">
        <v>0</v>
      </c>
      <c r="F19" s="206">
        <v>11</v>
      </c>
      <c r="G19" s="198">
        <v>0</v>
      </c>
      <c r="H19" s="197">
        <v>12</v>
      </c>
      <c r="I19" s="198">
        <v>0</v>
      </c>
      <c r="J19" s="199">
        <v>46098</v>
      </c>
      <c r="K19" s="17" t="s">
        <v>2434</v>
      </c>
      <c r="L19" s="17" t="s">
        <v>2426</v>
      </c>
    </row>
    <row r="20" spans="1:23" ht="15.75" customHeight="1">
      <c r="A20" s="224" t="s">
        <v>214</v>
      </c>
      <c r="B20" s="206">
        <v>5</v>
      </c>
      <c r="C20" s="198">
        <v>0</v>
      </c>
      <c r="D20" s="206">
        <v>7</v>
      </c>
      <c r="E20" s="198">
        <v>0</v>
      </c>
      <c r="F20" s="197">
        <v>13</v>
      </c>
      <c r="G20" s="198">
        <v>0</v>
      </c>
      <c r="H20" s="206">
        <v>6</v>
      </c>
      <c r="I20" s="198">
        <v>0</v>
      </c>
      <c r="J20" s="199">
        <v>46098</v>
      </c>
      <c r="K20" s="17" t="s">
        <v>2434</v>
      </c>
      <c r="L20" s="17" t="s">
        <v>2426</v>
      </c>
    </row>
    <row r="21" spans="1:23" ht="15.75" customHeight="1">
      <c r="A21" s="225" t="s">
        <v>1449</v>
      </c>
      <c r="B21" s="206">
        <v>8</v>
      </c>
      <c r="C21" s="198">
        <v>0</v>
      </c>
      <c r="D21" s="206">
        <v>4</v>
      </c>
      <c r="E21" s="198">
        <v>0</v>
      </c>
      <c r="F21" s="209">
        <v>2</v>
      </c>
      <c r="G21" s="198">
        <v>0</v>
      </c>
      <c r="H21" s="197">
        <v>9</v>
      </c>
      <c r="I21" s="198">
        <v>0</v>
      </c>
      <c r="J21" s="199">
        <v>46098</v>
      </c>
      <c r="K21" s="17" t="s">
        <v>2434</v>
      </c>
      <c r="L21" s="17" t="s">
        <v>2426</v>
      </c>
    </row>
    <row r="22" spans="1:23" ht="15.75" customHeight="1">
      <c r="A22" s="222" t="s">
        <v>86</v>
      </c>
      <c r="B22" s="209">
        <v>-1</v>
      </c>
      <c r="C22" s="198">
        <v>0</v>
      </c>
      <c r="D22" s="209">
        <v>0</v>
      </c>
      <c r="E22" s="198">
        <v>0</v>
      </c>
      <c r="F22" s="209">
        <v>2</v>
      </c>
      <c r="G22" s="198">
        <v>0</v>
      </c>
      <c r="H22" s="209">
        <v>0</v>
      </c>
      <c r="I22" s="198">
        <v>0</v>
      </c>
      <c r="J22" s="199">
        <v>46142</v>
      </c>
      <c r="K22" s="17" t="s">
        <v>2434</v>
      </c>
      <c r="L22" s="17" t="s">
        <v>2433</v>
      </c>
    </row>
    <row r="23" spans="1:23" ht="15.75" customHeight="1">
      <c r="A23" s="223" t="s">
        <v>1518</v>
      </c>
      <c r="B23" s="206">
        <v>10</v>
      </c>
      <c r="C23" s="198">
        <v>0</v>
      </c>
      <c r="D23" s="206">
        <v>14</v>
      </c>
      <c r="E23" s="198">
        <v>0</v>
      </c>
      <c r="F23" s="197">
        <v>19</v>
      </c>
      <c r="G23" s="198">
        <v>0</v>
      </c>
      <c r="H23" s="209">
        <v>2</v>
      </c>
      <c r="I23" s="198">
        <v>0</v>
      </c>
      <c r="J23" s="199">
        <v>46098</v>
      </c>
      <c r="K23" s="17" t="s">
        <v>2435</v>
      </c>
      <c r="L23" s="17" t="s">
        <v>2426</v>
      </c>
    </row>
    <row r="24" spans="1:23" ht="15.75" customHeight="1">
      <c r="A24" s="196" t="s">
        <v>1779</v>
      </c>
      <c r="B24" s="197">
        <v>22</v>
      </c>
      <c r="C24" s="198">
        <v>0</v>
      </c>
      <c r="D24" s="197">
        <v>39</v>
      </c>
      <c r="E24" s="198">
        <v>0</v>
      </c>
      <c r="F24" s="197">
        <v>38</v>
      </c>
      <c r="G24" s="198">
        <v>0</v>
      </c>
      <c r="H24" s="197">
        <v>34</v>
      </c>
      <c r="I24" s="198">
        <v>0</v>
      </c>
      <c r="J24" s="199">
        <v>46109</v>
      </c>
      <c r="K24" s="17" t="s">
        <v>2436</v>
      </c>
      <c r="L24" s="17" t="s">
        <v>2426</v>
      </c>
    </row>
    <row r="25" spans="1:23" ht="15.75" customHeight="1">
      <c r="A25" s="196" t="s">
        <v>888</v>
      </c>
      <c r="B25" s="197">
        <v>14</v>
      </c>
      <c r="C25" s="198">
        <v>0</v>
      </c>
      <c r="D25" s="197">
        <v>21</v>
      </c>
      <c r="E25" s="198">
        <v>0</v>
      </c>
      <c r="F25" s="197">
        <v>24</v>
      </c>
      <c r="G25" s="198">
        <v>0</v>
      </c>
      <c r="H25" s="197">
        <v>14</v>
      </c>
      <c r="I25" s="198">
        <v>0</v>
      </c>
      <c r="J25" s="199">
        <v>46098</v>
      </c>
      <c r="K25" s="17" t="s">
        <v>2437</v>
      </c>
      <c r="L25" s="17" t="s">
        <v>2426</v>
      </c>
      <c r="T25" s="226"/>
      <c r="U25" s="226"/>
      <c r="V25" s="226"/>
      <c r="W25" s="226"/>
    </row>
    <row r="26" spans="1:23" ht="15.75" customHeight="1">
      <c r="A26" s="227" t="s">
        <v>873</v>
      </c>
      <c r="B26" s="209">
        <v>1</v>
      </c>
      <c r="C26" s="198">
        <v>0</v>
      </c>
      <c r="D26" s="209">
        <v>2</v>
      </c>
      <c r="E26" s="198">
        <v>0</v>
      </c>
      <c r="F26" s="209">
        <v>0</v>
      </c>
      <c r="G26" s="198">
        <v>0</v>
      </c>
      <c r="H26" s="206">
        <v>4</v>
      </c>
      <c r="I26" s="198">
        <v>0</v>
      </c>
      <c r="J26" s="199">
        <v>46098</v>
      </c>
      <c r="K26" s="17" t="s">
        <v>2437</v>
      </c>
      <c r="L26" s="17" t="s">
        <v>2433</v>
      </c>
    </row>
    <row r="27" spans="1:23" ht="15.75" customHeight="1">
      <c r="A27" s="228" t="s">
        <v>859</v>
      </c>
      <c r="B27" s="197">
        <v>11</v>
      </c>
      <c r="C27" s="198">
        <v>0</v>
      </c>
      <c r="D27" s="197">
        <v>14</v>
      </c>
      <c r="E27" s="198">
        <v>0</v>
      </c>
      <c r="F27" s="197">
        <v>16</v>
      </c>
      <c r="G27" s="198">
        <v>0</v>
      </c>
      <c r="H27" s="197">
        <v>8</v>
      </c>
      <c r="I27" s="198">
        <v>0</v>
      </c>
      <c r="J27" s="199">
        <v>46098</v>
      </c>
      <c r="K27" s="17" t="s">
        <v>2437</v>
      </c>
      <c r="L27" s="17" t="s">
        <v>2426</v>
      </c>
      <c r="T27" s="229"/>
      <c r="U27" s="229"/>
      <c r="V27" s="229"/>
      <c r="W27" s="229"/>
    </row>
    <row r="28" spans="1:23" ht="16.8">
      <c r="A28" s="196" t="s">
        <v>1190</v>
      </c>
      <c r="B28" s="197">
        <v>4</v>
      </c>
      <c r="C28" s="198">
        <v>0</v>
      </c>
      <c r="D28" s="197">
        <v>6</v>
      </c>
      <c r="E28" s="198">
        <v>0</v>
      </c>
      <c r="F28" s="209">
        <v>2</v>
      </c>
      <c r="G28" s="198">
        <v>0</v>
      </c>
      <c r="H28" s="209">
        <v>0</v>
      </c>
      <c r="I28" s="198">
        <v>0</v>
      </c>
      <c r="J28" s="199">
        <v>46098</v>
      </c>
      <c r="K28" s="17" t="s">
        <v>2438</v>
      </c>
      <c r="L28" s="17" t="s">
        <v>2433</v>
      </c>
    </row>
    <row r="29" spans="1:23" ht="16.8">
      <c r="A29" s="230" t="s">
        <v>1182</v>
      </c>
      <c r="B29" s="209">
        <v>0</v>
      </c>
      <c r="C29" s="198">
        <v>0</v>
      </c>
      <c r="D29" s="209">
        <v>0</v>
      </c>
      <c r="E29" s="198">
        <v>0</v>
      </c>
      <c r="F29" s="209">
        <v>2</v>
      </c>
      <c r="G29" s="198">
        <v>0</v>
      </c>
      <c r="H29" s="209">
        <v>0</v>
      </c>
      <c r="I29" s="198">
        <v>0</v>
      </c>
      <c r="J29" s="199">
        <v>46098</v>
      </c>
      <c r="K29" s="17" t="s">
        <v>2438</v>
      </c>
      <c r="L29" s="17" t="s">
        <v>2433</v>
      </c>
    </row>
    <row r="30" spans="1:23" ht="16.8">
      <c r="A30" s="231" t="s">
        <v>1209</v>
      </c>
      <c r="B30" s="209">
        <v>1</v>
      </c>
      <c r="C30" s="198">
        <v>0</v>
      </c>
      <c r="D30" s="209">
        <v>1</v>
      </c>
      <c r="E30" s="198">
        <v>0</v>
      </c>
      <c r="F30" s="209">
        <v>0</v>
      </c>
      <c r="G30" s="198">
        <v>0</v>
      </c>
      <c r="H30" s="209">
        <v>0</v>
      </c>
      <c r="I30" s="198">
        <v>0</v>
      </c>
      <c r="J30" s="199">
        <v>46098</v>
      </c>
      <c r="K30" s="17" t="s">
        <v>2439</v>
      </c>
      <c r="L30" s="17" t="s">
        <v>2433</v>
      </c>
    </row>
    <row r="31" spans="1:23" ht="16.8">
      <c r="A31" s="232" t="s">
        <v>1222</v>
      </c>
      <c r="B31" s="209">
        <v>0</v>
      </c>
      <c r="C31" s="198">
        <v>0</v>
      </c>
      <c r="D31" s="209">
        <v>0</v>
      </c>
      <c r="E31" s="198">
        <v>0</v>
      </c>
      <c r="F31" s="209">
        <v>0</v>
      </c>
      <c r="G31" s="198">
        <v>0</v>
      </c>
      <c r="H31" s="209">
        <v>0</v>
      </c>
      <c r="I31" s="198">
        <v>0</v>
      </c>
      <c r="J31" s="199">
        <v>46098</v>
      </c>
      <c r="K31" s="17" t="s">
        <v>2439</v>
      </c>
      <c r="L31" s="17" t="s">
        <v>2433</v>
      </c>
    </row>
    <row r="32" spans="1:23" ht="16.8">
      <c r="A32" s="233" t="s">
        <v>1234</v>
      </c>
      <c r="B32" s="209">
        <v>0</v>
      </c>
      <c r="C32" s="198">
        <v>0</v>
      </c>
      <c r="D32" s="209">
        <v>0</v>
      </c>
      <c r="E32" s="198">
        <v>0</v>
      </c>
      <c r="F32" s="209">
        <v>1</v>
      </c>
      <c r="G32" s="198">
        <v>0</v>
      </c>
      <c r="H32" s="209">
        <v>0</v>
      </c>
      <c r="I32" s="198">
        <v>0</v>
      </c>
      <c r="J32" s="199">
        <v>46098</v>
      </c>
      <c r="K32" s="17" t="s">
        <v>2440</v>
      </c>
      <c r="L32" s="17" t="s">
        <v>2433</v>
      </c>
    </row>
    <row r="33" spans="1:12" ht="16.8">
      <c r="A33" s="234" t="s">
        <v>1247</v>
      </c>
      <c r="B33" s="197">
        <v>11</v>
      </c>
      <c r="C33" s="198">
        <v>0</v>
      </c>
      <c r="D33" s="197">
        <v>3</v>
      </c>
      <c r="E33" s="198">
        <v>0</v>
      </c>
      <c r="F33" s="209">
        <v>1</v>
      </c>
      <c r="G33" s="198">
        <v>0</v>
      </c>
      <c r="H33" s="209">
        <v>0</v>
      </c>
      <c r="I33" s="198">
        <v>0</v>
      </c>
      <c r="J33" s="199">
        <v>46098</v>
      </c>
      <c r="K33" s="17" t="s">
        <v>2440</v>
      </c>
      <c r="L33" s="17" t="s">
        <v>2433</v>
      </c>
    </row>
    <row r="34" spans="1:12" ht="16.8">
      <c r="A34" s="235" t="s">
        <v>1260</v>
      </c>
      <c r="B34" s="197">
        <v>2</v>
      </c>
      <c r="C34" s="198">
        <v>0</v>
      </c>
      <c r="D34" s="209">
        <v>0</v>
      </c>
      <c r="E34" s="198">
        <v>0</v>
      </c>
      <c r="F34" s="209">
        <v>0</v>
      </c>
      <c r="G34" s="198">
        <v>0</v>
      </c>
      <c r="H34" s="209">
        <v>0</v>
      </c>
      <c r="I34" s="198">
        <v>0</v>
      </c>
      <c r="J34" s="199">
        <v>46098</v>
      </c>
      <c r="K34" s="17" t="s">
        <v>2439</v>
      </c>
      <c r="L34" s="17" t="s">
        <v>2433</v>
      </c>
    </row>
    <row r="35" spans="1:12" ht="16.8">
      <c r="A35" s="236" t="s">
        <v>1267</v>
      </c>
      <c r="B35" s="209">
        <v>1</v>
      </c>
      <c r="C35" s="198">
        <v>0</v>
      </c>
      <c r="D35" s="209">
        <v>0</v>
      </c>
      <c r="E35" s="198">
        <v>0</v>
      </c>
      <c r="F35" s="209">
        <v>0</v>
      </c>
      <c r="G35" s="198">
        <v>0</v>
      </c>
      <c r="H35" s="209">
        <v>0</v>
      </c>
      <c r="I35" s="198">
        <v>0</v>
      </c>
      <c r="J35" s="199">
        <v>46098</v>
      </c>
      <c r="K35" s="17" t="s">
        <v>2439</v>
      </c>
      <c r="L35" s="17" t="s">
        <v>2433</v>
      </c>
    </row>
    <row r="36" spans="1:12" ht="16.8">
      <c r="A36" s="196" t="s">
        <v>1275</v>
      </c>
      <c r="B36" s="197">
        <v>4</v>
      </c>
      <c r="C36" s="198">
        <v>0</v>
      </c>
      <c r="D36" s="209">
        <v>0</v>
      </c>
      <c r="E36" s="198">
        <v>0</v>
      </c>
      <c r="F36" s="209">
        <v>1</v>
      </c>
      <c r="G36" s="198">
        <v>0</v>
      </c>
      <c r="H36" s="197">
        <v>3</v>
      </c>
      <c r="I36" s="198">
        <v>0</v>
      </c>
      <c r="J36" s="199">
        <v>46098</v>
      </c>
      <c r="K36" s="17" t="s">
        <v>2439</v>
      </c>
      <c r="L36" s="17" t="s">
        <v>2433</v>
      </c>
    </row>
    <row r="37" spans="1:12" ht="17.399999999999999">
      <c r="A37" s="237" t="s">
        <v>1493</v>
      </c>
      <c r="B37" s="197">
        <v>3</v>
      </c>
      <c r="C37" s="198">
        <v>0</v>
      </c>
      <c r="D37" s="197">
        <v>3</v>
      </c>
      <c r="E37" s="198">
        <v>0</v>
      </c>
      <c r="F37" s="197">
        <v>4</v>
      </c>
      <c r="G37" s="198">
        <v>0</v>
      </c>
      <c r="H37" s="197">
        <v>6</v>
      </c>
      <c r="I37" s="198">
        <v>0</v>
      </c>
      <c r="J37" s="199">
        <v>46098</v>
      </c>
      <c r="K37" s="17" t="s">
        <v>2441</v>
      </c>
      <c r="L37" s="17" t="s">
        <v>2426</v>
      </c>
    </row>
    <row r="38" spans="1:12" ht="16.8">
      <c r="A38" s="223" t="s">
        <v>830</v>
      </c>
      <c r="B38" s="197">
        <v>6</v>
      </c>
      <c r="C38" s="198">
        <v>0</v>
      </c>
      <c r="D38" s="197">
        <v>4</v>
      </c>
      <c r="E38" s="198">
        <v>0</v>
      </c>
      <c r="F38" s="197">
        <v>7</v>
      </c>
      <c r="G38" s="198">
        <v>0</v>
      </c>
      <c r="H38" s="197">
        <v>8</v>
      </c>
      <c r="I38" s="198">
        <v>0</v>
      </c>
      <c r="J38" s="199">
        <v>46098</v>
      </c>
      <c r="K38" s="17" t="s">
        <v>2441</v>
      </c>
      <c r="L38" s="17" t="s">
        <v>2426</v>
      </c>
    </row>
    <row r="39" spans="1:12" ht="16.8">
      <c r="A39" s="238" t="s">
        <v>1504</v>
      </c>
      <c r="B39" s="197">
        <v>9</v>
      </c>
      <c r="C39" s="198">
        <v>0</v>
      </c>
      <c r="D39" s="197">
        <v>5</v>
      </c>
      <c r="E39" s="198">
        <v>0</v>
      </c>
      <c r="F39" s="209">
        <v>0</v>
      </c>
      <c r="G39" s="198">
        <v>0</v>
      </c>
      <c r="H39" s="197">
        <v>7</v>
      </c>
      <c r="I39" s="198">
        <v>0</v>
      </c>
      <c r="J39" s="199">
        <v>46115</v>
      </c>
      <c r="K39" s="17" t="s">
        <v>2439</v>
      </c>
      <c r="L39" s="17" t="s">
        <v>2426</v>
      </c>
    </row>
    <row r="40" spans="1:12" ht="16.8">
      <c r="A40" s="239" t="s">
        <v>1676</v>
      </c>
      <c r="B40" s="197">
        <v>16</v>
      </c>
      <c r="C40" s="198">
        <v>0</v>
      </c>
      <c r="D40" s="197">
        <v>18</v>
      </c>
      <c r="E40" s="198">
        <v>0</v>
      </c>
      <c r="F40" s="197">
        <v>23</v>
      </c>
      <c r="G40" s="198">
        <v>0</v>
      </c>
      <c r="H40" s="197">
        <v>16</v>
      </c>
      <c r="I40" s="198">
        <v>0</v>
      </c>
      <c r="J40" s="240">
        <v>46227</v>
      </c>
      <c r="K40" s="194" t="s">
        <v>2439</v>
      </c>
      <c r="L40" s="17" t="s">
        <v>2426</v>
      </c>
    </row>
    <row r="41" spans="1:12" ht="16.8">
      <c r="A41" s="239" t="s">
        <v>2064</v>
      </c>
      <c r="B41" s="197">
        <v>13</v>
      </c>
      <c r="C41" s="198">
        <v>0</v>
      </c>
      <c r="D41" s="197">
        <v>18</v>
      </c>
      <c r="E41" s="198">
        <v>0</v>
      </c>
      <c r="F41" s="197">
        <v>20</v>
      </c>
      <c r="G41" s="198">
        <v>0</v>
      </c>
      <c r="H41" s="197">
        <v>14</v>
      </c>
      <c r="I41" s="198">
        <v>0</v>
      </c>
      <c r="J41" s="240">
        <v>46228</v>
      </c>
      <c r="K41" s="194" t="s">
        <v>2439</v>
      </c>
      <c r="L41" s="17" t="s">
        <v>2426</v>
      </c>
    </row>
    <row r="42" spans="1:12" ht="16.8">
      <c r="A42" s="234" t="s">
        <v>2070</v>
      </c>
      <c r="B42" s="209">
        <v>0</v>
      </c>
      <c r="C42" s="198">
        <v>0</v>
      </c>
      <c r="D42" s="209">
        <v>1</v>
      </c>
      <c r="E42" s="198">
        <v>0</v>
      </c>
      <c r="F42" s="209">
        <v>0</v>
      </c>
      <c r="G42" s="198">
        <v>0</v>
      </c>
      <c r="H42" s="209">
        <v>0</v>
      </c>
      <c r="I42" s="198">
        <v>0</v>
      </c>
      <c r="J42" s="240">
        <v>46229</v>
      </c>
      <c r="K42" s="194" t="s">
        <v>2439</v>
      </c>
      <c r="L42" s="17" t="s">
        <v>2433</v>
      </c>
    </row>
    <row r="43" spans="1:12" ht="16.8">
      <c r="A43" s="239" t="s">
        <v>1848</v>
      </c>
      <c r="B43" s="209">
        <v>0</v>
      </c>
      <c r="C43" s="198">
        <v>0</v>
      </c>
      <c r="D43" s="209">
        <v>0</v>
      </c>
      <c r="E43" s="198">
        <v>0</v>
      </c>
      <c r="F43" s="209">
        <v>0</v>
      </c>
      <c r="G43" s="198">
        <v>0</v>
      </c>
      <c r="H43" s="209">
        <v>0</v>
      </c>
      <c r="I43" s="198">
        <v>0</v>
      </c>
      <c r="J43" s="199">
        <v>46119</v>
      </c>
      <c r="K43" s="17" t="s">
        <v>2425</v>
      </c>
      <c r="L43" s="17" t="s">
        <v>2433</v>
      </c>
    </row>
    <row r="44" spans="1:12" ht="13.2">
      <c r="C44" s="195"/>
      <c r="E44" s="195"/>
      <c r="G44" s="195"/>
      <c r="I44" s="195"/>
      <c r="L44" s="194"/>
    </row>
    <row r="45" spans="1:12" ht="13.2">
      <c r="C45" s="195"/>
      <c r="E45" s="195"/>
      <c r="G45" s="195"/>
      <c r="I45" s="195"/>
      <c r="L45" s="194"/>
    </row>
    <row r="46" spans="1:12" ht="13.2">
      <c r="C46" s="195"/>
      <c r="E46" s="195"/>
      <c r="G46" s="195"/>
      <c r="I46" s="195"/>
      <c r="L46" s="194"/>
    </row>
    <row r="47" spans="1:12" ht="13.2">
      <c r="C47" s="195"/>
      <c r="E47" s="195"/>
      <c r="G47" s="195"/>
      <c r="I47" s="195"/>
      <c r="L47" s="194"/>
    </row>
    <row r="48" spans="1:12" ht="13.2">
      <c r="C48" s="195"/>
      <c r="E48" s="195"/>
      <c r="G48" s="195"/>
      <c r="I48" s="195"/>
      <c r="L48" s="194"/>
    </row>
    <row r="49" spans="3:12" ht="13.2">
      <c r="C49" s="195"/>
      <c r="E49" s="195"/>
      <c r="G49" s="195"/>
      <c r="I49" s="195"/>
      <c r="L49" s="194"/>
    </row>
    <row r="50" spans="3:12" ht="13.2">
      <c r="C50" s="195"/>
      <c r="E50" s="195"/>
      <c r="G50" s="195"/>
      <c r="I50" s="195"/>
      <c r="L50" s="194"/>
    </row>
    <row r="51" spans="3:12" ht="13.2">
      <c r="C51" s="195"/>
      <c r="E51" s="195"/>
      <c r="G51" s="195"/>
      <c r="I51" s="195"/>
      <c r="L51" s="194"/>
    </row>
    <row r="52" spans="3:12" ht="13.2">
      <c r="C52" s="195"/>
      <c r="E52" s="195"/>
      <c r="G52" s="195"/>
      <c r="I52" s="195"/>
      <c r="L52" s="194"/>
    </row>
    <row r="53" spans="3:12" ht="13.2">
      <c r="C53" s="195"/>
      <c r="E53" s="195"/>
      <c r="G53" s="195"/>
      <c r="I53" s="195"/>
      <c r="L53" s="194"/>
    </row>
    <row r="54" spans="3:12" ht="13.2">
      <c r="C54" s="195"/>
      <c r="E54" s="195"/>
      <c r="G54" s="195"/>
      <c r="I54" s="195"/>
      <c r="L54" s="194"/>
    </row>
    <row r="55" spans="3:12" ht="13.2">
      <c r="C55" s="195"/>
      <c r="E55" s="195"/>
      <c r="G55" s="195"/>
      <c r="I55" s="195"/>
      <c r="L55" s="194"/>
    </row>
    <row r="56" spans="3:12" ht="13.2">
      <c r="C56" s="195"/>
      <c r="E56" s="195"/>
      <c r="G56" s="195"/>
      <c r="I56" s="195"/>
      <c r="L56" s="194"/>
    </row>
    <row r="57" spans="3:12" ht="13.2">
      <c r="C57" s="195"/>
      <c r="E57" s="195"/>
      <c r="G57" s="195"/>
      <c r="I57" s="195"/>
      <c r="L57" s="194"/>
    </row>
    <row r="58" spans="3:12" ht="13.2">
      <c r="C58" s="195"/>
      <c r="E58" s="195"/>
      <c r="G58" s="195"/>
      <c r="I58" s="195"/>
      <c r="L58" s="194"/>
    </row>
    <row r="59" spans="3:12" ht="13.2">
      <c r="C59" s="195"/>
      <c r="E59" s="195"/>
      <c r="G59" s="195"/>
      <c r="I59" s="195"/>
      <c r="L59" s="194"/>
    </row>
    <row r="60" spans="3:12" ht="13.2">
      <c r="C60" s="195"/>
      <c r="E60" s="195"/>
      <c r="G60" s="195"/>
      <c r="I60" s="195"/>
      <c r="L60" s="194"/>
    </row>
    <row r="61" spans="3:12" ht="13.2">
      <c r="C61" s="195"/>
      <c r="E61" s="195"/>
      <c r="G61" s="195"/>
      <c r="I61" s="195"/>
      <c r="L61" s="194"/>
    </row>
    <row r="62" spans="3:12" ht="13.2">
      <c r="C62" s="195"/>
      <c r="E62" s="195"/>
      <c r="G62" s="195"/>
      <c r="I62" s="195"/>
      <c r="L62" s="194"/>
    </row>
    <row r="63" spans="3:12" ht="13.2">
      <c r="C63" s="195"/>
      <c r="E63" s="195"/>
      <c r="G63" s="195"/>
      <c r="I63" s="195"/>
      <c r="L63" s="194"/>
    </row>
    <row r="64" spans="3:12" ht="13.2">
      <c r="C64" s="195"/>
      <c r="E64" s="195"/>
      <c r="G64" s="195"/>
      <c r="I64" s="195"/>
      <c r="L64" s="194"/>
    </row>
    <row r="65" spans="3:12" ht="13.2">
      <c r="C65" s="195"/>
      <c r="E65" s="195"/>
      <c r="G65" s="195"/>
      <c r="I65" s="195"/>
      <c r="L65" s="194"/>
    </row>
    <row r="66" spans="3:12" ht="13.2">
      <c r="C66" s="195"/>
      <c r="E66" s="195"/>
      <c r="G66" s="195"/>
      <c r="I66" s="195"/>
      <c r="L66" s="194"/>
    </row>
    <row r="67" spans="3:12" ht="13.2">
      <c r="C67" s="195"/>
      <c r="E67" s="195"/>
      <c r="G67" s="195"/>
      <c r="I67" s="195"/>
      <c r="L67" s="194"/>
    </row>
    <row r="68" spans="3:12" ht="13.2">
      <c r="C68" s="195"/>
      <c r="E68" s="195"/>
      <c r="G68" s="195"/>
      <c r="I68" s="195"/>
      <c r="L68" s="194"/>
    </row>
    <row r="69" spans="3:12" ht="13.2">
      <c r="C69" s="195"/>
      <c r="E69" s="195"/>
      <c r="G69" s="195"/>
      <c r="I69" s="195"/>
      <c r="L69" s="194"/>
    </row>
    <row r="70" spans="3:12" ht="13.2">
      <c r="C70" s="195"/>
      <c r="E70" s="195"/>
      <c r="G70" s="195"/>
      <c r="I70" s="195"/>
      <c r="L70" s="194"/>
    </row>
    <row r="71" spans="3:12" ht="13.2">
      <c r="C71" s="195"/>
      <c r="E71" s="195"/>
      <c r="G71" s="195"/>
      <c r="I71" s="195"/>
      <c r="L71" s="194"/>
    </row>
    <row r="72" spans="3:12" ht="13.2">
      <c r="C72" s="195"/>
      <c r="E72" s="195"/>
      <c r="G72" s="195"/>
      <c r="I72" s="195"/>
      <c r="L72" s="194"/>
    </row>
    <row r="73" spans="3:12" ht="13.2">
      <c r="C73" s="195"/>
      <c r="E73" s="195"/>
      <c r="G73" s="195"/>
      <c r="I73" s="195"/>
      <c r="L73" s="194"/>
    </row>
    <row r="74" spans="3:12" ht="13.2">
      <c r="C74" s="195"/>
      <c r="E74" s="195"/>
      <c r="G74" s="195"/>
      <c r="I74" s="195"/>
      <c r="L74" s="194"/>
    </row>
    <row r="75" spans="3:12" ht="13.2">
      <c r="C75" s="195"/>
      <c r="E75" s="195"/>
      <c r="G75" s="195"/>
      <c r="I75" s="195"/>
      <c r="L75" s="194"/>
    </row>
    <row r="76" spans="3:12" ht="13.2">
      <c r="C76" s="195"/>
      <c r="E76" s="195"/>
      <c r="G76" s="195"/>
      <c r="I76" s="195"/>
      <c r="L76" s="194"/>
    </row>
    <row r="77" spans="3:12" ht="13.2">
      <c r="C77" s="195"/>
      <c r="E77" s="195"/>
      <c r="G77" s="195"/>
      <c r="I77" s="195"/>
      <c r="L77" s="194"/>
    </row>
    <row r="78" spans="3:12" ht="13.2">
      <c r="C78" s="195"/>
      <c r="E78" s="195"/>
      <c r="G78" s="195"/>
      <c r="I78" s="195"/>
      <c r="L78" s="194"/>
    </row>
    <row r="79" spans="3:12" ht="13.2">
      <c r="C79" s="195"/>
      <c r="E79" s="195"/>
      <c r="G79" s="195"/>
      <c r="I79" s="195"/>
      <c r="L79" s="194"/>
    </row>
    <row r="80" spans="3:12" ht="13.2">
      <c r="C80" s="195"/>
      <c r="E80" s="195"/>
      <c r="G80" s="195"/>
      <c r="I80" s="195"/>
      <c r="L80" s="194"/>
    </row>
    <row r="81" spans="3:12" ht="13.2">
      <c r="C81" s="195"/>
      <c r="E81" s="195"/>
      <c r="G81" s="195"/>
      <c r="I81" s="195"/>
      <c r="L81" s="194"/>
    </row>
    <row r="82" spans="3:12" ht="13.2">
      <c r="C82" s="195"/>
      <c r="E82" s="195"/>
      <c r="G82" s="195"/>
      <c r="I82" s="195"/>
      <c r="L82" s="194"/>
    </row>
    <row r="83" spans="3:12" ht="13.2">
      <c r="C83" s="195"/>
      <c r="E83" s="195"/>
      <c r="G83" s="195"/>
      <c r="I83" s="195"/>
      <c r="L83" s="194"/>
    </row>
    <row r="84" spans="3:12" ht="13.2">
      <c r="C84" s="195"/>
      <c r="E84" s="195"/>
      <c r="G84" s="195"/>
      <c r="I84" s="195"/>
      <c r="L84" s="194"/>
    </row>
    <row r="85" spans="3:12" ht="13.2">
      <c r="C85" s="195"/>
      <c r="E85" s="195"/>
      <c r="G85" s="195"/>
      <c r="I85" s="195"/>
      <c r="L85" s="194"/>
    </row>
    <row r="86" spans="3:12" ht="13.2">
      <c r="C86" s="195"/>
      <c r="E86" s="195"/>
      <c r="G86" s="195"/>
      <c r="I86" s="195"/>
      <c r="L86" s="194"/>
    </row>
    <row r="87" spans="3:12" ht="13.2">
      <c r="C87" s="195"/>
      <c r="E87" s="195"/>
      <c r="G87" s="195"/>
      <c r="I87" s="195"/>
      <c r="L87" s="194"/>
    </row>
    <row r="88" spans="3:12" ht="13.2">
      <c r="C88" s="195"/>
      <c r="E88" s="195"/>
      <c r="G88" s="195"/>
      <c r="I88" s="195"/>
      <c r="L88" s="194"/>
    </row>
    <row r="89" spans="3:12" ht="13.2">
      <c r="C89" s="195"/>
      <c r="E89" s="195"/>
      <c r="G89" s="195"/>
      <c r="I89" s="195"/>
      <c r="L89" s="194"/>
    </row>
    <row r="90" spans="3:12" ht="13.2">
      <c r="C90" s="195"/>
      <c r="E90" s="195"/>
      <c r="G90" s="195"/>
      <c r="I90" s="195"/>
      <c r="L90" s="194"/>
    </row>
    <row r="91" spans="3:12" ht="13.2">
      <c r="C91" s="195"/>
      <c r="E91" s="195"/>
      <c r="G91" s="195"/>
      <c r="I91" s="195"/>
      <c r="L91" s="194"/>
    </row>
    <row r="92" spans="3:12" ht="13.2">
      <c r="C92" s="195"/>
      <c r="E92" s="195"/>
      <c r="G92" s="195"/>
      <c r="I92" s="195"/>
      <c r="L92" s="194"/>
    </row>
    <row r="93" spans="3:12" ht="13.2">
      <c r="C93" s="195"/>
      <c r="E93" s="195"/>
      <c r="G93" s="195"/>
      <c r="I93" s="195"/>
      <c r="L93" s="194"/>
    </row>
    <row r="94" spans="3:12" ht="13.2">
      <c r="C94" s="195"/>
      <c r="E94" s="195"/>
      <c r="G94" s="195"/>
      <c r="I94" s="195"/>
      <c r="L94" s="194"/>
    </row>
    <row r="95" spans="3:12" ht="13.2">
      <c r="C95" s="195"/>
      <c r="E95" s="195"/>
      <c r="G95" s="195"/>
      <c r="I95" s="195"/>
      <c r="L95" s="194"/>
    </row>
    <row r="96" spans="3:12" ht="13.2">
      <c r="C96" s="195"/>
      <c r="E96" s="195"/>
      <c r="G96" s="195"/>
      <c r="I96" s="195"/>
      <c r="L96" s="194"/>
    </row>
    <row r="97" spans="3:12" ht="13.2">
      <c r="C97" s="195"/>
      <c r="E97" s="195"/>
      <c r="G97" s="195"/>
      <c r="I97" s="195"/>
      <c r="L97" s="194"/>
    </row>
    <row r="98" spans="3:12" ht="13.2">
      <c r="C98" s="195"/>
      <c r="E98" s="195"/>
      <c r="G98" s="195"/>
      <c r="I98" s="195"/>
      <c r="L98" s="194"/>
    </row>
    <row r="99" spans="3:12" ht="13.2">
      <c r="C99" s="195"/>
      <c r="E99" s="195"/>
      <c r="G99" s="195"/>
      <c r="I99" s="195"/>
      <c r="L99" s="194"/>
    </row>
    <row r="100" spans="3:12" ht="13.2">
      <c r="C100" s="195"/>
      <c r="E100" s="195"/>
      <c r="G100" s="195"/>
      <c r="I100" s="195"/>
      <c r="L100" s="194"/>
    </row>
    <row r="101" spans="3:12" ht="13.2">
      <c r="C101" s="195"/>
      <c r="E101" s="195"/>
      <c r="G101" s="195"/>
      <c r="I101" s="195"/>
      <c r="L101" s="194"/>
    </row>
    <row r="102" spans="3:12" ht="13.2">
      <c r="C102" s="195"/>
      <c r="E102" s="195"/>
      <c r="G102" s="195"/>
      <c r="I102" s="195"/>
      <c r="L102" s="194"/>
    </row>
    <row r="103" spans="3:12" ht="13.2">
      <c r="C103" s="195"/>
      <c r="E103" s="195"/>
      <c r="G103" s="195"/>
      <c r="I103" s="195"/>
      <c r="L103" s="194"/>
    </row>
    <row r="104" spans="3:12" ht="13.2">
      <c r="C104" s="195"/>
      <c r="E104" s="195"/>
      <c r="G104" s="195"/>
      <c r="I104" s="195"/>
      <c r="L104" s="194"/>
    </row>
    <row r="105" spans="3:12" ht="13.2">
      <c r="C105" s="195"/>
      <c r="E105" s="195"/>
      <c r="G105" s="195"/>
      <c r="I105" s="195"/>
      <c r="L105" s="194"/>
    </row>
    <row r="106" spans="3:12" ht="13.2">
      <c r="C106" s="195"/>
      <c r="E106" s="195"/>
      <c r="G106" s="195"/>
      <c r="I106" s="195"/>
      <c r="L106" s="194"/>
    </row>
    <row r="107" spans="3:12" ht="13.2">
      <c r="C107" s="195"/>
      <c r="E107" s="195"/>
      <c r="G107" s="195"/>
      <c r="I107" s="195"/>
      <c r="L107" s="194"/>
    </row>
    <row r="108" spans="3:12" ht="13.2">
      <c r="C108" s="195"/>
      <c r="E108" s="195"/>
      <c r="G108" s="195"/>
      <c r="I108" s="195"/>
      <c r="L108" s="194"/>
    </row>
    <row r="109" spans="3:12" ht="13.2">
      <c r="C109" s="195"/>
      <c r="E109" s="195"/>
      <c r="G109" s="195"/>
      <c r="I109" s="195"/>
      <c r="L109" s="194"/>
    </row>
    <row r="110" spans="3:12" ht="13.2">
      <c r="C110" s="195"/>
      <c r="E110" s="195"/>
      <c r="G110" s="195"/>
      <c r="I110" s="195"/>
      <c r="L110" s="194"/>
    </row>
    <row r="111" spans="3:12" ht="13.2">
      <c r="C111" s="195"/>
      <c r="E111" s="195"/>
      <c r="G111" s="195"/>
      <c r="I111" s="195"/>
      <c r="L111" s="194"/>
    </row>
    <row r="112" spans="3:12" ht="13.2">
      <c r="C112" s="195"/>
      <c r="E112" s="195"/>
      <c r="G112" s="195"/>
      <c r="I112" s="195"/>
      <c r="L112" s="194"/>
    </row>
    <row r="113" spans="3:12" ht="13.2">
      <c r="C113" s="195"/>
      <c r="E113" s="195"/>
      <c r="G113" s="195"/>
      <c r="I113" s="195"/>
      <c r="L113" s="194"/>
    </row>
    <row r="114" spans="3:12" ht="13.2">
      <c r="C114" s="195"/>
      <c r="E114" s="195"/>
      <c r="G114" s="195"/>
      <c r="I114" s="195"/>
      <c r="L114" s="194"/>
    </row>
    <row r="115" spans="3:12" ht="13.2">
      <c r="C115" s="195"/>
      <c r="E115" s="195"/>
      <c r="G115" s="195"/>
      <c r="I115" s="195"/>
      <c r="L115" s="194"/>
    </row>
    <row r="116" spans="3:12" ht="13.2">
      <c r="C116" s="195"/>
      <c r="E116" s="195"/>
      <c r="G116" s="195"/>
      <c r="I116" s="195"/>
      <c r="L116" s="194"/>
    </row>
    <row r="117" spans="3:12" ht="13.2">
      <c r="C117" s="195"/>
      <c r="E117" s="195"/>
      <c r="G117" s="195"/>
      <c r="I117" s="195"/>
      <c r="L117" s="194"/>
    </row>
    <row r="118" spans="3:12" ht="13.2">
      <c r="C118" s="195"/>
      <c r="E118" s="195"/>
      <c r="G118" s="195"/>
      <c r="I118" s="195"/>
      <c r="L118" s="194"/>
    </row>
    <row r="119" spans="3:12" ht="13.2">
      <c r="C119" s="195"/>
      <c r="E119" s="195"/>
      <c r="G119" s="195"/>
      <c r="I119" s="195"/>
      <c r="L119" s="194"/>
    </row>
    <row r="120" spans="3:12" ht="13.2">
      <c r="C120" s="195"/>
      <c r="E120" s="195"/>
      <c r="G120" s="195"/>
      <c r="I120" s="195"/>
      <c r="L120" s="194"/>
    </row>
    <row r="121" spans="3:12" ht="13.2">
      <c r="C121" s="195"/>
      <c r="E121" s="195"/>
      <c r="G121" s="195"/>
      <c r="I121" s="195"/>
      <c r="L121" s="194"/>
    </row>
    <row r="122" spans="3:12" ht="13.2">
      <c r="C122" s="195"/>
      <c r="E122" s="195"/>
      <c r="G122" s="195"/>
      <c r="I122" s="195"/>
      <c r="L122" s="194"/>
    </row>
    <row r="123" spans="3:12" ht="13.2">
      <c r="C123" s="195"/>
      <c r="E123" s="195"/>
      <c r="G123" s="195"/>
      <c r="I123" s="195"/>
      <c r="L123" s="194"/>
    </row>
    <row r="124" spans="3:12" ht="13.2">
      <c r="C124" s="195"/>
      <c r="E124" s="195"/>
      <c r="G124" s="195"/>
      <c r="I124" s="195"/>
      <c r="L124" s="194"/>
    </row>
    <row r="125" spans="3:12" ht="13.2">
      <c r="C125" s="195"/>
      <c r="E125" s="195"/>
      <c r="G125" s="195"/>
      <c r="I125" s="195"/>
      <c r="L125" s="194"/>
    </row>
    <row r="126" spans="3:12" ht="13.2">
      <c r="C126" s="195"/>
      <c r="E126" s="195"/>
      <c r="G126" s="195"/>
      <c r="I126" s="195"/>
      <c r="L126" s="194"/>
    </row>
    <row r="127" spans="3:12" ht="13.2">
      <c r="C127" s="195"/>
      <c r="E127" s="195"/>
      <c r="G127" s="195"/>
      <c r="I127" s="195"/>
      <c r="L127" s="194"/>
    </row>
    <row r="128" spans="3:12" ht="13.2">
      <c r="C128" s="195"/>
      <c r="E128" s="195"/>
      <c r="G128" s="195"/>
      <c r="I128" s="195"/>
      <c r="L128" s="194"/>
    </row>
    <row r="129" spans="3:12" ht="13.2">
      <c r="C129" s="195"/>
      <c r="E129" s="195"/>
      <c r="G129" s="195"/>
      <c r="I129" s="195"/>
      <c r="L129" s="194"/>
    </row>
    <row r="130" spans="3:12" ht="13.2">
      <c r="C130" s="195"/>
      <c r="E130" s="195"/>
      <c r="G130" s="195"/>
      <c r="I130" s="195"/>
      <c r="L130" s="194"/>
    </row>
    <row r="131" spans="3:12" ht="13.2">
      <c r="C131" s="195"/>
      <c r="E131" s="195"/>
      <c r="G131" s="195"/>
      <c r="I131" s="195"/>
      <c r="L131" s="194"/>
    </row>
    <row r="132" spans="3:12" ht="13.2">
      <c r="C132" s="195"/>
      <c r="E132" s="195"/>
      <c r="G132" s="195"/>
      <c r="I132" s="195"/>
      <c r="L132" s="194"/>
    </row>
    <row r="133" spans="3:12" ht="13.2">
      <c r="C133" s="195"/>
      <c r="E133" s="195"/>
      <c r="G133" s="195"/>
      <c r="I133" s="195"/>
      <c r="L133" s="194"/>
    </row>
    <row r="134" spans="3:12" ht="13.2">
      <c r="C134" s="195"/>
      <c r="E134" s="195"/>
      <c r="G134" s="195"/>
      <c r="I134" s="195"/>
      <c r="L134" s="194"/>
    </row>
    <row r="135" spans="3:12" ht="13.2">
      <c r="C135" s="195"/>
      <c r="E135" s="195"/>
      <c r="G135" s="195"/>
      <c r="I135" s="195"/>
      <c r="L135" s="194"/>
    </row>
    <row r="136" spans="3:12" ht="13.2">
      <c r="C136" s="195"/>
      <c r="E136" s="195"/>
      <c r="G136" s="195"/>
      <c r="I136" s="195"/>
      <c r="L136" s="194"/>
    </row>
    <row r="137" spans="3:12" ht="13.2">
      <c r="C137" s="195"/>
      <c r="E137" s="195"/>
      <c r="G137" s="195"/>
      <c r="I137" s="195"/>
      <c r="L137" s="194"/>
    </row>
    <row r="138" spans="3:12" ht="13.2">
      <c r="C138" s="195"/>
      <c r="E138" s="195"/>
      <c r="G138" s="195"/>
      <c r="I138" s="195"/>
      <c r="L138" s="194"/>
    </row>
    <row r="139" spans="3:12" ht="13.2">
      <c r="C139" s="195"/>
      <c r="E139" s="195"/>
      <c r="G139" s="195"/>
      <c r="I139" s="195"/>
      <c r="L139" s="194"/>
    </row>
    <row r="140" spans="3:12" ht="13.2">
      <c r="C140" s="195"/>
      <c r="E140" s="195"/>
      <c r="G140" s="195"/>
      <c r="I140" s="195"/>
      <c r="L140" s="194"/>
    </row>
    <row r="141" spans="3:12" ht="13.2">
      <c r="C141" s="195"/>
      <c r="E141" s="195"/>
      <c r="G141" s="195"/>
      <c r="I141" s="195"/>
      <c r="L141" s="194"/>
    </row>
    <row r="142" spans="3:12" ht="13.2">
      <c r="C142" s="195"/>
      <c r="E142" s="195"/>
      <c r="G142" s="195"/>
      <c r="I142" s="195"/>
      <c r="L142" s="194"/>
    </row>
    <row r="143" spans="3:12" ht="13.2">
      <c r="C143" s="195"/>
      <c r="E143" s="195"/>
      <c r="G143" s="195"/>
      <c r="I143" s="195"/>
      <c r="L143" s="194"/>
    </row>
    <row r="144" spans="3:12" ht="13.2">
      <c r="C144" s="195"/>
      <c r="E144" s="195"/>
      <c r="G144" s="195"/>
      <c r="I144" s="195"/>
      <c r="L144" s="194"/>
    </row>
    <row r="145" spans="3:12" ht="13.2">
      <c r="C145" s="195"/>
      <c r="E145" s="195"/>
      <c r="G145" s="195"/>
      <c r="I145" s="195"/>
      <c r="L145" s="194"/>
    </row>
    <row r="146" spans="3:12" ht="13.2">
      <c r="C146" s="195"/>
      <c r="E146" s="195"/>
      <c r="G146" s="195"/>
      <c r="I146" s="195"/>
      <c r="L146" s="194"/>
    </row>
    <row r="147" spans="3:12" ht="13.2">
      <c r="C147" s="195"/>
      <c r="E147" s="195"/>
      <c r="G147" s="195"/>
      <c r="I147" s="195"/>
      <c r="L147" s="194"/>
    </row>
    <row r="148" spans="3:12" ht="13.2">
      <c r="C148" s="195"/>
      <c r="E148" s="195"/>
      <c r="G148" s="195"/>
      <c r="I148" s="195"/>
      <c r="L148" s="194"/>
    </row>
    <row r="149" spans="3:12" ht="13.2">
      <c r="C149" s="195"/>
      <c r="E149" s="195"/>
      <c r="G149" s="195"/>
      <c r="I149" s="195"/>
      <c r="L149" s="194"/>
    </row>
    <row r="150" spans="3:12" ht="13.2">
      <c r="C150" s="195"/>
      <c r="E150" s="195"/>
      <c r="G150" s="195"/>
      <c r="I150" s="195"/>
      <c r="L150" s="194"/>
    </row>
    <row r="151" spans="3:12" ht="13.2">
      <c r="C151" s="195"/>
      <c r="E151" s="195"/>
      <c r="G151" s="195"/>
      <c r="I151" s="195"/>
      <c r="L151" s="194"/>
    </row>
    <row r="152" spans="3:12" ht="13.2">
      <c r="C152" s="195"/>
      <c r="E152" s="195"/>
      <c r="G152" s="195"/>
      <c r="I152" s="195"/>
      <c r="L152" s="194"/>
    </row>
    <row r="153" spans="3:12" ht="13.2">
      <c r="C153" s="195"/>
      <c r="E153" s="195"/>
      <c r="G153" s="195"/>
      <c r="I153" s="195"/>
      <c r="L153" s="194"/>
    </row>
    <row r="154" spans="3:12" ht="13.2">
      <c r="C154" s="195"/>
      <c r="E154" s="195"/>
      <c r="G154" s="195"/>
      <c r="I154" s="195"/>
      <c r="L154" s="194"/>
    </row>
    <row r="155" spans="3:12" ht="13.2">
      <c r="C155" s="195"/>
      <c r="E155" s="195"/>
      <c r="G155" s="195"/>
      <c r="I155" s="195"/>
      <c r="L155" s="194"/>
    </row>
    <row r="156" spans="3:12" ht="13.2">
      <c r="C156" s="195"/>
      <c r="E156" s="195"/>
      <c r="G156" s="195"/>
      <c r="I156" s="195"/>
      <c r="L156" s="194"/>
    </row>
    <row r="157" spans="3:12" ht="13.2">
      <c r="C157" s="195"/>
      <c r="E157" s="195"/>
      <c r="G157" s="195"/>
      <c r="I157" s="195"/>
      <c r="L157" s="194"/>
    </row>
    <row r="158" spans="3:12" ht="13.2">
      <c r="C158" s="195"/>
      <c r="E158" s="195"/>
      <c r="G158" s="195"/>
      <c r="I158" s="195"/>
      <c r="L158" s="194"/>
    </row>
    <row r="159" spans="3:12" ht="13.2">
      <c r="C159" s="195"/>
      <c r="E159" s="195"/>
      <c r="G159" s="195"/>
      <c r="I159" s="195"/>
      <c r="L159" s="194"/>
    </row>
    <row r="160" spans="3:12" ht="13.2">
      <c r="C160" s="195"/>
      <c r="E160" s="195"/>
      <c r="G160" s="195"/>
      <c r="I160" s="195"/>
      <c r="L160" s="194"/>
    </row>
    <row r="161" spans="3:12" ht="13.2">
      <c r="C161" s="195"/>
      <c r="E161" s="195"/>
      <c r="G161" s="195"/>
      <c r="I161" s="195"/>
      <c r="L161" s="194"/>
    </row>
    <row r="162" spans="3:12" ht="13.2">
      <c r="C162" s="195"/>
      <c r="E162" s="195"/>
      <c r="G162" s="195"/>
      <c r="I162" s="195"/>
      <c r="L162" s="194"/>
    </row>
    <row r="163" spans="3:12" ht="13.2">
      <c r="C163" s="195"/>
      <c r="E163" s="195"/>
      <c r="G163" s="195"/>
      <c r="I163" s="195"/>
      <c r="L163" s="194"/>
    </row>
    <row r="164" spans="3:12" ht="13.2">
      <c r="C164" s="195"/>
      <c r="E164" s="195"/>
      <c r="G164" s="195"/>
      <c r="I164" s="195"/>
      <c r="L164" s="194"/>
    </row>
    <row r="165" spans="3:12" ht="13.2">
      <c r="C165" s="195"/>
      <c r="E165" s="195"/>
      <c r="G165" s="195"/>
      <c r="I165" s="195"/>
      <c r="L165" s="194"/>
    </row>
    <row r="166" spans="3:12" ht="13.2">
      <c r="C166" s="195"/>
      <c r="E166" s="195"/>
      <c r="G166" s="195"/>
      <c r="I166" s="195"/>
      <c r="L166" s="194"/>
    </row>
    <row r="167" spans="3:12" ht="13.2">
      <c r="C167" s="195"/>
      <c r="E167" s="195"/>
      <c r="G167" s="195"/>
      <c r="I167" s="195"/>
      <c r="L167" s="194"/>
    </row>
    <row r="168" spans="3:12" ht="13.2">
      <c r="C168" s="195"/>
      <c r="E168" s="195"/>
      <c r="G168" s="195"/>
      <c r="I168" s="195"/>
      <c r="L168" s="194"/>
    </row>
    <row r="169" spans="3:12" ht="13.2">
      <c r="C169" s="195"/>
      <c r="E169" s="195"/>
      <c r="G169" s="195"/>
      <c r="I169" s="195"/>
      <c r="L169" s="194"/>
    </row>
    <row r="170" spans="3:12" ht="13.2">
      <c r="C170" s="195"/>
      <c r="E170" s="195"/>
      <c r="G170" s="195"/>
      <c r="I170" s="195"/>
      <c r="L170" s="194"/>
    </row>
    <row r="171" spans="3:12" ht="13.2">
      <c r="C171" s="195"/>
      <c r="E171" s="195"/>
      <c r="G171" s="195"/>
      <c r="I171" s="195"/>
      <c r="L171" s="194"/>
    </row>
    <row r="172" spans="3:12" ht="13.2">
      <c r="C172" s="195"/>
      <c r="E172" s="195"/>
      <c r="G172" s="195"/>
      <c r="I172" s="195"/>
      <c r="L172" s="194"/>
    </row>
    <row r="173" spans="3:12" ht="13.2">
      <c r="C173" s="195"/>
      <c r="E173" s="195"/>
      <c r="G173" s="195"/>
      <c r="I173" s="195"/>
      <c r="L173" s="194"/>
    </row>
    <row r="174" spans="3:12" ht="13.2">
      <c r="C174" s="195"/>
      <c r="E174" s="195"/>
      <c r="G174" s="195"/>
      <c r="I174" s="195"/>
      <c r="L174" s="194"/>
    </row>
    <row r="175" spans="3:12" ht="13.2">
      <c r="C175" s="195"/>
      <c r="E175" s="195"/>
      <c r="G175" s="195"/>
      <c r="I175" s="195"/>
      <c r="L175" s="194"/>
    </row>
    <row r="176" spans="3:12" ht="13.2">
      <c r="C176" s="195"/>
      <c r="E176" s="195"/>
      <c r="G176" s="195"/>
      <c r="I176" s="195"/>
      <c r="L176" s="194"/>
    </row>
    <row r="177" spans="3:12" ht="13.2">
      <c r="C177" s="195"/>
      <c r="E177" s="195"/>
      <c r="G177" s="195"/>
      <c r="I177" s="195"/>
      <c r="L177" s="194"/>
    </row>
    <row r="178" spans="3:12" ht="13.2">
      <c r="C178" s="195"/>
      <c r="E178" s="195"/>
      <c r="G178" s="195"/>
      <c r="I178" s="195"/>
      <c r="L178" s="194"/>
    </row>
    <row r="179" spans="3:12" ht="13.2">
      <c r="C179" s="195"/>
      <c r="E179" s="195"/>
      <c r="G179" s="195"/>
      <c r="I179" s="195"/>
      <c r="L179" s="194"/>
    </row>
    <row r="180" spans="3:12" ht="13.2">
      <c r="C180" s="195"/>
      <c r="E180" s="195"/>
      <c r="G180" s="195"/>
      <c r="I180" s="195"/>
      <c r="L180" s="194"/>
    </row>
    <row r="181" spans="3:12" ht="13.2">
      <c r="C181" s="195"/>
      <c r="E181" s="195"/>
      <c r="G181" s="195"/>
      <c r="I181" s="195"/>
      <c r="L181" s="194"/>
    </row>
    <row r="182" spans="3:12" ht="13.2">
      <c r="C182" s="195"/>
      <c r="E182" s="195"/>
      <c r="G182" s="195"/>
      <c r="I182" s="195"/>
      <c r="L182" s="194"/>
    </row>
    <row r="183" spans="3:12" ht="13.2">
      <c r="C183" s="195"/>
      <c r="E183" s="195"/>
      <c r="G183" s="195"/>
      <c r="I183" s="195"/>
      <c r="L183" s="194"/>
    </row>
    <row r="184" spans="3:12" ht="13.2">
      <c r="C184" s="195"/>
      <c r="E184" s="195"/>
      <c r="G184" s="195"/>
      <c r="I184" s="195"/>
      <c r="L184" s="194"/>
    </row>
    <row r="185" spans="3:12" ht="13.2">
      <c r="C185" s="195"/>
      <c r="E185" s="195"/>
      <c r="G185" s="195"/>
      <c r="I185" s="195"/>
      <c r="L185" s="194"/>
    </row>
    <row r="186" spans="3:12" ht="13.2">
      <c r="C186" s="195"/>
      <c r="E186" s="195"/>
      <c r="G186" s="195"/>
      <c r="I186" s="195"/>
      <c r="L186" s="194"/>
    </row>
    <row r="187" spans="3:12" ht="13.2">
      <c r="C187" s="195"/>
      <c r="E187" s="195"/>
      <c r="G187" s="195"/>
      <c r="I187" s="195"/>
      <c r="L187" s="194"/>
    </row>
    <row r="188" spans="3:12" ht="13.2">
      <c r="C188" s="195"/>
      <c r="E188" s="195"/>
      <c r="G188" s="195"/>
      <c r="I188" s="195"/>
      <c r="L188" s="194"/>
    </row>
    <row r="189" spans="3:12" ht="13.2">
      <c r="C189" s="195"/>
      <c r="E189" s="195"/>
      <c r="G189" s="195"/>
      <c r="I189" s="195"/>
      <c r="L189" s="194"/>
    </row>
    <row r="190" spans="3:12" ht="13.2">
      <c r="C190" s="195"/>
      <c r="E190" s="195"/>
      <c r="G190" s="195"/>
      <c r="I190" s="195"/>
      <c r="L190" s="194"/>
    </row>
    <row r="191" spans="3:12" ht="13.2">
      <c r="C191" s="195"/>
      <c r="E191" s="195"/>
      <c r="G191" s="195"/>
      <c r="I191" s="195"/>
      <c r="L191" s="194"/>
    </row>
    <row r="192" spans="3:12" ht="13.2">
      <c r="C192" s="195"/>
      <c r="E192" s="195"/>
      <c r="G192" s="195"/>
      <c r="I192" s="195"/>
      <c r="L192" s="194"/>
    </row>
    <row r="193" spans="3:12" ht="13.2">
      <c r="C193" s="195"/>
      <c r="E193" s="195"/>
      <c r="G193" s="195"/>
      <c r="I193" s="195"/>
      <c r="L193" s="194"/>
    </row>
    <row r="194" spans="3:12" ht="13.2">
      <c r="C194" s="195"/>
      <c r="E194" s="195"/>
      <c r="G194" s="195"/>
      <c r="I194" s="195"/>
      <c r="L194" s="194"/>
    </row>
    <row r="195" spans="3:12" ht="13.2">
      <c r="C195" s="195"/>
      <c r="E195" s="195"/>
      <c r="G195" s="195"/>
      <c r="I195" s="195"/>
      <c r="L195" s="194"/>
    </row>
    <row r="196" spans="3:12" ht="13.2">
      <c r="C196" s="195"/>
      <c r="E196" s="195"/>
      <c r="G196" s="195"/>
      <c r="I196" s="195"/>
      <c r="L196" s="194"/>
    </row>
    <row r="197" spans="3:12" ht="13.2">
      <c r="C197" s="195"/>
      <c r="E197" s="195"/>
      <c r="G197" s="195"/>
      <c r="I197" s="195"/>
      <c r="L197" s="194"/>
    </row>
    <row r="198" spans="3:12" ht="13.2">
      <c r="C198" s="195"/>
      <c r="E198" s="195"/>
      <c r="G198" s="195"/>
      <c r="I198" s="195"/>
      <c r="L198" s="194"/>
    </row>
    <row r="199" spans="3:12" ht="13.2">
      <c r="C199" s="195"/>
      <c r="E199" s="195"/>
      <c r="G199" s="195"/>
      <c r="I199" s="195"/>
      <c r="L199" s="194"/>
    </row>
    <row r="200" spans="3:12" ht="13.2">
      <c r="C200" s="195"/>
      <c r="E200" s="195"/>
      <c r="G200" s="195"/>
      <c r="I200" s="195"/>
      <c r="L200" s="194"/>
    </row>
    <row r="201" spans="3:12" ht="13.2">
      <c r="C201" s="195"/>
      <c r="E201" s="195"/>
      <c r="G201" s="195"/>
      <c r="I201" s="195"/>
      <c r="L201" s="194"/>
    </row>
    <row r="202" spans="3:12" ht="13.2">
      <c r="C202" s="195"/>
      <c r="E202" s="195"/>
      <c r="G202" s="195"/>
      <c r="I202" s="195"/>
      <c r="L202" s="194"/>
    </row>
    <row r="203" spans="3:12" ht="13.2">
      <c r="C203" s="195"/>
      <c r="E203" s="195"/>
      <c r="G203" s="195"/>
      <c r="I203" s="195"/>
      <c r="L203" s="194"/>
    </row>
    <row r="204" spans="3:12" ht="13.2">
      <c r="C204" s="195"/>
      <c r="E204" s="195"/>
      <c r="G204" s="195"/>
      <c r="I204" s="195"/>
      <c r="L204" s="194"/>
    </row>
    <row r="205" spans="3:12" ht="13.2">
      <c r="C205" s="195"/>
      <c r="E205" s="195"/>
      <c r="G205" s="195"/>
      <c r="I205" s="195"/>
      <c r="L205" s="194"/>
    </row>
    <row r="206" spans="3:12" ht="13.2">
      <c r="C206" s="195"/>
      <c r="E206" s="195"/>
      <c r="G206" s="195"/>
      <c r="I206" s="195"/>
      <c r="L206" s="194"/>
    </row>
    <row r="207" spans="3:12" ht="13.2">
      <c r="C207" s="195"/>
      <c r="E207" s="195"/>
      <c r="G207" s="195"/>
      <c r="I207" s="195"/>
      <c r="L207" s="194"/>
    </row>
    <row r="208" spans="3:12" ht="13.2">
      <c r="C208" s="195"/>
      <c r="E208" s="195"/>
      <c r="G208" s="195"/>
      <c r="I208" s="195"/>
      <c r="L208" s="194"/>
    </row>
    <row r="209" spans="3:12" ht="13.2">
      <c r="C209" s="195"/>
      <c r="E209" s="195"/>
      <c r="G209" s="195"/>
      <c r="I209" s="195"/>
      <c r="L209" s="194"/>
    </row>
    <row r="210" spans="3:12" ht="13.2">
      <c r="C210" s="195"/>
      <c r="E210" s="195"/>
      <c r="G210" s="195"/>
      <c r="I210" s="195"/>
      <c r="L210" s="194"/>
    </row>
    <row r="211" spans="3:12" ht="13.2">
      <c r="C211" s="195"/>
      <c r="E211" s="195"/>
      <c r="G211" s="195"/>
      <c r="I211" s="195"/>
      <c r="L211" s="194"/>
    </row>
    <row r="212" spans="3:12" ht="13.2">
      <c r="C212" s="195"/>
      <c r="E212" s="195"/>
      <c r="G212" s="195"/>
      <c r="I212" s="195"/>
      <c r="L212" s="194"/>
    </row>
    <row r="213" spans="3:12" ht="13.2">
      <c r="C213" s="195"/>
      <c r="E213" s="195"/>
      <c r="G213" s="195"/>
      <c r="I213" s="195"/>
      <c r="L213" s="194"/>
    </row>
    <row r="214" spans="3:12" ht="13.2">
      <c r="C214" s="195"/>
      <c r="E214" s="195"/>
      <c r="G214" s="195"/>
      <c r="I214" s="195"/>
      <c r="L214" s="194"/>
    </row>
    <row r="215" spans="3:12" ht="13.2">
      <c r="C215" s="195"/>
      <c r="E215" s="195"/>
      <c r="G215" s="195"/>
      <c r="I215" s="195"/>
      <c r="L215" s="194"/>
    </row>
    <row r="216" spans="3:12" ht="13.2">
      <c r="C216" s="195"/>
      <c r="E216" s="195"/>
      <c r="G216" s="195"/>
      <c r="I216" s="195"/>
      <c r="L216" s="194"/>
    </row>
    <row r="217" spans="3:12" ht="13.2">
      <c r="C217" s="195"/>
      <c r="E217" s="195"/>
      <c r="G217" s="195"/>
      <c r="I217" s="195"/>
      <c r="L217" s="194"/>
    </row>
    <row r="218" spans="3:12" ht="13.2">
      <c r="C218" s="195"/>
      <c r="E218" s="195"/>
      <c r="G218" s="195"/>
      <c r="I218" s="195"/>
      <c r="L218" s="194"/>
    </row>
    <row r="219" spans="3:12" ht="13.2">
      <c r="C219" s="195"/>
      <c r="E219" s="195"/>
      <c r="G219" s="195"/>
      <c r="I219" s="195"/>
      <c r="L219" s="194"/>
    </row>
    <row r="220" spans="3:12" ht="13.2">
      <c r="C220" s="195"/>
      <c r="E220" s="195"/>
      <c r="G220" s="195"/>
      <c r="I220" s="195"/>
      <c r="L220" s="194"/>
    </row>
    <row r="221" spans="3:12" ht="13.2">
      <c r="C221" s="195"/>
      <c r="E221" s="195"/>
      <c r="G221" s="195"/>
      <c r="I221" s="195"/>
      <c r="L221" s="194"/>
    </row>
    <row r="222" spans="3:12" ht="13.2">
      <c r="C222" s="195"/>
      <c r="E222" s="195"/>
      <c r="G222" s="195"/>
      <c r="I222" s="195"/>
      <c r="L222" s="194"/>
    </row>
    <row r="223" spans="3:12" ht="13.2">
      <c r="C223" s="195"/>
      <c r="E223" s="195"/>
      <c r="G223" s="195"/>
      <c r="I223" s="195"/>
      <c r="L223" s="194"/>
    </row>
    <row r="224" spans="3:12" ht="13.2">
      <c r="C224" s="195"/>
      <c r="E224" s="195"/>
      <c r="G224" s="195"/>
      <c r="I224" s="195"/>
      <c r="L224" s="194"/>
    </row>
    <row r="225" spans="3:12" ht="13.2">
      <c r="C225" s="195"/>
      <c r="E225" s="195"/>
      <c r="G225" s="195"/>
      <c r="I225" s="195"/>
      <c r="L225" s="194"/>
    </row>
    <row r="226" spans="3:12" ht="13.2">
      <c r="C226" s="195"/>
      <c r="E226" s="195"/>
      <c r="G226" s="195"/>
      <c r="I226" s="195"/>
      <c r="L226" s="194"/>
    </row>
    <row r="227" spans="3:12" ht="13.2">
      <c r="C227" s="195"/>
      <c r="E227" s="195"/>
      <c r="G227" s="195"/>
      <c r="I227" s="195"/>
      <c r="L227" s="194"/>
    </row>
    <row r="228" spans="3:12" ht="13.2">
      <c r="C228" s="195"/>
      <c r="E228" s="195"/>
      <c r="G228" s="195"/>
      <c r="I228" s="195"/>
      <c r="L228" s="194"/>
    </row>
    <row r="229" spans="3:12" ht="13.2">
      <c r="C229" s="195"/>
      <c r="E229" s="195"/>
      <c r="G229" s="195"/>
      <c r="I229" s="195"/>
      <c r="L229" s="194"/>
    </row>
    <row r="230" spans="3:12" ht="13.2">
      <c r="C230" s="195"/>
      <c r="E230" s="195"/>
      <c r="G230" s="195"/>
      <c r="I230" s="195"/>
      <c r="L230" s="194"/>
    </row>
    <row r="231" spans="3:12" ht="13.2">
      <c r="C231" s="195"/>
      <c r="E231" s="195"/>
      <c r="G231" s="195"/>
      <c r="I231" s="195"/>
      <c r="L231" s="194"/>
    </row>
    <row r="232" spans="3:12" ht="13.2">
      <c r="C232" s="195"/>
      <c r="E232" s="195"/>
      <c r="G232" s="195"/>
      <c r="I232" s="195"/>
      <c r="L232" s="194"/>
    </row>
    <row r="233" spans="3:12" ht="13.2">
      <c r="C233" s="195"/>
      <c r="E233" s="195"/>
      <c r="G233" s="195"/>
      <c r="I233" s="195"/>
      <c r="L233" s="194"/>
    </row>
    <row r="234" spans="3:12" ht="13.2">
      <c r="C234" s="195"/>
      <c r="E234" s="195"/>
      <c r="G234" s="195"/>
      <c r="I234" s="195"/>
      <c r="L234" s="194"/>
    </row>
    <row r="235" spans="3:12" ht="13.2">
      <c r="C235" s="195"/>
      <c r="E235" s="195"/>
      <c r="G235" s="195"/>
      <c r="I235" s="195"/>
      <c r="L235" s="194"/>
    </row>
    <row r="236" spans="3:12" ht="13.2">
      <c r="C236" s="195"/>
      <c r="E236" s="195"/>
      <c r="G236" s="195"/>
      <c r="I236" s="195"/>
      <c r="L236" s="194"/>
    </row>
    <row r="237" spans="3:12" ht="13.2">
      <c r="C237" s="195"/>
      <c r="E237" s="195"/>
      <c r="G237" s="195"/>
      <c r="I237" s="195"/>
      <c r="L237" s="194"/>
    </row>
    <row r="238" spans="3:12" ht="13.2">
      <c r="C238" s="195"/>
      <c r="E238" s="195"/>
      <c r="G238" s="195"/>
      <c r="I238" s="195"/>
      <c r="L238" s="194"/>
    </row>
    <row r="239" spans="3:12" ht="13.2">
      <c r="C239" s="195"/>
      <c r="E239" s="195"/>
      <c r="G239" s="195"/>
      <c r="I239" s="195"/>
      <c r="L239" s="194"/>
    </row>
    <row r="240" spans="3:12" ht="13.2">
      <c r="C240" s="195"/>
      <c r="E240" s="195"/>
      <c r="G240" s="195"/>
      <c r="I240" s="195"/>
      <c r="L240" s="194"/>
    </row>
    <row r="241" spans="3:12" ht="13.2">
      <c r="C241" s="195"/>
      <c r="E241" s="195"/>
      <c r="G241" s="195"/>
      <c r="I241" s="195"/>
      <c r="L241" s="194"/>
    </row>
    <row r="242" spans="3:12" ht="13.2">
      <c r="C242" s="195"/>
      <c r="E242" s="195"/>
      <c r="G242" s="195"/>
      <c r="I242" s="195"/>
      <c r="L242" s="194"/>
    </row>
    <row r="243" spans="3:12" ht="13.2">
      <c r="C243" s="195"/>
      <c r="E243" s="195"/>
      <c r="G243" s="195"/>
      <c r="I243" s="195"/>
      <c r="L243" s="194"/>
    </row>
    <row r="244" spans="3:12" ht="13.2">
      <c r="C244" s="195"/>
      <c r="E244" s="195"/>
      <c r="G244" s="195"/>
      <c r="I244" s="195"/>
      <c r="L244" s="194"/>
    </row>
    <row r="245" spans="3:12" ht="13.2">
      <c r="C245" s="195"/>
      <c r="E245" s="195"/>
      <c r="G245" s="195"/>
      <c r="I245" s="195"/>
      <c r="L245" s="194"/>
    </row>
    <row r="246" spans="3:12" ht="13.2">
      <c r="C246" s="195"/>
      <c r="E246" s="195"/>
      <c r="G246" s="195"/>
      <c r="I246" s="195"/>
      <c r="L246" s="194"/>
    </row>
    <row r="247" spans="3:12" ht="13.2">
      <c r="C247" s="195"/>
      <c r="E247" s="195"/>
      <c r="G247" s="195"/>
      <c r="I247" s="195"/>
      <c r="L247" s="194"/>
    </row>
    <row r="248" spans="3:12" ht="13.2">
      <c r="C248" s="195"/>
      <c r="E248" s="195"/>
      <c r="G248" s="195"/>
      <c r="I248" s="195"/>
      <c r="L248" s="194"/>
    </row>
    <row r="249" spans="3:12" ht="13.2">
      <c r="C249" s="195"/>
      <c r="E249" s="195"/>
      <c r="G249" s="195"/>
      <c r="I249" s="195"/>
      <c r="L249" s="194"/>
    </row>
    <row r="250" spans="3:12" ht="13.2">
      <c r="C250" s="195"/>
      <c r="E250" s="195"/>
      <c r="G250" s="195"/>
      <c r="I250" s="195"/>
      <c r="L250" s="194"/>
    </row>
    <row r="251" spans="3:12" ht="13.2">
      <c r="C251" s="195"/>
      <c r="E251" s="195"/>
      <c r="G251" s="195"/>
      <c r="I251" s="195"/>
      <c r="L251" s="194"/>
    </row>
    <row r="252" spans="3:12" ht="13.2">
      <c r="C252" s="195"/>
      <c r="E252" s="195"/>
      <c r="G252" s="195"/>
      <c r="I252" s="195"/>
      <c r="L252" s="194"/>
    </row>
    <row r="253" spans="3:12" ht="13.2">
      <c r="C253" s="195"/>
      <c r="E253" s="195"/>
      <c r="G253" s="195"/>
      <c r="I253" s="195"/>
      <c r="L253" s="194"/>
    </row>
    <row r="254" spans="3:12" ht="13.2">
      <c r="C254" s="195"/>
      <c r="E254" s="195"/>
      <c r="G254" s="195"/>
      <c r="I254" s="195"/>
      <c r="L254" s="194"/>
    </row>
    <row r="255" spans="3:12" ht="13.2">
      <c r="C255" s="195"/>
      <c r="E255" s="195"/>
      <c r="G255" s="195"/>
      <c r="I255" s="195"/>
      <c r="L255" s="194"/>
    </row>
    <row r="256" spans="3:12" ht="13.2">
      <c r="C256" s="195"/>
      <c r="E256" s="195"/>
      <c r="G256" s="195"/>
      <c r="I256" s="195"/>
      <c r="L256" s="194"/>
    </row>
    <row r="257" spans="3:12" ht="13.2">
      <c r="C257" s="195"/>
      <c r="E257" s="195"/>
      <c r="G257" s="195"/>
      <c r="I257" s="195"/>
      <c r="L257" s="194"/>
    </row>
    <row r="258" spans="3:12" ht="13.2">
      <c r="C258" s="195"/>
      <c r="E258" s="195"/>
      <c r="G258" s="195"/>
      <c r="I258" s="195"/>
      <c r="L258" s="194"/>
    </row>
    <row r="259" spans="3:12" ht="13.2">
      <c r="C259" s="195"/>
      <c r="E259" s="195"/>
      <c r="G259" s="195"/>
      <c r="I259" s="195"/>
      <c r="L259" s="194"/>
    </row>
    <row r="260" spans="3:12" ht="13.2">
      <c r="C260" s="195"/>
      <c r="E260" s="195"/>
      <c r="G260" s="195"/>
      <c r="I260" s="195"/>
      <c r="L260" s="194"/>
    </row>
    <row r="261" spans="3:12" ht="13.2">
      <c r="C261" s="195"/>
      <c r="E261" s="195"/>
      <c r="G261" s="195"/>
      <c r="I261" s="195"/>
      <c r="L261" s="194"/>
    </row>
    <row r="262" spans="3:12" ht="13.2">
      <c r="C262" s="195"/>
      <c r="E262" s="195"/>
      <c r="G262" s="195"/>
      <c r="I262" s="195"/>
      <c r="L262" s="194"/>
    </row>
    <row r="263" spans="3:12" ht="13.2">
      <c r="C263" s="195"/>
      <c r="E263" s="195"/>
      <c r="G263" s="195"/>
      <c r="I263" s="195"/>
      <c r="L263" s="194"/>
    </row>
    <row r="264" spans="3:12" ht="13.2">
      <c r="C264" s="195"/>
      <c r="E264" s="195"/>
      <c r="G264" s="195"/>
      <c r="I264" s="195"/>
      <c r="L264" s="194"/>
    </row>
    <row r="265" spans="3:12" ht="13.2">
      <c r="C265" s="195"/>
      <c r="E265" s="195"/>
      <c r="G265" s="195"/>
      <c r="I265" s="195"/>
      <c r="L265" s="194"/>
    </row>
    <row r="266" spans="3:12" ht="13.2">
      <c r="C266" s="195"/>
      <c r="E266" s="195"/>
      <c r="G266" s="195"/>
      <c r="I266" s="195"/>
      <c r="L266" s="194"/>
    </row>
    <row r="267" spans="3:12" ht="13.2">
      <c r="C267" s="195"/>
      <c r="E267" s="195"/>
      <c r="G267" s="195"/>
      <c r="I267" s="195"/>
      <c r="L267" s="194"/>
    </row>
    <row r="268" spans="3:12" ht="13.2">
      <c r="C268" s="195"/>
      <c r="E268" s="195"/>
      <c r="G268" s="195"/>
      <c r="I268" s="195"/>
      <c r="L268" s="194"/>
    </row>
    <row r="269" spans="3:12" ht="13.2">
      <c r="C269" s="195"/>
      <c r="E269" s="195"/>
      <c r="G269" s="195"/>
      <c r="I269" s="195"/>
      <c r="L269" s="194"/>
    </row>
    <row r="270" spans="3:12" ht="13.2">
      <c r="C270" s="195"/>
      <c r="E270" s="195"/>
      <c r="G270" s="195"/>
      <c r="I270" s="195"/>
      <c r="L270" s="194"/>
    </row>
    <row r="271" spans="3:12" ht="13.2">
      <c r="C271" s="195"/>
      <c r="E271" s="195"/>
      <c r="G271" s="195"/>
      <c r="I271" s="195"/>
      <c r="L271" s="194"/>
    </row>
    <row r="272" spans="3:12" ht="13.2">
      <c r="C272" s="195"/>
      <c r="E272" s="195"/>
      <c r="G272" s="195"/>
      <c r="I272" s="195"/>
      <c r="L272" s="194"/>
    </row>
    <row r="273" spans="3:12" ht="13.2">
      <c r="C273" s="195"/>
      <c r="E273" s="195"/>
      <c r="G273" s="195"/>
      <c r="I273" s="195"/>
      <c r="L273" s="194"/>
    </row>
    <row r="274" spans="3:12" ht="13.2">
      <c r="C274" s="195"/>
      <c r="E274" s="195"/>
      <c r="G274" s="195"/>
      <c r="I274" s="195"/>
      <c r="L274" s="194"/>
    </row>
    <row r="275" spans="3:12" ht="13.2">
      <c r="C275" s="195"/>
      <c r="E275" s="195"/>
      <c r="G275" s="195"/>
      <c r="I275" s="195"/>
      <c r="L275" s="194"/>
    </row>
    <row r="276" spans="3:12" ht="13.2">
      <c r="C276" s="195"/>
      <c r="E276" s="195"/>
      <c r="G276" s="195"/>
      <c r="I276" s="195"/>
      <c r="L276" s="194"/>
    </row>
    <row r="277" spans="3:12" ht="13.2">
      <c r="C277" s="195"/>
      <c r="E277" s="195"/>
      <c r="G277" s="195"/>
      <c r="I277" s="195"/>
      <c r="L277" s="194"/>
    </row>
    <row r="278" spans="3:12" ht="13.2">
      <c r="C278" s="195"/>
      <c r="E278" s="195"/>
      <c r="G278" s="195"/>
      <c r="I278" s="195"/>
      <c r="L278" s="194"/>
    </row>
    <row r="279" spans="3:12" ht="13.2">
      <c r="C279" s="195"/>
      <c r="E279" s="195"/>
      <c r="G279" s="195"/>
      <c r="I279" s="195"/>
      <c r="L279" s="194"/>
    </row>
    <row r="280" spans="3:12" ht="13.2">
      <c r="C280" s="195"/>
      <c r="E280" s="195"/>
      <c r="G280" s="195"/>
      <c r="I280" s="195"/>
      <c r="L280" s="194"/>
    </row>
    <row r="281" spans="3:12" ht="13.2">
      <c r="C281" s="195"/>
      <c r="E281" s="195"/>
      <c r="G281" s="195"/>
      <c r="I281" s="195"/>
      <c r="L281" s="194"/>
    </row>
    <row r="282" spans="3:12" ht="13.2">
      <c r="C282" s="195"/>
      <c r="E282" s="195"/>
      <c r="G282" s="195"/>
      <c r="I282" s="195"/>
      <c r="L282" s="194"/>
    </row>
    <row r="283" spans="3:12" ht="13.2">
      <c r="C283" s="195"/>
      <c r="E283" s="195"/>
      <c r="G283" s="195"/>
      <c r="I283" s="195"/>
      <c r="L283" s="194"/>
    </row>
    <row r="284" spans="3:12" ht="13.2">
      <c r="C284" s="195"/>
      <c r="E284" s="195"/>
      <c r="G284" s="195"/>
      <c r="I284" s="195"/>
      <c r="L284" s="194"/>
    </row>
    <row r="285" spans="3:12" ht="13.2">
      <c r="C285" s="195"/>
      <c r="E285" s="195"/>
      <c r="G285" s="195"/>
      <c r="I285" s="195"/>
      <c r="L285" s="194"/>
    </row>
    <row r="286" spans="3:12" ht="13.2">
      <c r="C286" s="195"/>
      <c r="E286" s="195"/>
      <c r="G286" s="195"/>
      <c r="I286" s="195"/>
      <c r="L286" s="194"/>
    </row>
    <row r="287" spans="3:12" ht="13.2">
      <c r="C287" s="195"/>
      <c r="E287" s="195"/>
      <c r="G287" s="195"/>
      <c r="I287" s="195"/>
      <c r="L287" s="194"/>
    </row>
    <row r="288" spans="3:12" ht="13.2">
      <c r="C288" s="195"/>
      <c r="E288" s="195"/>
      <c r="G288" s="195"/>
      <c r="I288" s="195"/>
      <c r="L288" s="194"/>
    </row>
    <row r="289" spans="3:12" ht="13.2">
      <c r="C289" s="195"/>
      <c r="E289" s="195"/>
      <c r="G289" s="195"/>
      <c r="I289" s="195"/>
      <c r="L289" s="194"/>
    </row>
    <row r="290" spans="3:12" ht="13.2">
      <c r="C290" s="195"/>
      <c r="E290" s="195"/>
      <c r="G290" s="195"/>
      <c r="I290" s="195"/>
      <c r="L290" s="194"/>
    </row>
    <row r="291" spans="3:12" ht="13.2">
      <c r="C291" s="195"/>
      <c r="E291" s="195"/>
      <c r="G291" s="195"/>
      <c r="I291" s="195"/>
      <c r="L291" s="194"/>
    </row>
    <row r="292" spans="3:12" ht="13.2">
      <c r="C292" s="195"/>
      <c r="E292" s="195"/>
      <c r="G292" s="195"/>
      <c r="I292" s="195"/>
      <c r="L292" s="194"/>
    </row>
    <row r="293" spans="3:12" ht="13.2">
      <c r="C293" s="195"/>
      <c r="E293" s="195"/>
      <c r="G293" s="195"/>
      <c r="I293" s="195"/>
      <c r="L293" s="194"/>
    </row>
    <row r="294" spans="3:12" ht="13.2">
      <c r="C294" s="195"/>
      <c r="E294" s="195"/>
      <c r="G294" s="195"/>
      <c r="I294" s="195"/>
      <c r="L294" s="194"/>
    </row>
    <row r="295" spans="3:12" ht="13.2">
      <c r="C295" s="195"/>
      <c r="E295" s="195"/>
      <c r="G295" s="195"/>
      <c r="I295" s="195"/>
      <c r="L295" s="194"/>
    </row>
    <row r="296" spans="3:12" ht="13.2">
      <c r="C296" s="195"/>
      <c r="E296" s="195"/>
      <c r="G296" s="195"/>
      <c r="I296" s="195"/>
      <c r="L296" s="194"/>
    </row>
    <row r="297" spans="3:12" ht="13.2">
      <c r="C297" s="195"/>
      <c r="E297" s="195"/>
      <c r="G297" s="195"/>
      <c r="I297" s="195"/>
      <c r="L297" s="194"/>
    </row>
    <row r="298" spans="3:12" ht="13.2">
      <c r="C298" s="195"/>
      <c r="E298" s="195"/>
      <c r="G298" s="195"/>
      <c r="I298" s="195"/>
      <c r="L298" s="194"/>
    </row>
    <row r="299" spans="3:12" ht="13.2">
      <c r="C299" s="195"/>
      <c r="E299" s="195"/>
      <c r="G299" s="195"/>
      <c r="I299" s="195"/>
      <c r="L299" s="194"/>
    </row>
    <row r="300" spans="3:12" ht="13.2">
      <c r="C300" s="195"/>
      <c r="E300" s="195"/>
      <c r="G300" s="195"/>
      <c r="I300" s="195"/>
      <c r="L300" s="194"/>
    </row>
    <row r="301" spans="3:12" ht="13.2">
      <c r="C301" s="195"/>
      <c r="E301" s="195"/>
      <c r="G301" s="195"/>
      <c r="I301" s="195"/>
      <c r="L301" s="194"/>
    </row>
    <row r="302" spans="3:12" ht="13.2">
      <c r="C302" s="195"/>
      <c r="E302" s="195"/>
      <c r="G302" s="195"/>
      <c r="I302" s="195"/>
      <c r="L302" s="194"/>
    </row>
    <row r="303" spans="3:12" ht="13.2">
      <c r="C303" s="195"/>
      <c r="E303" s="195"/>
      <c r="G303" s="195"/>
      <c r="I303" s="195"/>
      <c r="L303" s="194"/>
    </row>
    <row r="304" spans="3:12" ht="13.2">
      <c r="C304" s="195"/>
      <c r="E304" s="195"/>
      <c r="G304" s="195"/>
      <c r="I304" s="195"/>
      <c r="L304" s="194"/>
    </row>
    <row r="305" spans="3:12" ht="13.2">
      <c r="C305" s="195"/>
      <c r="E305" s="195"/>
      <c r="G305" s="195"/>
      <c r="I305" s="195"/>
      <c r="L305" s="194"/>
    </row>
    <row r="306" spans="3:12" ht="13.2">
      <c r="C306" s="195"/>
      <c r="E306" s="195"/>
      <c r="G306" s="195"/>
      <c r="I306" s="195"/>
      <c r="L306" s="194"/>
    </row>
    <row r="307" spans="3:12" ht="13.2">
      <c r="C307" s="195"/>
      <c r="E307" s="195"/>
      <c r="G307" s="195"/>
      <c r="I307" s="195"/>
      <c r="L307" s="194"/>
    </row>
    <row r="308" spans="3:12" ht="13.2">
      <c r="C308" s="195"/>
      <c r="E308" s="195"/>
      <c r="G308" s="195"/>
      <c r="I308" s="195"/>
      <c r="L308" s="194"/>
    </row>
    <row r="309" spans="3:12" ht="13.2">
      <c r="C309" s="195"/>
      <c r="E309" s="195"/>
      <c r="G309" s="195"/>
      <c r="I309" s="195"/>
      <c r="L309" s="194"/>
    </row>
    <row r="310" spans="3:12" ht="13.2">
      <c r="C310" s="195"/>
      <c r="E310" s="195"/>
      <c r="G310" s="195"/>
      <c r="I310" s="195"/>
      <c r="L310" s="194"/>
    </row>
    <row r="311" spans="3:12" ht="13.2">
      <c r="C311" s="195"/>
      <c r="E311" s="195"/>
      <c r="G311" s="195"/>
      <c r="I311" s="195"/>
      <c r="L311" s="194"/>
    </row>
    <row r="312" spans="3:12" ht="13.2">
      <c r="C312" s="195"/>
      <c r="E312" s="195"/>
      <c r="G312" s="195"/>
      <c r="I312" s="195"/>
      <c r="L312" s="194"/>
    </row>
    <row r="313" spans="3:12" ht="13.2">
      <c r="C313" s="195"/>
      <c r="E313" s="195"/>
      <c r="G313" s="195"/>
      <c r="I313" s="195"/>
      <c r="L313" s="194"/>
    </row>
    <row r="314" spans="3:12" ht="13.2">
      <c r="C314" s="195"/>
      <c r="E314" s="195"/>
      <c r="G314" s="195"/>
      <c r="I314" s="195"/>
      <c r="L314" s="194"/>
    </row>
    <row r="315" spans="3:12" ht="13.2">
      <c r="C315" s="195"/>
      <c r="E315" s="195"/>
      <c r="G315" s="195"/>
      <c r="I315" s="195"/>
      <c r="L315" s="194"/>
    </row>
    <row r="316" spans="3:12" ht="13.2">
      <c r="C316" s="195"/>
      <c r="E316" s="195"/>
      <c r="G316" s="195"/>
      <c r="I316" s="195"/>
      <c r="L316" s="194"/>
    </row>
    <row r="317" spans="3:12" ht="13.2">
      <c r="C317" s="195"/>
      <c r="E317" s="195"/>
      <c r="G317" s="195"/>
      <c r="I317" s="195"/>
      <c r="L317" s="194"/>
    </row>
    <row r="318" spans="3:12" ht="13.2">
      <c r="C318" s="195"/>
      <c r="E318" s="195"/>
      <c r="G318" s="195"/>
      <c r="I318" s="195"/>
      <c r="L318" s="194"/>
    </row>
    <row r="319" spans="3:12" ht="13.2">
      <c r="C319" s="195"/>
      <c r="E319" s="195"/>
      <c r="G319" s="195"/>
      <c r="I319" s="195"/>
      <c r="L319" s="194"/>
    </row>
    <row r="320" spans="3:12" ht="13.2">
      <c r="C320" s="195"/>
      <c r="E320" s="195"/>
      <c r="G320" s="195"/>
      <c r="I320" s="195"/>
      <c r="L320" s="194"/>
    </row>
    <row r="321" spans="3:12" ht="13.2">
      <c r="C321" s="195"/>
      <c r="E321" s="195"/>
      <c r="G321" s="195"/>
      <c r="I321" s="195"/>
      <c r="L321" s="194"/>
    </row>
    <row r="322" spans="3:12" ht="13.2">
      <c r="C322" s="195"/>
      <c r="E322" s="195"/>
      <c r="G322" s="195"/>
      <c r="I322" s="195"/>
      <c r="L322" s="194"/>
    </row>
    <row r="323" spans="3:12" ht="13.2">
      <c r="C323" s="195"/>
      <c r="E323" s="195"/>
      <c r="G323" s="195"/>
      <c r="I323" s="195"/>
      <c r="L323" s="194"/>
    </row>
    <row r="324" spans="3:12" ht="13.2">
      <c r="C324" s="195"/>
      <c r="E324" s="195"/>
      <c r="G324" s="195"/>
      <c r="I324" s="195"/>
      <c r="L324" s="194"/>
    </row>
    <row r="325" spans="3:12" ht="13.2">
      <c r="C325" s="195"/>
      <c r="E325" s="195"/>
      <c r="G325" s="195"/>
      <c r="I325" s="195"/>
      <c r="L325" s="194"/>
    </row>
    <row r="326" spans="3:12" ht="13.2">
      <c r="C326" s="195"/>
      <c r="E326" s="195"/>
      <c r="G326" s="195"/>
      <c r="I326" s="195"/>
      <c r="L326" s="194"/>
    </row>
    <row r="327" spans="3:12" ht="13.2">
      <c r="C327" s="195"/>
      <c r="E327" s="195"/>
      <c r="G327" s="195"/>
      <c r="I327" s="195"/>
      <c r="L327" s="194"/>
    </row>
    <row r="328" spans="3:12" ht="13.2">
      <c r="C328" s="195"/>
      <c r="E328" s="195"/>
      <c r="G328" s="195"/>
      <c r="I328" s="195"/>
      <c r="L328" s="194"/>
    </row>
    <row r="329" spans="3:12" ht="13.2">
      <c r="C329" s="195"/>
      <c r="E329" s="195"/>
      <c r="G329" s="195"/>
      <c r="I329" s="195"/>
      <c r="L329" s="194"/>
    </row>
    <row r="330" spans="3:12" ht="13.2">
      <c r="C330" s="195"/>
      <c r="E330" s="195"/>
      <c r="G330" s="195"/>
      <c r="I330" s="195"/>
      <c r="L330" s="194"/>
    </row>
    <row r="331" spans="3:12" ht="13.2">
      <c r="C331" s="195"/>
      <c r="E331" s="195"/>
      <c r="G331" s="195"/>
      <c r="I331" s="195"/>
      <c r="L331" s="194"/>
    </row>
    <row r="332" spans="3:12" ht="13.2">
      <c r="C332" s="195"/>
      <c r="E332" s="195"/>
      <c r="G332" s="195"/>
      <c r="I332" s="195"/>
      <c r="L332" s="194"/>
    </row>
    <row r="333" spans="3:12" ht="13.2">
      <c r="C333" s="195"/>
      <c r="E333" s="195"/>
      <c r="G333" s="195"/>
      <c r="I333" s="195"/>
      <c r="L333" s="194"/>
    </row>
    <row r="334" spans="3:12" ht="13.2">
      <c r="C334" s="195"/>
      <c r="E334" s="195"/>
      <c r="G334" s="195"/>
      <c r="I334" s="195"/>
      <c r="L334" s="194"/>
    </row>
    <row r="335" spans="3:12" ht="13.2">
      <c r="C335" s="195"/>
      <c r="E335" s="195"/>
      <c r="G335" s="195"/>
      <c r="I335" s="195"/>
      <c r="L335" s="194"/>
    </row>
    <row r="336" spans="3:12" ht="13.2">
      <c r="C336" s="195"/>
      <c r="E336" s="195"/>
      <c r="G336" s="195"/>
      <c r="I336" s="195"/>
      <c r="L336" s="194"/>
    </row>
    <row r="337" spans="3:12" ht="13.2">
      <c r="C337" s="195"/>
      <c r="E337" s="195"/>
      <c r="G337" s="195"/>
      <c r="I337" s="195"/>
      <c r="L337" s="194"/>
    </row>
    <row r="338" spans="3:12" ht="13.2">
      <c r="C338" s="195"/>
      <c r="E338" s="195"/>
      <c r="G338" s="195"/>
      <c r="I338" s="195"/>
      <c r="L338" s="194"/>
    </row>
    <row r="339" spans="3:12" ht="13.2">
      <c r="C339" s="195"/>
      <c r="E339" s="195"/>
      <c r="G339" s="195"/>
      <c r="I339" s="195"/>
      <c r="L339" s="194"/>
    </row>
    <row r="340" spans="3:12" ht="13.2">
      <c r="C340" s="195"/>
      <c r="E340" s="195"/>
      <c r="G340" s="195"/>
      <c r="I340" s="195"/>
      <c r="L340" s="194"/>
    </row>
    <row r="341" spans="3:12" ht="13.2">
      <c r="C341" s="195"/>
      <c r="E341" s="195"/>
      <c r="G341" s="195"/>
      <c r="I341" s="195"/>
      <c r="L341" s="194"/>
    </row>
    <row r="342" spans="3:12" ht="13.2">
      <c r="C342" s="195"/>
      <c r="E342" s="195"/>
      <c r="G342" s="195"/>
      <c r="I342" s="195"/>
      <c r="L342" s="194"/>
    </row>
    <row r="343" spans="3:12" ht="13.2">
      <c r="C343" s="195"/>
      <c r="E343" s="195"/>
      <c r="G343" s="195"/>
      <c r="I343" s="195"/>
      <c r="L343" s="194"/>
    </row>
    <row r="344" spans="3:12" ht="13.2">
      <c r="C344" s="195"/>
      <c r="E344" s="195"/>
      <c r="G344" s="195"/>
      <c r="I344" s="195"/>
      <c r="L344" s="194"/>
    </row>
    <row r="345" spans="3:12" ht="13.2">
      <c r="C345" s="195"/>
      <c r="E345" s="195"/>
      <c r="G345" s="195"/>
      <c r="I345" s="195"/>
      <c r="L345" s="194"/>
    </row>
    <row r="346" spans="3:12" ht="13.2">
      <c r="C346" s="195"/>
      <c r="E346" s="195"/>
      <c r="G346" s="195"/>
      <c r="I346" s="195"/>
      <c r="L346" s="194"/>
    </row>
    <row r="347" spans="3:12" ht="13.2">
      <c r="C347" s="195"/>
      <c r="E347" s="195"/>
      <c r="G347" s="195"/>
      <c r="I347" s="195"/>
      <c r="L347" s="194"/>
    </row>
    <row r="348" spans="3:12" ht="13.2">
      <c r="C348" s="195"/>
      <c r="E348" s="195"/>
      <c r="G348" s="195"/>
      <c r="I348" s="195"/>
      <c r="L348" s="194"/>
    </row>
    <row r="349" spans="3:12" ht="13.2">
      <c r="C349" s="195"/>
      <c r="E349" s="195"/>
      <c r="G349" s="195"/>
      <c r="I349" s="195"/>
      <c r="L349" s="194"/>
    </row>
    <row r="350" spans="3:12" ht="13.2">
      <c r="C350" s="195"/>
      <c r="E350" s="195"/>
      <c r="G350" s="195"/>
      <c r="I350" s="195"/>
      <c r="L350" s="194"/>
    </row>
    <row r="351" spans="3:12" ht="13.2">
      <c r="C351" s="195"/>
      <c r="E351" s="195"/>
      <c r="G351" s="195"/>
      <c r="I351" s="195"/>
      <c r="L351" s="194"/>
    </row>
    <row r="352" spans="3:12" ht="13.2">
      <c r="C352" s="195"/>
      <c r="E352" s="195"/>
      <c r="G352" s="195"/>
      <c r="I352" s="195"/>
      <c r="L352" s="194"/>
    </row>
    <row r="353" spans="3:12" ht="13.2">
      <c r="C353" s="195"/>
      <c r="E353" s="195"/>
      <c r="G353" s="195"/>
      <c r="I353" s="195"/>
      <c r="L353" s="194"/>
    </row>
    <row r="354" spans="3:12" ht="13.2">
      <c r="C354" s="195"/>
      <c r="E354" s="195"/>
      <c r="G354" s="195"/>
      <c r="I354" s="195"/>
      <c r="L354" s="194"/>
    </row>
    <row r="355" spans="3:12" ht="13.2">
      <c r="C355" s="195"/>
      <c r="E355" s="195"/>
      <c r="G355" s="195"/>
      <c r="I355" s="195"/>
      <c r="L355" s="194"/>
    </row>
    <row r="356" spans="3:12" ht="13.2">
      <c r="C356" s="195"/>
      <c r="E356" s="195"/>
      <c r="G356" s="195"/>
      <c r="I356" s="195"/>
      <c r="L356" s="194"/>
    </row>
    <row r="357" spans="3:12" ht="13.2">
      <c r="C357" s="195"/>
      <c r="E357" s="195"/>
      <c r="G357" s="195"/>
      <c r="I357" s="195"/>
      <c r="L357" s="194"/>
    </row>
    <row r="358" spans="3:12" ht="13.2">
      <c r="C358" s="195"/>
      <c r="E358" s="195"/>
      <c r="G358" s="195"/>
      <c r="I358" s="195"/>
      <c r="L358" s="194"/>
    </row>
    <row r="359" spans="3:12" ht="13.2">
      <c r="C359" s="195"/>
      <c r="E359" s="195"/>
      <c r="G359" s="195"/>
      <c r="I359" s="195"/>
      <c r="L359" s="194"/>
    </row>
    <row r="360" spans="3:12" ht="13.2">
      <c r="C360" s="195"/>
      <c r="E360" s="195"/>
      <c r="G360" s="195"/>
      <c r="I360" s="195"/>
      <c r="L360" s="194"/>
    </row>
    <row r="361" spans="3:12" ht="13.2">
      <c r="C361" s="195"/>
      <c r="E361" s="195"/>
      <c r="G361" s="195"/>
      <c r="I361" s="195"/>
      <c r="L361" s="194"/>
    </row>
    <row r="362" spans="3:12" ht="13.2">
      <c r="C362" s="195"/>
      <c r="E362" s="195"/>
      <c r="G362" s="195"/>
      <c r="I362" s="195"/>
      <c r="L362" s="194"/>
    </row>
    <row r="363" spans="3:12" ht="13.2">
      <c r="C363" s="195"/>
      <c r="E363" s="195"/>
      <c r="G363" s="195"/>
      <c r="I363" s="195"/>
      <c r="L363" s="194"/>
    </row>
    <row r="364" spans="3:12" ht="13.2">
      <c r="C364" s="195"/>
      <c r="E364" s="195"/>
      <c r="G364" s="195"/>
      <c r="I364" s="195"/>
      <c r="L364" s="194"/>
    </row>
    <row r="365" spans="3:12" ht="13.2">
      <c r="C365" s="195"/>
      <c r="E365" s="195"/>
      <c r="G365" s="195"/>
      <c r="I365" s="195"/>
      <c r="L365" s="194"/>
    </row>
    <row r="366" spans="3:12" ht="13.2">
      <c r="C366" s="195"/>
      <c r="E366" s="195"/>
      <c r="G366" s="195"/>
      <c r="I366" s="195"/>
      <c r="L366" s="194"/>
    </row>
    <row r="367" spans="3:12" ht="13.2">
      <c r="C367" s="195"/>
      <c r="E367" s="195"/>
      <c r="G367" s="195"/>
      <c r="I367" s="195"/>
      <c r="L367" s="194"/>
    </row>
    <row r="368" spans="3:12" ht="13.2">
      <c r="C368" s="195"/>
      <c r="E368" s="195"/>
      <c r="G368" s="195"/>
      <c r="I368" s="195"/>
      <c r="L368" s="194"/>
    </row>
    <row r="369" spans="3:12" ht="13.2">
      <c r="C369" s="195"/>
      <c r="E369" s="195"/>
      <c r="G369" s="195"/>
      <c r="I369" s="195"/>
      <c r="L369" s="194"/>
    </row>
    <row r="370" spans="3:12" ht="13.2">
      <c r="C370" s="195"/>
      <c r="E370" s="195"/>
      <c r="G370" s="195"/>
      <c r="I370" s="195"/>
      <c r="L370" s="194"/>
    </row>
    <row r="371" spans="3:12" ht="13.2">
      <c r="C371" s="195"/>
      <c r="E371" s="195"/>
      <c r="G371" s="195"/>
      <c r="I371" s="195"/>
      <c r="L371" s="194"/>
    </row>
    <row r="372" spans="3:12" ht="13.2">
      <c r="C372" s="195"/>
      <c r="E372" s="195"/>
      <c r="G372" s="195"/>
      <c r="I372" s="195"/>
      <c r="L372" s="194"/>
    </row>
    <row r="373" spans="3:12" ht="13.2">
      <c r="C373" s="195"/>
      <c r="E373" s="195"/>
      <c r="G373" s="195"/>
      <c r="I373" s="195"/>
      <c r="L373" s="194"/>
    </row>
    <row r="374" spans="3:12" ht="13.2">
      <c r="C374" s="195"/>
      <c r="E374" s="195"/>
      <c r="G374" s="195"/>
      <c r="I374" s="195"/>
      <c r="L374" s="194"/>
    </row>
    <row r="375" spans="3:12" ht="13.2">
      <c r="C375" s="195"/>
      <c r="E375" s="195"/>
      <c r="G375" s="195"/>
      <c r="I375" s="195"/>
      <c r="L375" s="194"/>
    </row>
    <row r="376" spans="3:12" ht="13.2">
      <c r="C376" s="195"/>
      <c r="E376" s="195"/>
      <c r="G376" s="195"/>
      <c r="I376" s="195"/>
      <c r="L376" s="194"/>
    </row>
    <row r="377" spans="3:12" ht="13.2">
      <c r="C377" s="195"/>
      <c r="E377" s="195"/>
      <c r="G377" s="195"/>
      <c r="I377" s="195"/>
      <c r="L377" s="194"/>
    </row>
    <row r="378" spans="3:12" ht="13.2">
      <c r="C378" s="195"/>
      <c r="E378" s="195"/>
      <c r="G378" s="195"/>
      <c r="I378" s="195"/>
      <c r="L378" s="194"/>
    </row>
    <row r="379" spans="3:12" ht="13.2">
      <c r="C379" s="195"/>
      <c r="E379" s="195"/>
      <c r="G379" s="195"/>
      <c r="I379" s="195"/>
      <c r="L379" s="194"/>
    </row>
    <row r="380" spans="3:12" ht="13.2">
      <c r="C380" s="195"/>
      <c r="E380" s="195"/>
      <c r="G380" s="195"/>
      <c r="I380" s="195"/>
      <c r="L380" s="194"/>
    </row>
    <row r="381" spans="3:12" ht="13.2">
      <c r="C381" s="195"/>
      <c r="E381" s="195"/>
      <c r="G381" s="195"/>
      <c r="I381" s="195"/>
      <c r="L381" s="194"/>
    </row>
    <row r="382" spans="3:12" ht="13.2">
      <c r="C382" s="195"/>
      <c r="E382" s="195"/>
      <c r="G382" s="195"/>
      <c r="I382" s="195"/>
      <c r="L382" s="194"/>
    </row>
    <row r="383" spans="3:12" ht="13.2">
      <c r="C383" s="195"/>
      <c r="E383" s="195"/>
      <c r="G383" s="195"/>
      <c r="I383" s="195"/>
      <c r="L383" s="194"/>
    </row>
    <row r="384" spans="3:12" ht="13.2">
      <c r="C384" s="195"/>
      <c r="E384" s="195"/>
      <c r="G384" s="195"/>
      <c r="I384" s="195"/>
      <c r="L384" s="194"/>
    </row>
    <row r="385" spans="3:12" ht="13.2">
      <c r="C385" s="195"/>
      <c r="E385" s="195"/>
      <c r="G385" s="195"/>
      <c r="I385" s="195"/>
      <c r="L385" s="194"/>
    </row>
    <row r="386" spans="3:12" ht="13.2">
      <c r="C386" s="195"/>
      <c r="E386" s="195"/>
      <c r="G386" s="195"/>
      <c r="I386" s="195"/>
      <c r="L386" s="194"/>
    </row>
    <row r="387" spans="3:12" ht="13.2">
      <c r="C387" s="195"/>
      <c r="E387" s="195"/>
      <c r="G387" s="195"/>
      <c r="I387" s="195"/>
      <c r="L387" s="194"/>
    </row>
    <row r="388" spans="3:12" ht="13.2">
      <c r="C388" s="195"/>
      <c r="E388" s="195"/>
      <c r="G388" s="195"/>
      <c r="I388" s="195"/>
      <c r="L388" s="194"/>
    </row>
    <row r="389" spans="3:12" ht="13.2">
      <c r="C389" s="195"/>
      <c r="E389" s="195"/>
      <c r="G389" s="195"/>
      <c r="I389" s="195"/>
      <c r="L389" s="194"/>
    </row>
    <row r="390" spans="3:12" ht="13.2">
      <c r="C390" s="195"/>
      <c r="E390" s="195"/>
      <c r="G390" s="195"/>
      <c r="I390" s="195"/>
      <c r="L390" s="194"/>
    </row>
    <row r="391" spans="3:12" ht="13.2">
      <c r="C391" s="195"/>
      <c r="E391" s="195"/>
      <c r="G391" s="195"/>
      <c r="I391" s="195"/>
      <c r="L391" s="194"/>
    </row>
    <row r="392" spans="3:12" ht="13.2">
      <c r="C392" s="195"/>
      <c r="E392" s="195"/>
      <c r="G392" s="195"/>
      <c r="I392" s="195"/>
      <c r="L392" s="194"/>
    </row>
    <row r="393" spans="3:12" ht="13.2">
      <c r="C393" s="195"/>
      <c r="E393" s="195"/>
      <c r="G393" s="195"/>
      <c r="I393" s="195"/>
      <c r="L393" s="194"/>
    </row>
    <row r="394" spans="3:12" ht="13.2">
      <c r="C394" s="195"/>
      <c r="E394" s="195"/>
      <c r="G394" s="195"/>
      <c r="I394" s="195"/>
      <c r="L394" s="194"/>
    </row>
    <row r="395" spans="3:12" ht="13.2">
      <c r="C395" s="195"/>
      <c r="E395" s="195"/>
      <c r="G395" s="195"/>
      <c r="I395" s="195"/>
      <c r="L395" s="194"/>
    </row>
    <row r="396" spans="3:12" ht="13.2">
      <c r="C396" s="195"/>
      <c r="E396" s="195"/>
      <c r="G396" s="195"/>
      <c r="I396" s="195"/>
      <c r="L396" s="194"/>
    </row>
    <row r="397" spans="3:12" ht="13.2">
      <c r="C397" s="195"/>
      <c r="E397" s="195"/>
      <c r="G397" s="195"/>
      <c r="I397" s="195"/>
      <c r="L397" s="194"/>
    </row>
    <row r="398" spans="3:12" ht="13.2">
      <c r="C398" s="195"/>
      <c r="E398" s="195"/>
      <c r="G398" s="195"/>
      <c r="I398" s="195"/>
      <c r="L398" s="194"/>
    </row>
    <row r="399" spans="3:12" ht="13.2">
      <c r="C399" s="195"/>
      <c r="E399" s="195"/>
      <c r="G399" s="195"/>
      <c r="I399" s="195"/>
      <c r="L399" s="194"/>
    </row>
    <row r="400" spans="3:12" ht="13.2">
      <c r="C400" s="195"/>
      <c r="E400" s="195"/>
      <c r="G400" s="195"/>
      <c r="I400" s="195"/>
      <c r="L400" s="194"/>
    </row>
    <row r="401" spans="3:12" ht="13.2">
      <c r="C401" s="195"/>
      <c r="E401" s="195"/>
      <c r="G401" s="195"/>
      <c r="I401" s="195"/>
      <c r="L401" s="194"/>
    </row>
    <row r="402" spans="3:12" ht="13.2">
      <c r="C402" s="195"/>
      <c r="E402" s="195"/>
      <c r="G402" s="195"/>
      <c r="I402" s="195"/>
      <c r="L402" s="194"/>
    </row>
    <row r="403" spans="3:12" ht="13.2">
      <c r="C403" s="195"/>
      <c r="E403" s="195"/>
      <c r="G403" s="195"/>
      <c r="I403" s="195"/>
      <c r="L403" s="194"/>
    </row>
    <row r="404" spans="3:12" ht="13.2">
      <c r="C404" s="195"/>
      <c r="E404" s="195"/>
      <c r="G404" s="195"/>
      <c r="I404" s="195"/>
      <c r="L404" s="194"/>
    </row>
    <row r="405" spans="3:12" ht="13.2">
      <c r="C405" s="195"/>
      <c r="E405" s="195"/>
      <c r="G405" s="195"/>
      <c r="I405" s="195"/>
      <c r="L405" s="194"/>
    </row>
    <row r="406" spans="3:12" ht="13.2">
      <c r="C406" s="195"/>
      <c r="E406" s="195"/>
      <c r="G406" s="195"/>
      <c r="I406" s="195"/>
      <c r="L406" s="194"/>
    </row>
    <row r="407" spans="3:12" ht="13.2">
      <c r="C407" s="195"/>
      <c r="E407" s="195"/>
      <c r="G407" s="195"/>
      <c r="I407" s="195"/>
      <c r="L407" s="194"/>
    </row>
    <row r="408" spans="3:12" ht="13.2">
      <c r="C408" s="195"/>
      <c r="E408" s="195"/>
      <c r="G408" s="195"/>
      <c r="I408" s="195"/>
      <c r="L408" s="194"/>
    </row>
    <row r="409" spans="3:12" ht="13.2">
      <c r="C409" s="195"/>
      <c r="E409" s="195"/>
      <c r="G409" s="195"/>
      <c r="I409" s="195"/>
      <c r="L409" s="194"/>
    </row>
    <row r="410" spans="3:12" ht="13.2">
      <c r="C410" s="195"/>
      <c r="E410" s="195"/>
      <c r="G410" s="195"/>
      <c r="I410" s="195"/>
      <c r="L410" s="194"/>
    </row>
    <row r="411" spans="3:12" ht="13.2">
      <c r="C411" s="195"/>
      <c r="E411" s="195"/>
      <c r="G411" s="195"/>
      <c r="I411" s="195"/>
      <c r="L411" s="194"/>
    </row>
    <row r="412" spans="3:12" ht="13.2">
      <c r="C412" s="195"/>
      <c r="E412" s="195"/>
      <c r="G412" s="195"/>
      <c r="I412" s="195"/>
      <c r="L412" s="194"/>
    </row>
    <row r="413" spans="3:12" ht="13.2">
      <c r="C413" s="195"/>
      <c r="E413" s="195"/>
      <c r="G413" s="195"/>
      <c r="I413" s="195"/>
      <c r="L413" s="194"/>
    </row>
    <row r="414" spans="3:12" ht="13.2">
      <c r="C414" s="195"/>
      <c r="E414" s="195"/>
      <c r="G414" s="195"/>
      <c r="I414" s="195"/>
      <c r="L414" s="194"/>
    </row>
    <row r="415" spans="3:12" ht="13.2">
      <c r="C415" s="195"/>
      <c r="E415" s="195"/>
      <c r="G415" s="195"/>
      <c r="I415" s="195"/>
      <c r="L415" s="194"/>
    </row>
    <row r="416" spans="3:12" ht="13.2">
      <c r="C416" s="195"/>
      <c r="E416" s="195"/>
      <c r="G416" s="195"/>
      <c r="I416" s="195"/>
      <c r="L416" s="194"/>
    </row>
    <row r="417" spans="3:12" ht="13.2">
      <c r="C417" s="195"/>
      <c r="E417" s="195"/>
      <c r="G417" s="195"/>
      <c r="I417" s="195"/>
      <c r="L417" s="194"/>
    </row>
    <row r="418" spans="3:12" ht="13.2">
      <c r="C418" s="195"/>
      <c r="E418" s="195"/>
      <c r="G418" s="195"/>
      <c r="I418" s="195"/>
      <c r="L418" s="194"/>
    </row>
    <row r="419" spans="3:12" ht="13.2">
      <c r="C419" s="195"/>
      <c r="E419" s="195"/>
      <c r="G419" s="195"/>
      <c r="I419" s="195"/>
      <c r="L419" s="194"/>
    </row>
    <row r="420" spans="3:12" ht="13.2">
      <c r="C420" s="195"/>
      <c r="E420" s="195"/>
      <c r="G420" s="195"/>
      <c r="I420" s="195"/>
      <c r="L420" s="194"/>
    </row>
    <row r="421" spans="3:12" ht="13.2">
      <c r="C421" s="195"/>
      <c r="E421" s="195"/>
      <c r="G421" s="195"/>
      <c r="I421" s="195"/>
      <c r="L421" s="194"/>
    </row>
    <row r="422" spans="3:12" ht="13.2">
      <c r="C422" s="195"/>
      <c r="E422" s="195"/>
      <c r="G422" s="195"/>
      <c r="I422" s="195"/>
      <c r="L422" s="194"/>
    </row>
    <row r="423" spans="3:12" ht="13.2">
      <c r="C423" s="195"/>
      <c r="E423" s="195"/>
      <c r="G423" s="195"/>
      <c r="I423" s="195"/>
      <c r="L423" s="194"/>
    </row>
    <row r="424" spans="3:12" ht="13.2">
      <c r="C424" s="195"/>
      <c r="E424" s="195"/>
      <c r="G424" s="195"/>
      <c r="I424" s="195"/>
      <c r="L424" s="194"/>
    </row>
    <row r="425" spans="3:12" ht="13.2">
      <c r="C425" s="195"/>
      <c r="E425" s="195"/>
      <c r="G425" s="195"/>
      <c r="I425" s="195"/>
      <c r="L425" s="194"/>
    </row>
    <row r="426" spans="3:12" ht="13.2">
      <c r="C426" s="195"/>
      <c r="E426" s="195"/>
      <c r="G426" s="195"/>
      <c r="I426" s="195"/>
      <c r="L426" s="194"/>
    </row>
    <row r="427" spans="3:12" ht="13.2">
      <c r="C427" s="195"/>
      <c r="E427" s="195"/>
      <c r="G427" s="195"/>
      <c r="I427" s="195"/>
      <c r="L427" s="194"/>
    </row>
    <row r="428" spans="3:12" ht="13.2">
      <c r="C428" s="195"/>
      <c r="E428" s="195"/>
      <c r="G428" s="195"/>
      <c r="I428" s="195"/>
      <c r="L428" s="194"/>
    </row>
    <row r="429" spans="3:12" ht="13.2">
      <c r="C429" s="195"/>
      <c r="E429" s="195"/>
      <c r="G429" s="195"/>
      <c r="I429" s="195"/>
      <c r="L429" s="194"/>
    </row>
    <row r="430" spans="3:12" ht="13.2">
      <c r="C430" s="195"/>
      <c r="E430" s="195"/>
      <c r="G430" s="195"/>
      <c r="I430" s="195"/>
      <c r="L430" s="194"/>
    </row>
    <row r="431" spans="3:12" ht="13.2">
      <c r="C431" s="195"/>
      <c r="E431" s="195"/>
      <c r="G431" s="195"/>
      <c r="I431" s="195"/>
      <c r="L431" s="194"/>
    </row>
    <row r="432" spans="3:12" ht="13.2">
      <c r="C432" s="195"/>
      <c r="E432" s="195"/>
      <c r="G432" s="195"/>
      <c r="I432" s="195"/>
      <c r="L432" s="194"/>
    </row>
    <row r="433" spans="3:12" ht="13.2">
      <c r="C433" s="195"/>
      <c r="E433" s="195"/>
      <c r="G433" s="195"/>
      <c r="I433" s="195"/>
      <c r="L433" s="194"/>
    </row>
    <row r="434" spans="3:12" ht="13.2">
      <c r="C434" s="195"/>
      <c r="E434" s="195"/>
      <c r="G434" s="195"/>
      <c r="I434" s="195"/>
      <c r="L434" s="194"/>
    </row>
    <row r="435" spans="3:12" ht="13.2">
      <c r="C435" s="195"/>
      <c r="E435" s="195"/>
      <c r="G435" s="195"/>
      <c r="I435" s="195"/>
      <c r="L435" s="194"/>
    </row>
    <row r="436" spans="3:12" ht="13.2">
      <c r="C436" s="195"/>
      <c r="E436" s="195"/>
      <c r="G436" s="195"/>
      <c r="I436" s="195"/>
      <c r="L436" s="194"/>
    </row>
    <row r="437" spans="3:12" ht="13.2">
      <c r="C437" s="195"/>
      <c r="E437" s="195"/>
      <c r="G437" s="195"/>
      <c r="I437" s="195"/>
      <c r="L437" s="194"/>
    </row>
    <row r="438" spans="3:12" ht="13.2">
      <c r="C438" s="195"/>
      <c r="E438" s="195"/>
      <c r="G438" s="195"/>
      <c r="I438" s="195"/>
      <c r="L438" s="194"/>
    </row>
    <row r="439" spans="3:12" ht="13.2">
      <c r="C439" s="195"/>
      <c r="E439" s="195"/>
      <c r="G439" s="195"/>
      <c r="I439" s="195"/>
      <c r="L439" s="194"/>
    </row>
    <row r="440" spans="3:12" ht="13.2">
      <c r="C440" s="195"/>
      <c r="E440" s="195"/>
      <c r="G440" s="195"/>
      <c r="I440" s="195"/>
      <c r="L440" s="194"/>
    </row>
    <row r="441" spans="3:12" ht="13.2">
      <c r="C441" s="195"/>
      <c r="E441" s="195"/>
      <c r="G441" s="195"/>
      <c r="I441" s="195"/>
      <c r="L441" s="194"/>
    </row>
    <row r="442" spans="3:12" ht="13.2">
      <c r="C442" s="195"/>
      <c r="E442" s="195"/>
      <c r="G442" s="195"/>
      <c r="I442" s="195"/>
      <c r="L442" s="194"/>
    </row>
    <row r="443" spans="3:12" ht="13.2">
      <c r="C443" s="195"/>
      <c r="E443" s="195"/>
      <c r="G443" s="195"/>
      <c r="I443" s="195"/>
      <c r="L443" s="194"/>
    </row>
    <row r="444" spans="3:12" ht="13.2">
      <c r="C444" s="195"/>
      <c r="E444" s="195"/>
      <c r="G444" s="195"/>
      <c r="I444" s="195"/>
      <c r="L444" s="194"/>
    </row>
    <row r="445" spans="3:12" ht="13.2">
      <c r="C445" s="195"/>
      <c r="E445" s="195"/>
      <c r="G445" s="195"/>
      <c r="I445" s="195"/>
      <c r="L445" s="194"/>
    </row>
    <row r="446" spans="3:12" ht="13.2">
      <c r="C446" s="195"/>
      <c r="E446" s="195"/>
      <c r="G446" s="195"/>
      <c r="I446" s="195"/>
      <c r="L446" s="194"/>
    </row>
    <row r="447" spans="3:12" ht="13.2">
      <c r="C447" s="195"/>
      <c r="E447" s="195"/>
      <c r="G447" s="195"/>
      <c r="I447" s="195"/>
      <c r="L447" s="194"/>
    </row>
    <row r="448" spans="3:12" ht="13.2">
      <c r="C448" s="195"/>
      <c r="E448" s="195"/>
      <c r="G448" s="195"/>
      <c r="I448" s="195"/>
      <c r="L448" s="194"/>
    </row>
    <row r="449" spans="3:12" ht="13.2">
      <c r="C449" s="195"/>
      <c r="E449" s="195"/>
      <c r="G449" s="195"/>
      <c r="I449" s="195"/>
      <c r="L449" s="194"/>
    </row>
    <row r="450" spans="3:12" ht="13.2">
      <c r="C450" s="195"/>
      <c r="E450" s="195"/>
      <c r="G450" s="195"/>
      <c r="I450" s="195"/>
      <c r="L450" s="194"/>
    </row>
    <row r="451" spans="3:12" ht="13.2">
      <c r="C451" s="195"/>
      <c r="E451" s="195"/>
      <c r="G451" s="195"/>
      <c r="I451" s="195"/>
      <c r="L451" s="194"/>
    </row>
    <row r="452" spans="3:12" ht="13.2">
      <c r="C452" s="195"/>
      <c r="E452" s="195"/>
      <c r="G452" s="195"/>
      <c r="I452" s="195"/>
      <c r="L452" s="194"/>
    </row>
    <row r="453" spans="3:12" ht="13.2">
      <c r="C453" s="195"/>
      <c r="E453" s="195"/>
      <c r="G453" s="195"/>
      <c r="I453" s="195"/>
      <c r="L453" s="194"/>
    </row>
    <row r="454" spans="3:12" ht="13.2">
      <c r="C454" s="195"/>
      <c r="E454" s="195"/>
      <c r="G454" s="195"/>
      <c r="I454" s="195"/>
      <c r="L454" s="194"/>
    </row>
    <row r="455" spans="3:12" ht="13.2">
      <c r="C455" s="195"/>
      <c r="E455" s="195"/>
      <c r="G455" s="195"/>
      <c r="I455" s="195"/>
      <c r="L455" s="194"/>
    </row>
    <row r="456" spans="3:12" ht="13.2">
      <c r="C456" s="195"/>
      <c r="E456" s="195"/>
      <c r="G456" s="195"/>
      <c r="I456" s="195"/>
      <c r="L456" s="194"/>
    </row>
    <row r="457" spans="3:12" ht="13.2">
      <c r="C457" s="195"/>
      <c r="E457" s="195"/>
      <c r="G457" s="195"/>
      <c r="I457" s="195"/>
      <c r="L457" s="194"/>
    </row>
    <row r="458" spans="3:12" ht="13.2">
      <c r="C458" s="195"/>
      <c r="E458" s="195"/>
      <c r="G458" s="195"/>
      <c r="I458" s="195"/>
      <c r="L458" s="194"/>
    </row>
    <row r="459" spans="3:12" ht="13.2">
      <c r="C459" s="195"/>
      <c r="E459" s="195"/>
      <c r="G459" s="195"/>
      <c r="I459" s="195"/>
      <c r="L459" s="194"/>
    </row>
    <row r="460" spans="3:12" ht="13.2">
      <c r="C460" s="195"/>
      <c r="E460" s="195"/>
      <c r="G460" s="195"/>
      <c r="I460" s="195"/>
      <c r="L460" s="194"/>
    </row>
    <row r="461" spans="3:12" ht="13.2">
      <c r="C461" s="195"/>
      <c r="E461" s="195"/>
      <c r="G461" s="195"/>
      <c r="I461" s="195"/>
      <c r="L461" s="194"/>
    </row>
    <row r="462" spans="3:12" ht="13.2">
      <c r="C462" s="195"/>
      <c r="E462" s="195"/>
      <c r="G462" s="195"/>
      <c r="I462" s="195"/>
      <c r="L462" s="194"/>
    </row>
    <row r="463" spans="3:12" ht="13.2">
      <c r="C463" s="195"/>
      <c r="E463" s="195"/>
      <c r="G463" s="195"/>
      <c r="I463" s="195"/>
      <c r="L463" s="194"/>
    </row>
    <row r="464" spans="3:12" ht="13.2">
      <c r="C464" s="195"/>
      <c r="E464" s="195"/>
      <c r="G464" s="195"/>
      <c r="I464" s="195"/>
      <c r="L464" s="194"/>
    </row>
    <row r="465" spans="3:12" ht="13.2">
      <c r="C465" s="195"/>
      <c r="E465" s="195"/>
      <c r="G465" s="195"/>
      <c r="I465" s="195"/>
      <c r="L465" s="194"/>
    </row>
    <row r="466" spans="3:12" ht="13.2">
      <c r="C466" s="195"/>
      <c r="E466" s="195"/>
      <c r="G466" s="195"/>
      <c r="I466" s="195"/>
      <c r="L466" s="194"/>
    </row>
    <row r="467" spans="3:12" ht="13.2">
      <c r="C467" s="195"/>
      <c r="E467" s="195"/>
      <c r="G467" s="195"/>
      <c r="I467" s="195"/>
      <c r="L467" s="194"/>
    </row>
    <row r="468" spans="3:12" ht="13.2">
      <c r="C468" s="195"/>
      <c r="E468" s="195"/>
      <c r="G468" s="195"/>
      <c r="I468" s="195"/>
      <c r="L468" s="194"/>
    </row>
    <row r="469" spans="3:12" ht="13.2">
      <c r="C469" s="195"/>
      <c r="E469" s="195"/>
      <c r="G469" s="195"/>
      <c r="I469" s="195"/>
      <c r="L469" s="194"/>
    </row>
    <row r="470" spans="3:12" ht="13.2">
      <c r="C470" s="195"/>
      <c r="E470" s="195"/>
      <c r="G470" s="195"/>
      <c r="I470" s="195"/>
      <c r="L470" s="194"/>
    </row>
    <row r="471" spans="3:12" ht="13.2">
      <c r="C471" s="195"/>
      <c r="E471" s="195"/>
      <c r="G471" s="195"/>
      <c r="I471" s="195"/>
      <c r="L471" s="194"/>
    </row>
    <row r="472" spans="3:12" ht="13.2">
      <c r="C472" s="195"/>
      <c r="E472" s="195"/>
      <c r="G472" s="195"/>
      <c r="I472" s="195"/>
      <c r="L472" s="194"/>
    </row>
    <row r="473" spans="3:12" ht="13.2">
      <c r="C473" s="195"/>
      <c r="E473" s="195"/>
      <c r="G473" s="195"/>
      <c r="I473" s="195"/>
      <c r="L473" s="194"/>
    </row>
    <row r="474" spans="3:12" ht="13.2">
      <c r="C474" s="195"/>
      <c r="E474" s="195"/>
      <c r="G474" s="195"/>
      <c r="I474" s="195"/>
      <c r="L474" s="194"/>
    </row>
    <row r="475" spans="3:12" ht="13.2">
      <c r="C475" s="195"/>
      <c r="E475" s="195"/>
      <c r="G475" s="195"/>
      <c r="I475" s="195"/>
      <c r="L475" s="194"/>
    </row>
    <row r="476" spans="3:12" ht="13.2">
      <c r="C476" s="195"/>
      <c r="E476" s="195"/>
      <c r="G476" s="195"/>
      <c r="I476" s="195"/>
      <c r="L476" s="194"/>
    </row>
    <row r="477" spans="3:12" ht="13.2">
      <c r="C477" s="195"/>
      <c r="E477" s="195"/>
      <c r="G477" s="195"/>
      <c r="I477" s="195"/>
      <c r="L477" s="194"/>
    </row>
    <row r="478" spans="3:12" ht="13.2">
      <c r="C478" s="195"/>
      <c r="E478" s="195"/>
      <c r="G478" s="195"/>
      <c r="I478" s="195"/>
      <c r="L478" s="194"/>
    </row>
    <row r="479" spans="3:12" ht="13.2">
      <c r="C479" s="195"/>
      <c r="E479" s="195"/>
      <c r="G479" s="195"/>
      <c r="I479" s="195"/>
      <c r="L479" s="194"/>
    </row>
    <row r="480" spans="3:12" ht="13.2">
      <c r="C480" s="195"/>
      <c r="E480" s="195"/>
      <c r="G480" s="195"/>
      <c r="I480" s="195"/>
      <c r="L480" s="194"/>
    </row>
    <row r="481" spans="3:12" ht="13.2">
      <c r="C481" s="195"/>
      <c r="E481" s="195"/>
      <c r="G481" s="195"/>
      <c r="I481" s="195"/>
      <c r="L481" s="194"/>
    </row>
    <row r="482" spans="3:12" ht="13.2">
      <c r="C482" s="195"/>
      <c r="E482" s="195"/>
      <c r="G482" s="195"/>
      <c r="I482" s="195"/>
      <c r="L482" s="194"/>
    </row>
    <row r="483" spans="3:12" ht="13.2">
      <c r="C483" s="195"/>
      <c r="E483" s="195"/>
      <c r="G483" s="195"/>
      <c r="I483" s="195"/>
      <c r="L483" s="194"/>
    </row>
    <row r="484" spans="3:12" ht="13.2">
      <c r="C484" s="195"/>
      <c r="E484" s="195"/>
      <c r="G484" s="195"/>
      <c r="I484" s="195"/>
      <c r="L484" s="194"/>
    </row>
    <row r="485" spans="3:12" ht="13.2">
      <c r="C485" s="195"/>
      <c r="E485" s="195"/>
      <c r="G485" s="195"/>
      <c r="I485" s="195"/>
      <c r="L485" s="194"/>
    </row>
    <row r="486" spans="3:12" ht="13.2">
      <c r="C486" s="195"/>
      <c r="E486" s="195"/>
      <c r="G486" s="195"/>
      <c r="I486" s="195"/>
      <c r="L486" s="194"/>
    </row>
    <row r="487" spans="3:12" ht="13.2">
      <c r="C487" s="195"/>
      <c r="E487" s="195"/>
      <c r="G487" s="195"/>
      <c r="I487" s="195"/>
      <c r="L487" s="194"/>
    </row>
    <row r="488" spans="3:12" ht="13.2">
      <c r="C488" s="195"/>
      <c r="E488" s="195"/>
      <c r="G488" s="195"/>
      <c r="I488" s="195"/>
      <c r="L488" s="194"/>
    </row>
    <row r="489" spans="3:12" ht="13.2">
      <c r="C489" s="195"/>
      <c r="E489" s="195"/>
      <c r="G489" s="195"/>
      <c r="I489" s="195"/>
      <c r="L489" s="194"/>
    </row>
    <row r="490" spans="3:12" ht="13.2">
      <c r="C490" s="195"/>
      <c r="E490" s="195"/>
      <c r="G490" s="195"/>
      <c r="I490" s="195"/>
      <c r="L490" s="194"/>
    </row>
    <row r="491" spans="3:12" ht="13.2">
      <c r="C491" s="195"/>
      <c r="E491" s="195"/>
      <c r="G491" s="195"/>
      <c r="I491" s="195"/>
      <c r="L491" s="194"/>
    </row>
    <row r="492" spans="3:12" ht="13.2">
      <c r="C492" s="195"/>
      <c r="E492" s="195"/>
      <c r="G492" s="195"/>
      <c r="I492" s="195"/>
      <c r="L492" s="194"/>
    </row>
    <row r="493" spans="3:12" ht="13.2">
      <c r="C493" s="195"/>
      <c r="E493" s="195"/>
      <c r="G493" s="195"/>
      <c r="I493" s="195"/>
      <c r="L493" s="194"/>
    </row>
    <row r="494" spans="3:12" ht="13.2">
      <c r="C494" s="195"/>
      <c r="E494" s="195"/>
      <c r="G494" s="195"/>
      <c r="I494" s="195"/>
      <c r="L494" s="194"/>
    </row>
    <row r="495" spans="3:12" ht="13.2">
      <c r="C495" s="195"/>
      <c r="E495" s="195"/>
      <c r="G495" s="195"/>
      <c r="I495" s="195"/>
      <c r="L495" s="194"/>
    </row>
    <row r="496" spans="3:12" ht="13.2">
      <c r="C496" s="195"/>
      <c r="E496" s="195"/>
      <c r="G496" s="195"/>
      <c r="I496" s="195"/>
      <c r="L496" s="194"/>
    </row>
    <row r="497" spans="3:12" ht="13.2">
      <c r="C497" s="195"/>
      <c r="E497" s="195"/>
      <c r="G497" s="195"/>
      <c r="I497" s="195"/>
      <c r="L497" s="194"/>
    </row>
    <row r="498" spans="3:12" ht="13.2">
      <c r="C498" s="195"/>
      <c r="E498" s="195"/>
      <c r="G498" s="195"/>
      <c r="I498" s="195"/>
      <c r="L498" s="194"/>
    </row>
    <row r="499" spans="3:12" ht="13.2">
      <c r="C499" s="195"/>
      <c r="E499" s="195"/>
      <c r="G499" s="195"/>
      <c r="I499" s="195"/>
      <c r="L499" s="194"/>
    </row>
    <row r="500" spans="3:12" ht="13.2">
      <c r="C500" s="195"/>
      <c r="E500" s="195"/>
      <c r="G500" s="195"/>
      <c r="I500" s="195"/>
      <c r="L500" s="194"/>
    </row>
    <row r="501" spans="3:12" ht="13.2">
      <c r="C501" s="195"/>
      <c r="E501" s="195"/>
      <c r="G501" s="195"/>
      <c r="I501" s="195"/>
      <c r="L501" s="194"/>
    </row>
    <row r="502" spans="3:12" ht="13.2">
      <c r="C502" s="195"/>
      <c r="E502" s="195"/>
      <c r="G502" s="195"/>
      <c r="I502" s="195"/>
      <c r="L502" s="194"/>
    </row>
    <row r="503" spans="3:12" ht="13.2">
      <c r="C503" s="195"/>
      <c r="E503" s="195"/>
      <c r="G503" s="195"/>
      <c r="I503" s="195"/>
      <c r="L503" s="194"/>
    </row>
    <row r="504" spans="3:12" ht="13.2">
      <c r="C504" s="195"/>
      <c r="E504" s="195"/>
      <c r="G504" s="195"/>
      <c r="I504" s="195"/>
      <c r="L504" s="194"/>
    </row>
    <row r="505" spans="3:12" ht="13.2">
      <c r="C505" s="195"/>
      <c r="E505" s="195"/>
      <c r="G505" s="195"/>
      <c r="I505" s="195"/>
      <c r="L505" s="194"/>
    </row>
    <row r="506" spans="3:12" ht="13.2">
      <c r="C506" s="195"/>
      <c r="E506" s="195"/>
      <c r="G506" s="195"/>
      <c r="I506" s="195"/>
      <c r="L506" s="194"/>
    </row>
    <row r="507" spans="3:12" ht="13.2">
      <c r="C507" s="195"/>
      <c r="E507" s="195"/>
      <c r="G507" s="195"/>
      <c r="I507" s="195"/>
      <c r="L507" s="194"/>
    </row>
    <row r="508" spans="3:12" ht="13.2">
      <c r="C508" s="195"/>
      <c r="E508" s="195"/>
      <c r="G508" s="195"/>
      <c r="I508" s="195"/>
      <c r="L508" s="194"/>
    </row>
    <row r="509" spans="3:12" ht="13.2">
      <c r="C509" s="195"/>
      <c r="E509" s="195"/>
      <c r="G509" s="195"/>
      <c r="I509" s="195"/>
      <c r="L509" s="194"/>
    </row>
    <row r="510" spans="3:12" ht="13.2">
      <c r="C510" s="195"/>
      <c r="E510" s="195"/>
      <c r="G510" s="195"/>
      <c r="I510" s="195"/>
      <c r="L510" s="194"/>
    </row>
    <row r="511" spans="3:12" ht="13.2">
      <c r="C511" s="195"/>
      <c r="E511" s="195"/>
      <c r="G511" s="195"/>
      <c r="I511" s="195"/>
      <c r="L511" s="194"/>
    </row>
    <row r="512" spans="3:12" ht="13.2">
      <c r="C512" s="195"/>
      <c r="E512" s="195"/>
      <c r="G512" s="195"/>
      <c r="I512" s="195"/>
      <c r="L512" s="194"/>
    </row>
    <row r="513" spans="3:12" ht="13.2">
      <c r="C513" s="195"/>
      <c r="E513" s="195"/>
      <c r="G513" s="195"/>
      <c r="I513" s="195"/>
      <c r="L513" s="194"/>
    </row>
    <row r="514" spans="3:12" ht="13.2">
      <c r="C514" s="195"/>
      <c r="E514" s="195"/>
      <c r="G514" s="195"/>
      <c r="I514" s="195"/>
      <c r="L514" s="194"/>
    </row>
    <row r="515" spans="3:12" ht="13.2">
      <c r="C515" s="195"/>
      <c r="E515" s="195"/>
      <c r="G515" s="195"/>
      <c r="I515" s="195"/>
      <c r="L515" s="194"/>
    </row>
    <row r="516" spans="3:12" ht="13.2">
      <c r="C516" s="195"/>
      <c r="E516" s="195"/>
      <c r="G516" s="195"/>
      <c r="I516" s="195"/>
      <c r="L516" s="194"/>
    </row>
    <row r="517" spans="3:12" ht="13.2">
      <c r="C517" s="195"/>
      <c r="E517" s="195"/>
      <c r="G517" s="195"/>
      <c r="I517" s="195"/>
      <c r="L517" s="194"/>
    </row>
    <row r="518" spans="3:12" ht="13.2">
      <c r="C518" s="195"/>
      <c r="E518" s="195"/>
      <c r="G518" s="195"/>
      <c r="I518" s="195"/>
      <c r="L518" s="194"/>
    </row>
    <row r="519" spans="3:12" ht="13.2">
      <c r="C519" s="195"/>
      <c r="E519" s="195"/>
      <c r="G519" s="195"/>
      <c r="I519" s="195"/>
      <c r="L519" s="194"/>
    </row>
    <row r="520" spans="3:12" ht="13.2">
      <c r="C520" s="195"/>
      <c r="E520" s="195"/>
      <c r="G520" s="195"/>
      <c r="I520" s="195"/>
      <c r="L520" s="194"/>
    </row>
    <row r="521" spans="3:12" ht="13.2">
      <c r="C521" s="195"/>
      <c r="E521" s="195"/>
      <c r="G521" s="195"/>
      <c r="I521" s="195"/>
      <c r="L521" s="194"/>
    </row>
    <row r="522" spans="3:12" ht="13.2">
      <c r="C522" s="195"/>
      <c r="E522" s="195"/>
      <c r="G522" s="195"/>
      <c r="I522" s="195"/>
      <c r="L522" s="194"/>
    </row>
    <row r="523" spans="3:12" ht="13.2">
      <c r="C523" s="195"/>
      <c r="E523" s="195"/>
      <c r="G523" s="195"/>
      <c r="I523" s="195"/>
      <c r="L523" s="194"/>
    </row>
    <row r="524" spans="3:12" ht="13.2">
      <c r="C524" s="195"/>
      <c r="E524" s="195"/>
      <c r="G524" s="195"/>
      <c r="I524" s="195"/>
      <c r="L524" s="194"/>
    </row>
    <row r="525" spans="3:12" ht="13.2">
      <c r="C525" s="195"/>
      <c r="E525" s="195"/>
      <c r="G525" s="195"/>
      <c r="I525" s="195"/>
      <c r="L525" s="194"/>
    </row>
    <row r="526" spans="3:12" ht="13.2">
      <c r="C526" s="195"/>
      <c r="E526" s="195"/>
      <c r="G526" s="195"/>
      <c r="I526" s="195"/>
      <c r="L526" s="194"/>
    </row>
    <row r="527" spans="3:12" ht="13.2">
      <c r="C527" s="195"/>
      <c r="E527" s="195"/>
      <c r="G527" s="195"/>
      <c r="I527" s="195"/>
      <c r="L527" s="194"/>
    </row>
    <row r="528" spans="3:12" ht="13.2">
      <c r="C528" s="195"/>
      <c r="E528" s="195"/>
      <c r="G528" s="195"/>
      <c r="I528" s="195"/>
      <c r="L528" s="194"/>
    </row>
    <row r="529" spans="3:12" ht="13.2">
      <c r="C529" s="195"/>
      <c r="E529" s="195"/>
      <c r="G529" s="195"/>
      <c r="I529" s="195"/>
      <c r="L529" s="194"/>
    </row>
    <row r="530" spans="3:12" ht="13.2">
      <c r="C530" s="195"/>
      <c r="E530" s="195"/>
      <c r="G530" s="195"/>
      <c r="I530" s="195"/>
      <c r="L530" s="194"/>
    </row>
    <row r="531" spans="3:12" ht="13.2">
      <c r="C531" s="195"/>
      <c r="E531" s="195"/>
      <c r="G531" s="195"/>
      <c r="I531" s="195"/>
      <c r="L531" s="194"/>
    </row>
    <row r="532" spans="3:12" ht="13.2">
      <c r="C532" s="195"/>
      <c r="E532" s="195"/>
      <c r="G532" s="195"/>
      <c r="I532" s="195"/>
      <c r="L532" s="194"/>
    </row>
    <row r="533" spans="3:12" ht="13.2">
      <c r="C533" s="195"/>
      <c r="E533" s="195"/>
      <c r="G533" s="195"/>
      <c r="I533" s="195"/>
      <c r="L533" s="194"/>
    </row>
    <row r="534" spans="3:12" ht="13.2">
      <c r="C534" s="195"/>
      <c r="E534" s="195"/>
      <c r="G534" s="195"/>
      <c r="I534" s="195"/>
      <c r="L534" s="194"/>
    </row>
    <row r="535" spans="3:12" ht="13.2">
      <c r="C535" s="195"/>
      <c r="E535" s="195"/>
      <c r="G535" s="195"/>
      <c r="I535" s="195"/>
      <c r="L535" s="194"/>
    </row>
    <row r="536" spans="3:12" ht="13.2">
      <c r="C536" s="195"/>
      <c r="E536" s="195"/>
      <c r="G536" s="195"/>
      <c r="I536" s="195"/>
      <c r="L536" s="194"/>
    </row>
    <row r="537" spans="3:12" ht="13.2">
      <c r="C537" s="195"/>
      <c r="E537" s="195"/>
      <c r="G537" s="195"/>
      <c r="I537" s="195"/>
      <c r="L537" s="194"/>
    </row>
    <row r="538" spans="3:12" ht="13.2">
      <c r="C538" s="195"/>
      <c r="E538" s="195"/>
      <c r="G538" s="195"/>
      <c r="I538" s="195"/>
      <c r="L538" s="194"/>
    </row>
    <row r="539" spans="3:12" ht="13.2">
      <c r="C539" s="195"/>
      <c r="E539" s="195"/>
      <c r="G539" s="195"/>
      <c r="I539" s="195"/>
      <c r="L539" s="194"/>
    </row>
    <row r="540" spans="3:12" ht="13.2">
      <c r="C540" s="195"/>
      <c r="E540" s="195"/>
      <c r="G540" s="195"/>
      <c r="I540" s="195"/>
      <c r="L540" s="194"/>
    </row>
    <row r="541" spans="3:12" ht="13.2">
      <c r="C541" s="195"/>
      <c r="E541" s="195"/>
      <c r="G541" s="195"/>
      <c r="I541" s="195"/>
      <c r="L541" s="194"/>
    </row>
    <row r="542" spans="3:12" ht="13.2">
      <c r="C542" s="195"/>
      <c r="E542" s="195"/>
      <c r="G542" s="195"/>
      <c r="I542" s="195"/>
      <c r="L542" s="194"/>
    </row>
    <row r="543" spans="3:12" ht="13.2">
      <c r="C543" s="195"/>
      <c r="E543" s="195"/>
      <c r="G543" s="195"/>
      <c r="I543" s="195"/>
      <c r="L543" s="194"/>
    </row>
    <row r="544" spans="3:12" ht="13.2">
      <c r="C544" s="195"/>
      <c r="E544" s="195"/>
      <c r="G544" s="195"/>
      <c r="I544" s="195"/>
      <c r="L544" s="194"/>
    </row>
    <row r="545" spans="3:12" ht="13.2">
      <c r="C545" s="195"/>
      <c r="E545" s="195"/>
      <c r="G545" s="195"/>
      <c r="I545" s="195"/>
      <c r="L545" s="194"/>
    </row>
    <row r="546" spans="3:12" ht="13.2">
      <c r="C546" s="195"/>
      <c r="E546" s="195"/>
      <c r="G546" s="195"/>
      <c r="I546" s="195"/>
      <c r="L546" s="194"/>
    </row>
    <row r="547" spans="3:12" ht="13.2">
      <c r="C547" s="195"/>
      <c r="E547" s="195"/>
      <c r="G547" s="195"/>
      <c r="I547" s="195"/>
      <c r="L547" s="194"/>
    </row>
    <row r="548" spans="3:12" ht="13.2">
      <c r="C548" s="195"/>
      <c r="E548" s="195"/>
      <c r="G548" s="195"/>
      <c r="I548" s="195"/>
      <c r="L548" s="194"/>
    </row>
    <row r="549" spans="3:12" ht="13.2">
      <c r="C549" s="195"/>
      <c r="E549" s="195"/>
      <c r="G549" s="195"/>
      <c r="I549" s="195"/>
      <c r="L549" s="194"/>
    </row>
    <row r="550" spans="3:12" ht="13.2">
      <c r="C550" s="195"/>
      <c r="E550" s="195"/>
      <c r="G550" s="195"/>
      <c r="I550" s="195"/>
      <c r="L550" s="194"/>
    </row>
    <row r="551" spans="3:12" ht="13.2">
      <c r="C551" s="195"/>
      <c r="E551" s="195"/>
      <c r="G551" s="195"/>
      <c r="I551" s="195"/>
      <c r="L551" s="194"/>
    </row>
    <row r="552" spans="3:12" ht="13.2">
      <c r="C552" s="195"/>
      <c r="E552" s="195"/>
      <c r="G552" s="195"/>
      <c r="I552" s="195"/>
      <c r="L552" s="194"/>
    </row>
    <row r="553" spans="3:12" ht="13.2">
      <c r="C553" s="195"/>
      <c r="E553" s="195"/>
      <c r="G553" s="195"/>
      <c r="I553" s="195"/>
      <c r="L553" s="194"/>
    </row>
    <row r="554" spans="3:12" ht="13.2">
      <c r="C554" s="195"/>
      <c r="E554" s="195"/>
      <c r="G554" s="195"/>
      <c r="I554" s="195"/>
      <c r="L554" s="194"/>
    </row>
    <row r="555" spans="3:12" ht="13.2">
      <c r="C555" s="195"/>
      <c r="E555" s="195"/>
      <c r="G555" s="195"/>
      <c r="I555" s="195"/>
      <c r="L555" s="194"/>
    </row>
    <row r="556" spans="3:12" ht="13.2">
      <c r="C556" s="195"/>
      <c r="E556" s="195"/>
      <c r="G556" s="195"/>
      <c r="I556" s="195"/>
      <c r="L556" s="194"/>
    </row>
    <row r="557" spans="3:12" ht="13.2">
      <c r="C557" s="195"/>
      <c r="E557" s="195"/>
      <c r="G557" s="195"/>
      <c r="I557" s="195"/>
      <c r="L557" s="194"/>
    </row>
    <row r="558" spans="3:12" ht="13.2">
      <c r="C558" s="195"/>
      <c r="E558" s="195"/>
      <c r="G558" s="195"/>
      <c r="I558" s="195"/>
      <c r="L558" s="194"/>
    </row>
    <row r="559" spans="3:12" ht="13.2">
      <c r="C559" s="195"/>
      <c r="E559" s="195"/>
      <c r="G559" s="195"/>
      <c r="I559" s="195"/>
      <c r="L559" s="194"/>
    </row>
    <row r="560" spans="3:12" ht="13.2">
      <c r="C560" s="195"/>
      <c r="E560" s="195"/>
      <c r="G560" s="195"/>
      <c r="I560" s="195"/>
      <c r="L560" s="194"/>
    </row>
    <row r="561" spans="3:12" ht="13.2">
      <c r="C561" s="195"/>
      <c r="E561" s="195"/>
      <c r="G561" s="195"/>
      <c r="I561" s="195"/>
      <c r="L561" s="194"/>
    </row>
    <row r="562" spans="3:12" ht="13.2">
      <c r="C562" s="195"/>
      <c r="E562" s="195"/>
      <c r="G562" s="195"/>
      <c r="I562" s="195"/>
      <c r="L562" s="194"/>
    </row>
    <row r="563" spans="3:12" ht="13.2">
      <c r="C563" s="195"/>
      <c r="E563" s="195"/>
      <c r="G563" s="195"/>
      <c r="I563" s="195"/>
      <c r="L563" s="194"/>
    </row>
    <row r="564" spans="3:12" ht="13.2">
      <c r="C564" s="195"/>
      <c r="E564" s="195"/>
      <c r="G564" s="195"/>
      <c r="I564" s="195"/>
      <c r="L564" s="194"/>
    </row>
    <row r="565" spans="3:12" ht="13.2">
      <c r="C565" s="195"/>
      <c r="E565" s="195"/>
      <c r="G565" s="195"/>
      <c r="I565" s="195"/>
      <c r="L565" s="194"/>
    </row>
    <row r="566" spans="3:12" ht="13.2">
      <c r="C566" s="195"/>
      <c r="E566" s="195"/>
      <c r="G566" s="195"/>
      <c r="I566" s="195"/>
      <c r="L566" s="194"/>
    </row>
    <row r="567" spans="3:12" ht="13.2">
      <c r="C567" s="195"/>
      <c r="E567" s="195"/>
      <c r="G567" s="195"/>
      <c r="I567" s="195"/>
      <c r="L567" s="194"/>
    </row>
    <row r="568" spans="3:12" ht="13.2">
      <c r="C568" s="195"/>
      <c r="E568" s="195"/>
      <c r="G568" s="195"/>
      <c r="I568" s="195"/>
      <c r="L568" s="194"/>
    </row>
    <row r="569" spans="3:12" ht="13.2">
      <c r="C569" s="195"/>
      <c r="E569" s="195"/>
      <c r="G569" s="195"/>
      <c r="I569" s="195"/>
      <c r="L569" s="194"/>
    </row>
    <row r="570" spans="3:12" ht="13.2">
      <c r="C570" s="195"/>
      <c r="E570" s="195"/>
      <c r="G570" s="195"/>
      <c r="I570" s="195"/>
      <c r="L570" s="194"/>
    </row>
    <row r="571" spans="3:12" ht="13.2">
      <c r="C571" s="195"/>
      <c r="E571" s="195"/>
      <c r="G571" s="195"/>
      <c r="I571" s="195"/>
      <c r="L571" s="194"/>
    </row>
    <row r="572" spans="3:12" ht="13.2">
      <c r="C572" s="195"/>
      <c r="E572" s="195"/>
      <c r="G572" s="195"/>
      <c r="I572" s="195"/>
      <c r="L572" s="194"/>
    </row>
    <row r="573" spans="3:12" ht="13.2">
      <c r="C573" s="195"/>
      <c r="E573" s="195"/>
      <c r="G573" s="195"/>
      <c r="I573" s="195"/>
      <c r="L573" s="194"/>
    </row>
    <row r="574" spans="3:12" ht="13.2">
      <c r="C574" s="195"/>
      <c r="E574" s="195"/>
      <c r="G574" s="195"/>
      <c r="I574" s="195"/>
      <c r="L574" s="194"/>
    </row>
    <row r="575" spans="3:12" ht="13.2">
      <c r="C575" s="195"/>
      <c r="E575" s="195"/>
      <c r="G575" s="195"/>
      <c r="I575" s="195"/>
      <c r="L575" s="194"/>
    </row>
    <row r="576" spans="3:12" ht="13.2">
      <c r="C576" s="195"/>
      <c r="E576" s="195"/>
      <c r="G576" s="195"/>
      <c r="I576" s="195"/>
      <c r="L576" s="194"/>
    </row>
    <row r="577" spans="3:12" ht="13.2">
      <c r="C577" s="195"/>
      <c r="E577" s="195"/>
      <c r="G577" s="195"/>
      <c r="I577" s="195"/>
      <c r="L577" s="194"/>
    </row>
    <row r="578" spans="3:12" ht="13.2">
      <c r="C578" s="195"/>
      <c r="E578" s="195"/>
      <c r="G578" s="195"/>
      <c r="I578" s="195"/>
      <c r="L578" s="194"/>
    </row>
    <row r="579" spans="3:12" ht="13.2">
      <c r="C579" s="195"/>
      <c r="E579" s="195"/>
      <c r="G579" s="195"/>
      <c r="I579" s="195"/>
      <c r="L579" s="194"/>
    </row>
    <row r="580" spans="3:12" ht="13.2">
      <c r="C580" s="195"/>
      <c r="E580" s="195"/>
      <c r="G580" s="195"/>
      <c r="I580" s="195"/>
      <c r="L580" s="194"/>
    </row>
    <row r="581" spans="3:12" ht="13.2">
      <c r="C581" s="195"/>
      <c r="E581" s="195"/>
      <c r="G581" s="195"/>
      <c r="I581" s="195"/>
      <c r="L581" s="194"/>
    </row>
    <row r="582" spans="3:12" ht="13.2">
      <c r="C582" s="195"/>
      <c r="E582" s="195"/>
      <c r="G582" s="195"/>
      <c r="I582" s="195"/>
      <c r="L582" s="194"/>
    </row>
    <row r="583" spans="3:12" ht="13.2">
      <c r="C583" s="195"/>
      <c r="E583" s="195"/>
      <c r="G583" s="195"/>
      <c r="I583" s="195"/>
      <c r="L583" s="194"/>
    </row>
    <row r="584" spans="3:12" ht="13.2">
      <c r="C584" s="195"/>
      <c r="E584" s="195"/>
      <c r="G584" s="195"/>
      <c r="I584" s="195"/>
      <c r="L584" s="194"/>
    </row>
    <row r="585" spans="3:12" ht="13.2">
      <c r="C585" s="195"/>
      <c r="E585" s="195"/>
      <c r="G585" s="195"/>
      <c r="I585" s="195"/>
      <c r="L585" s="194"/>
    </row>
    <row r="586" spans="3:12" ht="13.2">
      <c r="C586" s="195"/>
      <c r="E586" s="195"/>
      <c r="G586" s="195"/>
      <c r="I586" s="195"/>
      <c r="L586" s="194"/>
    </row>
    <row r="587" spans="3:12" ht="13.2">
      <c r="C587" s="195"/>
      <c r="E587" s="195"/>
      <c r="G587" s="195"/>
      <c r="I587" s="195"/>
      <c r="L587" s="194"/>
    </row>
    <row r="588" spans="3:12" ht="13.2">
      <c r="C588" s="195"/>
      <c r="E588" s="195"/>
      <c r="G588" s="195"/>
      <c r="I588" s="195"/>
      <c r="L588" s="194"/>
    </row>
    <row r="589" spans="3:12" ht="13.2">
      <c r="C589" s="195"/>
      <c r="E589" s="195"/>
      <c r="G589" s="195"/>
      <c r="I589" s="195"/>
      <c r="L589" s="194"/>
    </row>
    <row r="590" spans="3:12" ht="13.2">
      <c r="C590" s="195"/>
      <c r="E590" s="195"/>
      <c r="G590" s="195"/>
      <c r="I590" s="195"/>
      <c r="L590" s="194"/>
    </row>
    <row r="591" spans="3:12" ht="13.2">
      <c r="C591" s="195"/>
      <c r="E591" s="195"/>
      <c r="G591" s="195"/>
      <c r="I591" s="195"/>
      <c r="L591" s="194"/>
    </row>
    <row r="592" spans="3:12" ht="13.2">
      <c r="C592" s="195"/>
      <c r="E592" s="195"/>
      <c r="G592" s="195"/>
      <c r="I592" s="195"/>
      <c r="L592" s="194"/>
    </row>
    <row r="593" spans="3:12" ht="13.2">
      <c r="C593" s="195"/>
      <c r="E593" s="195"/>
      <c r="G593" s="195"/>
      <c r="I593" s="195"/>
      <c r="L593" s="194"/>
    </row>
    <row r="594" spans="3:12" ht="13.2">
      <c r="C594" s="195"/>
      <c r="E594" s="195"/>
      <c r="G594" s="195"/>
      <c r="I594" s="195"/>
      <c r="L594" s="194"/>
    </row>
    <row r="595" spans="3:12" ht="13.2">
      <c r="C595" s="195"/>
      <c r="E595" s="195"/>
      <c r="G595" s="195"/>
      <c r="I595" s="195"/>
      <c r="L595" s="194"/>
    </row>
    <row r="596" spans="3:12" ht="13.2">
      <c r="C596" s="195"/>
      <c r="E596" s="195"/>
      <c r="G596" s="195"/>
      <c r="I596" s="195"/>
      <c r="L596" s="194"/>
    </row>
    <row r="597" spans="3:12" ht="13.2">
      <c r="C597" s="195"/>
      <c r="E597" s="195"/>
      <c r="G597" s="195"/>
      <c r="I597" s="195"/>
      <c r="L597" s="194"/>
    </row>
    <row r="598" spans="3:12" ht="13.2">
      <c r="C598" s="195"/>
      <c r="E598" s="195"/>
      <c r="G598" s="195"/>
      <c r="I598" s="195"/>
      <c r="L598" s="194"/>
    </row>
    <row r="599" spans="3:12" ht="13.2">
      <c r="C599" s="195"/>
      <c r="E599" s="195"/>
      <c r="G599" s="195"/>
      <c r="I599" s="195"/>
      <c r="L599" s="194"/>
    </row>
    <row r="600" spans="3:12" ht="13.2">
      <c r="C600" s="195"/>
      <c r="E600" s="195"/>
      <c r="G600" s="195"/>
      <c r="I600" s="195"/>
      <c r="L600" s="194"/>
    </row>
    <row r="601" spans="3:12" ht="13.2">
      <c r="C601" s="195"/>
      <c r="E601" s="195"/>
      <c r="G601" s="195"/>
      <c r="I601" s="195"/>
      <c r="L601" s="194"/>
    </row>
    <row r="602" spans="3:12" ht="13.2">
      <c r="C602" s="195"/>
      <c r="E602" s="195"/>
      <c r="G602" s="195"/>
      <c r="I602" s="195"/>
      <c r="L602" s="194"/>
    </row>
    <row r="603" spans="3:12" ht="13.2">
      <c r="C603" s="195"/>
      <c r="E603" s="195"/>
      <c r="G603" s="195"/>
      <c r="I603" s="195"/>
      <c r="L603" s="194"/>
    </row>
    <row r="604" spans="3:12" ht="13.2">
      <c r="C604" s="195"/>
      <c r="E604" s="195"/>
      <c r="G604" s="195"/>
      <c r="I604" s="195"/>
      <c r="L604" s="194"/>
    </row>
    <row r="605" spans="3:12" ht="13.2">
      <c r="C605" s="195"/>
      <c r="E605" s="195"/>
      <c r="G605" s="195"/>
      <c r="I605" s="195"/>
      <c r="L605" s="194"/>
    </row>
    <row r="606" spans="3:12" ht="13.2">
      <c r="C606" s="195"/>
      <c r="E606" s="195"/>
      <c r="G606" s="195"/>
      <c r="I606" s="195"/>
      <c r="L606" s="194"/>
    </row>
    <row r="607" spans="3:12" ht="13.2">
      <c r="C607" s="195"/>
      <c r="E607" s="195"/>
      <c r="G607" s="195"/>
      <c r="I607" s="195"/>
      <c r="L607" s="194"/>
    </row>
    <row r="608" spans="3:12" ht="13.2">
      <c r="C608" s="195"/>
      <c r="E608" s="195"/>
      <c r="G608" s="195"/>
      <c r="I608" s="195"/>
      <c r="L608" s="194"/>
    </row>
    <row r="609" spans="3:12" ht="13.2">
      <c r="C609" s="195"/>
      <c r="E609" s="195"/>
      <c r="G609" s="195"/>
      <c r="I609" s="195"/>
      <c r="L609" s="194"/>
    </row>
    <row r="610" spans="3:12" ht="13.2">
      <c r="C610" s="195"/>
      <c r="E610" s="195"/>
      <c r="G610" s="195"/>
      <c r="I610" s="195"/>
      <c r="L610" s="194"/>
    </row>
    <row r="611" spans="3:12" ht="13.2">
      <c r="C611" s="195"/>
      <c r="E611" s="195"/>
      <c r="G611" s="195"/>
      <c r="I611" s="195"/>
      <c r="L611" s="194"/>
    </row>
    <row r="612" spans="3:12" ht="13.2">
      <c r="C612" s="195"/>
      <c r="E612" s="195"/>
      <c r="G612" s="195"/>
      <c r="I612" s="195"/>
      <c r="L612" s="194"/>
    </row>
    <row r="613" spans="3:12" ht="13.2">
      <c r="C613" s="195"/>
      <c r="E613" s="195"/>
      <c r="G613" s="195"/>
      <c r="I613" s="195"/>
      <c r="L613" s="194"/>
    </row>
    <row r="614" spans="3:12" ht="13.2">
      <c r="C614" s="195"/>
      <c r="E614" s="195"/>
      <c r="G614" s="195"/>
      <c r="I614" s="195"/>
      <c r="L614" s="194"/>
    </row>
    <row r="615" spans="3:12" ht="13.2">
      <c r="C615" s="195"/>
      <c r="E615" s="195"/>
      <c r="G615" s="195"/>
      <c r="I615" s="195"/>
      <c r="L615" s="194"/>
    </row>
    <row r="616" spans="3:12" ht="13.2">
      <c r="C616" s="195"/>
      <c r="E616" s="195"/>
      <c r="G616" s="195"/>
      <c r="I616" s="195"/>
      <c r="L616" s="194"/>
    </row>
    <row r="617" spans="3:12" ht="13.2">
      <c r="C617" s="195"/>
      <c r="E617" s="195"/>
      <c r="G617" s="195"/>
      <c r="I617" s="195"/>
      <c r="L617" s="194"/>
    </row>
    <row r="618" spans="3:12" ht="13.2">
      <c r="C618" s="195"/>
      <c r="E618" s="195"/>
      <c r="G618" s="195"/>
      <c r="I618" s="195"/>
      <c r="L618" s="194"/>
    </row>
    <row r="619" spans="3:12" ht="13.2">
      <c r="C619" s="195"/>
      <c r="E619" s="195"/>
      <c r="G619" s="195"/>
      <c r="I619" s="195"/>
      <c r="L619" s="194"/>
    </row>
    <row r="620" spans="3:12" ht="13.2">
      <c r="C620" s="195"/>
      <c r="E620" s="195"/>
      <c r="G620" s="195"/>
      <c r="I620" s="195"/>
      <c r="L620" s="194"/>
    </row>
    <row r="621" spans="3:12" ht="13.2">
      <c r="C621" s="195"/>
      <c r="E621" s="195"/>
      <c r="G621" s="195"/>
      <c r="I621" s="195"/>
      <c r="L621" s="194"/>
    </row>
    <row r="622" spans="3:12" ht="13.2">
      <c r="C622" s="195"/>
      <c r="E622" s="195"/>
      <c r="G622" s="195"/>
      <c r="I622" s="195"/>
      <c r="L622" s="194"/>
    </row>
    <row r="623" spans="3:12" ht="13.2">
      <c r="C623" s="195"/>
      <c r="E623" s="195"/>
      <c r="G623" s="195"/>
      <c r="I623" s="195"/>
      <c r="L623" s="194"/>
    </row>
    <row r="624" spans="3:12" ht="13.2">
      <c r="C624" s="195"/>
      <c r="E624" s="195"/>
      <c r="G624" s="195"/>
      <c r="I624" s="195"/>
      <c r="L624" s="194"/>
    </row>
    <row r="625" spans="3:12" ht="13.2">
      <c r="C625" s="195"/>
      <c r="E625" s="195"/>
      <c r="G625" s="195"/>
      <c r="I625" s="195"/>
      <c r="L625" s="194"/>
    </row>
    <row r="626" spans="3:12" ht="13.2">
      <c r="C626" s="195"/>
      <c r="E626" s="195"/>
      <c r="G626" s="195"/>
      <c r="I626" s="195"/>
      <c r="L626" s="194"/>
    </row>
    <row r="627" spans="3:12" ht="13.2">
      <c r="C627" s="195"/>
      <c r="E627" s="195"/>
      <c r="G627" s="195"/>
      <c r="I627" s="195"/>
      <c r="L627" s="194"/>
    </row>
    <row r="628" spans="3:12" ht="13.2">
      <c r="C628" s="195"/>
      <c r="E628" s="195"/>
      <c r="G628" s="195"/>
      <c r="I628" s="195"/>
      <c r="L628" s="194"/>
    </row>
    <row r="629" spans="3:12" ht="13.2">
      <c r="C629" s="195"/>
      <c r="E629" s="195"/>
      <c r="G629" s="195"/>
      <c r="I629" s="195"/>
      <c r="L629" s="194"/>
    </row>
    <row r="630" spans="3:12" ht="13.2">
      <c r="C630" s="195"/>
      <c r="E630" s="195"/>
      <c r="G630" s="195"/>
      <c r="I630" s="195"/>
      <c r="L630" s="194"/>
    </row>
    <row r="631" spans="3:12" ht="13.2">
      <c r="C631" s="195"/>
      <c r="E631" s="195"/>
      <c r="G631" s="195"/>
      <c r="I631" s="195"/>
      <c r="L631" s="194"/>
    </row>
    <row r="632" spans="3:12" ht="13.2">
      <c r="C632" s="195"/>
      <c r="E632" s="195"/>
      <c r="G632" s="195"/>
      <c r="I632" s="195"/>
      <c r="L632" s="194"/>
    </row>
    <row r="633" spans="3:12" ht="13.2">
      <c r="C633" s="195"/>
      <c r="E633" s="195"/>
      <c r="G633" s="195"/>
      <c r="I633" s="195"/>
      <c r="L633" s="194"/>
    </row>
    <row r="634" spans="3:12" ht="13.2">
      <c r="C634" s="195"/>
      <c r="E634" s="195"/>
      <c r="G634" s="195"/>
      <c r="I634" s="195"/>
      <c r="L634" s="194"/>
    </row>
    <row r="635" spans="3:12" ht="13.2">
      <c r="C635" s="195"/>
      <c r="E635" s="195"/>
      <c r="G635" s="195"/>
      <c r="I635" s="195"/>
      <c r="L635" s="194"/>
    </row>
    <row r="636" spans="3:12" ht="13.2">
      <c r="C636" s="195"/>
      <c r="E636" s="195"/>
      <c r="G636" s="195"/>
      <c r="I636" s="195"/>
      <c r="L636" s="194"/>
    </row>
    <row r="637" spans="3:12" ht="13.2">
      <c r="C637" s="195"/>
      <c r="E637" s="195"/>
      <c r="G637" s="195"/>
      <c r="I637" s="195"/>
      <c r="L637" s="194"/>
    </row>
    <row r="638" spans="3:12" ht="13.2">
      <c r="C638" s="195"/>
      <c r="E638" s="195"/>
      <c r="G638" s="195"/>
      <c r="I638" s="195"/>
      <c r="L638" s="194"/>
    </row>
    <row r="639" spans="3:12" ht="13.2">
      <c r="C639" s="195"/>
      <c r="E639" s="195"/>
      <c r="G639" s="195"/>
      <c r="I639" s="195"/>
      <c r="L639" s="194"/>
    </row>
    <row r="640" spans="3:12" ht="13.2">
      <c r="C640" s="195"/>
      <c r="E640" s="195"/>
      <c r="G640" s="195"/>
      <c r="I640" s="195"/>
      <c r="L640" s="194"/>
    </row>
    <row r="641" spans="3:12" ht="13.2">
      <c r="C641" s="195"/>
      <c r="E641" s="195"/>
      <c r="G641" s="195"/>
      <c r="I641" s="195"/>
      <c r="L641" s="194"/>
    </row>
    <row r="642" spans="3:12" ht="13.2">
      <c r="C642" s="195"/>
      <c r="E642" s="195"/>
      <c r="G642" s="195"/>
      <c r="I642" s="195"/>
      <c r="L642" s="194"/>
    </row>
    <row r="643" spans="3:12" ht="13.2">
      <c r="C643" s="195"/>
      <c r="E643" s="195"/>
      <c r="G643" s="195"/>
      <c r="I643" s="195"/>
      <c r="L643" s="194"/>
    </row>
    <row r="644" spans="3:12" ht="13.2">
      <c r="C644" s="195"/>
      <c r="E644" s="195"/>
      <c r="G644" s="195"/>
      <c r="I644" s="195"/>
      <c r="L644" s="194"/>
    </row>
    <row r="645" spans="3:12" ht="13.2">
      <c r="C645" s="195"/>
      <c r="E645" s="195"/>
      <c r="G645" s="195"/>
      <c r="I645" s="195"/>
      <c r="L645" s="194"/>
    </row>
    <row r="646" spans="3:12" ht="13.2">
      <c r="C646" s="195"/>
      <c r="E646" s="195"/>
      <c r="G646" s="195"/>
      <c r="I646" s="195"/>
      <c r="L646" s="194"/>
    </row>
    <row r="647" spans="3:12" ht="13.2">
      <c r="C647" s="195"/>
      <c r="E647" s="195"/>
      <c r="G647" s="195"/>
      <c r="I647" s="195"/>
      <c r="L647" s="194"/>
    </row>
    <row r="648" spans="3:12" ht="13.2">
      <c r="C648" s="195"/>
      <c r="E648" s="195"/>
      <c r="G648" s="195"/>
      <c r="I648" s="195"/>
      <c r="L648" s="194"/>
    </row>
    <row r="649" spans="3:12" ht="13.2">
      <c r="C649" s="195"/>
      <c r="E649" s="195"/>
      <c r="G649" s="195"/>
      <c r="I649" s="195"/>
      <c r="L649" s="194"/>
    </row>
    <row r="650" spans="3:12" ht="13.2">
      <c r="C650" s="195"/>
      <c r="E650" s="195"/>
      <c r="G650" s="195"/>
      <c r="I650" s="195"/>
      <c r="L650" s="194"/>
    </row>
    <row r="651" spans="3:12" ht="13.2">
      <c r="C651" s="195"/>
      <c r="E651" s="195"/>
      <c r="G651" s="195"/>
      <c r="I651" s="195"/>
      <c r="L651" s="194"/>
    </row>
    <row r="652" spans="3:12" ht="13.2">
      <c r="C652" s="195"/>
      <c r="E652" s="195"/>
      <c r="G652" s="195"/>
      <c r="I652" s="195"/>
      <c r="L652" s="194"/>
    </row>
    <row r="653" spans="3:12" ht="13.2">
      <c r="C653" s="195"/>
      <c r="E653" s="195"/>
      <c r="G653" s="195"/>
      <c r="I653" s="195"/>
      <c r="L653" s="194"/>
    </row>
    <row r="654" spans="3:12" ht="13.2">
      <c r="C654" s="195"/>
      <c r="E654" s="195"/>
      <c r="G654" s="195"/>
      <c r="I654" s="195"/>
      <c r="L654" s="194"/>
    </row>
    <row r="655" spans="3:12" ht="13.2">
      <c r="C655" s="195"/>
      <c r="E655" s="195"/>
      <c r="G655" s="195"/>
      <c r="I655" s="195"/>
      <c r="L655" s="194"/>
    </row>
    <row r="656" spans="3:12" ht="13.2">
      <c r="C656" s="195"/>
      <c r="E656" s="195"/>
      <c r="G656" s="195"/>
      <c r="I656" s="195"/>
      <c r="L656" s="194"/>
    </row>
    <row r="657" spans="3:12" ht="13.2">
      <c r="C657" s="195"/>
      <c r="E657" s="195"/>
      <c r="G657" s="195"/>
      <c r="I657" s="195"/>
      <c r="L657" s="194"/>
    </row>
    <row r="658" spans="3:12" ht="13.2">
      <c r="C658" s="195"/>
      <c r="E658" s="195"/>
      <c r="G658" s="195"/>
      <c r="I658" s="195"/>
      <c r="L658" s="194"/>
    </row>
    <row r="659" spans="3:12" ht="13.2">
      <c r="C659" s="195"/>
      <c r="E659" s="195"/>
      <c r="G659" s="195"/>
      <c r="I659" s="195"/>
      <c r="L659" s="194"/>
    </row>
    <row r="660" spans="3:12" ht="13.2">
      <c r="C660" s="195"/>
      <c r="E660" s="195"/>
      <c r="G660" s="195"/>
      <c r="I660" s="195"/>
      <c r="L660" s="194"/>
    </row>
    <row r="661" spans="3:12" ht="13.2">
      <c r="C661" s="195"/>
      <c r="E661" s="195"/>
      <c r="G661" s="195"/>
      <c r="I661" s="195"/>
      <c r="L661" s="194"/>
    </row>
    <row r="662" spans="3:12" ht="13.2">
      <c r="C662" s="195"/>
      <c r="E662" s="195"/>
      <c r="G662" s="195"/>
      <c r="I662" s="195"/>
      <c r="L662" s="194"/>
    </row>
    <row r="663" spans="3:12" ht="13.2">
      <c r="C663" s="195"/>
      <c r="E663" s="195"/>
      <c r="G663" s="195"/>
      <c r="I663" s="195"/>
      <c r="L663" s="194"/>
    </row>
    <row r="664" spans="3:12" ht="13.2">
      <c r="C664" s="195"/>
      <c r="E664" s="195"/>
      <c r="G664" s="195"/>
      <c r="I664" s="195"/>
      <c r="L664" s="194"/>
    </row>
    <row r="665" spans="3:12" ht="13.2">
      <c r="C665" s="195"/>
      <c r="E665" s="195"/>
      <c r="G665" s="195"/>
      <c r="I665" s="195"/>
      <c r="L665" s="194"/>
    </row>
    <row r="666" spans="3:12" ht="13.2">
      <c r="C666" s="195"/>
      <c r="E666" s="195"/>
      <c r="G666" s="195"/>
      <c r="I666" s="195"/>
      <c r="L666" s="194"/>
    </row>
    <row r="667" spans="3:12" ht="13.2">
      <c r="C667" s="195"/>
      <c r="E667" s="195"/>
      <c r="G667" s="195"/>
      <c r="I667" s="195"/>
      <c r="L667" s="194"/>
    </row>
    <row r="668" spans="3:12" ht="13.2">
      <c r="C668" s="195"/>
      <c r="E668" s="195"/>
      <c r="G668" s="195"/>
      <c r="I668" s="195"/>
      <c r="L668" s="194"/>
    </row>
    <row r="669" spans="3:12" ht="13.2">
      <c r="C669" s="195"/>
      <c r="E669" s="195"/>
      <c r="G669" s="195"/>
      <c r="I669" s="195"/>
      <c r="L669" s="194"/>
    </row>
    <row r="670" spans="3:12" ht="13.2">
      <c r="C670" s="195"/>
      <c r="E670" s="195"/>
      <c r="G670" s="195"/>
      <c r="I670" s="195"/>
      <c r="L670" s="194"/>
    </row>
    <row r="671" spans="3:12" ht="13.2">
      <c r="C671" s="195"/>
      <c r="E671" s="195"/>
      <c r="G671" s="195"/>
      <c r="I671" s="195"/>
      <c r="L671" s="194"/>
    </row>
    <row r="672" spans="3:12" ht="13.2">
      <c r="C672" s="195"/>
      <c r="E672" s="195"/>
      <c r="G672" s="195"/>
      <c r="I672" s="195"/>
      <c r="L672" s="194"/>
    </row>
    <row r="673" spans="3:12" ht="13.2">
      <c r="C673" s="195"/>
      <c r="E673" s="195"/>
      <c r="G673" s="195"/>
      <c r="I673" s="195"/>
      <c r="L673" s="194"/>
    </row>
    <row r="674" spans="3:12" ht="13.2">
      <c r="C674" s="195"/>
      <c r="E674" s="195"/>
      <c r="G674" s="195"/>
      <c r="I674" s="195"/>
      <c r="L674" s="194"/>
    </row>
    <row r="675" spans="3:12" ht="13.2">
      <c r="C675" s="195"/>
      <c r="E675" s="195"/>
      <c r="G675" s="195"/>
      <c r="I675" s="195"/>
      <c r="L675" s="194"/>
    </row>
    <row r="676" spans="3:12" ht="13.2">
      <c r="C676" s="195"/>
      <c r="E676" s="195"/>
      <c r="G676" s="195"/>
      <c r="I676" s="195"/>
      <c r="L676" s="194"/>
    </row>
    <row r="677" spans="3:12" ht="13.2">
      <c r="C677" s="195"/>
      <c r="E677" s="195"/>
      <c r="G677" s="195"/>
      <c r="I677" s="195"/>
      <c r="L677" s="194"/>
    </row>
    <row r="678" spans="3:12" ht="13.2">
      <c r="C678" s="195"/>
      <c r="E678" s="195"/>
      <c r="G678" s="195"/>
      <c r="I678" s="195"/>
      <c r="L678" s="194"/>
    </row>
    <row r="679" spans="3:12" ht="13.2">
      <c r="C679" s="195"/>
      <c r="E679" s="195"/>
      <c r="G679" s="195"/>
      <c r="I679" s="195"/>
      <c r="L679" s="194"/>
    </row>
    <row r="680" spans="3:12" ht="13.2">
      <c r="C680" s="195"/>
      <c r="E680" s="195"/>
      <c r="G680" s="195"/>
      <c r="I680" s="195"/>
      <c r="L680" s="194"/>
    </row>
    <row r="681" spans="3:12" ht="13.2">
      <c r="C681" s="195"/>
      <c r="E681" s="195"/>
      <c r="G681" s="195"/>
      <c r="I681" s="195"/>
      <c r="L681" s="194"/>
    </row>
    <row r="682" spans="3:12" ht="13.2">
      <c r="C682" s="195"/>
      <c r="E682" s="195"/>
      <c r="G682" s="195"/>
      <c r="I682" s="195"/>
      <c r="L682" s="194"/>
    </row>
    <row r="683" spans="3:12" ht="13.2">
      <c r="C683" s="195"/>
      <c r="E683" s="195"/>
      <c r="G683" s="195"/>
      <c r="I683" s="195"/>
      <c r="L683" s="194"/>
    </row>
    <row r="684" spans="3:12" ht="13.2">
      <c r="C684" s="195"/>
      <c r="E684" s="195"/>
      <c r="G684" s="195"/>
      <c r="I684" s="195"/>
      <c r="L684" s="194"/>
    </row>
    <row r="685" spans="3:12" ht="13.2">
      <c r="C685" s="195"/>
      <c r="E685" s="195"/>
      <c r="G685" s="195"/>
      <c r="I685" s="195"/>
      <c r="L685" s="194"/>
    </row>
    <row r="686" spans="3:12" ht="13.2">
      <c r="C686" s="195"/>
      <c r="E686" s="195"/>
      <c r="G686" s="195"/>
      <c r="I686" s="195"/>
      <c r="L686" s="194"/>
    </row>
    <row r="687" spans="3:12" ht="13.2">
      <c r="C687" s="195"/>
      <c r="E687" s="195"/>
      <c r="G687" s="195"/>
      <c r="I687" s="195"/>
      <c r="L687" s="194"/>
    </row>
    <row r="688" spans="3:12" ht="13.2">
      <c r="C688" s="195"/>
      <c r="E688" s="195"/>
      <c r="G688" s="195"/>
      <c r="I688" s="195"/>
      <c r="L688" s="194"/>
    </row>
    <row r="689" spans="3:12" ht="13.2">
      <c r="C689" s="195"/>
      <c r="E689" s="195"/>
      <c r="G689" s="195"/>
      <c r="I689" s="195"/>
      <c r="L689" s="194"/>
    </row>
    <row r="690" spans="3:12" ht="13.2">
      <c r="C690" s="195"/>
      <c r="E690" s="195"/>
      <c r="G690" s="195"/>
      <c r="I690" s="195"/>
      <c r="L690" s="194"/>
    </row>
    <row r="691" spans="3:12" ht="13.2">
      <c r="C691" s="195"/>
      <c r="E691" s="195"/>
      <c r="G691" s="195"/>
      <c r="I691" s="195"/>
      <c r="L691" s="194"/>
    </row>
    <row r="692" spans="3:12" ht="13.2">
      <c r="C692" s="195"/>
      <c r="E692" s="195"/>
      <c r="G692" s="195"/>
      <c r="I692" s="195"/>
      <c r="L692" s="194"/>
    </row>
    <row r="693" spans="3:12" ht="13.2">
      <c r="C693" s="195"/>
      <c r="E693" s="195"/>
      <c r="G693" s="195"/>
      <c r="I693" s="195"/>
      <c r="L693" s="194"/>
    </row>
    <row r="694" spans="3:12" ht="13.2">
      <c r="C694" s="195"/>
      <c r="E694" s="195"/>
      <c r="G694" s="195"/>
      <c r="I694" s="195"/>
      <c r="L694" s="194"/>
    </row>
    <row r="695" spans="3:12" ht="13.2">
      <c r="C695" s="195"/>
      <c r="E695" s="195"/>
      <c r="G695" s="195"/>
      <c r="I695" s="195"/>
      <c r="L695" s="194"/>
    </row>
    <row r="696" spans="3:12" ht="13.2">
      <c r="C696" s="195"/>
      <c r="E696" s="195"/>
      <c r="G696" s="195"/>
      <c r="I696" s="195"/>
      <c r="L696" s="194"/>
    </row>
    <row r="697" spans="3:12" ht="13.2">
      <c r="C697" s="195"/>
      <c r="E697" s="195"/>
      <c r="G697" s="195"/>
      <c r="I697" s="195"/>
      <c r="L697" s="194"/>
    </row>
    <row r="698" spans="3:12" ht="13.2">
      <c r="C698" s="195"/>
      <c r="E698" s="195"/>
      <c r="G698" s="195"/>
      <c r="I698" s="195"/>
      <c r="L698" s="194"/>
    </row>
    <row r="699" spans="3:12" ht="13.2">
      <c r="C699" s="195"/>
      <c r="E699" s="195"/>
      <c r="G699" s="195"/>
      <c r="I699" s="195"/>
      <c r="L699" s="194"/>
    </row>
    <row r="700" spans="3:12" ht="13.2">
      <c r="C700" s="195"/>
      <c r="E700" s="195"/>
      <c r="G700" s="195"/>
      <c r="I700" s="195"/>
      <c r="L700" s="194"/>
    </row>
    <row r="701" spans="3:12" ht="13.2">
      <c r="C701" s="195"/>
      <c r="E701" s="195"/>
      <c r="G701" s="195"/>
      <c r="I701" s="195"/>
      <c r="L701" s="194"/>
    </row>
    <row r="702" spans="3:12" ht="13.2">
      <c r="C702" s="195"/>
      <c r="E702" s="195"/>
      <c r="G702" s="195"/>
      <c r="I702" s="195"/>
      <c r="L702" s="194"/>
    </row>
    <row r="703" spans="3:12" ht="13.2">
      <c r="C703" s="195"/>
      <c r="E703" s="195"/>
      <c r="G703" s="195"/>
      <c r="I703" s="195"/>
      <c r="L703" s="194"/>
    </row>
    <row r="704" spans="3:12" ht="13.2">
      <c r="C704" s="195"/>
      <c r="E704" s="195"/>
      <c r="G704" s="195"/>
      <c r="I704" s="195"/>
      <c r="L704" s="194"/>
    </row>
    <row r="705" spans="3:12" ht="13.2">
      <c r="C705" s="195"/>
      <c r="E705" s="195"/>
      <c r="G705" s="195"/>
      <c r="I705" s="195"/>
      <c r="L705" s="194"/>
    </row>
    <row r="706" spans="3:12" ht="13.2">
      <c r="C706" s="195"/>
      <c r="E706" s="195"/>
      <c r="G706" s="195"/>
      <c r="I706" s="195"/>
      <c r="L706" s="194"/>
    </row>
    <row r="707" spans="3:12" ht="13.2">
      <c r="C707" s="195"/>
      <c r="E707" s="195"/>
      <c r="G707" s="195"/>
      <c r="I707" s="195"/>
      <c r="L707" s="194"/>
    </row>
    <row r="708" spans="3:12" ht="13.2">
      <c r="C708" s="195"/>
      <c r="E708" s="195"/>
      <c r="G708" s="195"/>
      <c r="I708" s="195"/>
      <c r="L708" s="194"/>
    </row>
    <row r="709" spans="3:12" ht="13.2">
      <c r="C709" s="195"/>
      <c r="E709" s="195"/>
      <c r="G709" s="195"/>
      <c r="I709" s="195"/>
      <c r="L709" s="194"/>
    </row>
    <row r="710" spans="3:12" ht="13.2">
      <c r="C710" s="195"/>
      <c r="E710" s="195"/>
      <c r="G710" s="195"/>
      <c r="I710" s="195"/>
      <c r="L710" s="194"/>
    </row>
    <row r="711" spans="3:12" ht="13.2">
      <c r="C711" s="195"/>
      <c r="E711" s="195"/>
      <c r="G711" s="195"/>
      <c r="I711" s="195"/>
      <c r="L711" s="194"/>
    </row>
    <row r="712" spans="3:12" ht="13.2">
      <c r="C712" s="195"/>
      <c r="E712" s="195"/>
      <c r="G712" s="195"/>
      <c r="I712" s="195"/>
      <c r="L712" s="194"/>
    </row>
    <row r="713" spans="3:12" ht="13.2">
      <c r="C713" s="195"/>
      <c r="E713" s="195"/>
      <c r="G713" s="195"/>
      <c r="I713" s="195"/>
      <c r="L713" s="194"/>
    </row>
    <row r="714" spans="3:12" ht="13.2">
      <c r="C714" s="195"/>
      <c r="E714" s="195"/>
      <c r="G714" s="195"/>
      <c r="I714" s="195"/>
      <c r="L714" s="194"/>
    </row>
    <row r="715" spans="3:12" ht="13.2">
      <c r="C715" s="195"/>
      <c r="E715" s="195"/>
      <c r="G715" s="195"/>
      <c r="I715" s="195"/>
      <c r="L715" s="194"/>
    </row>
    <row r="716" spans="3:12" ht="13.2">
      <c r="C716" s="195"/>
      <c r="E716" s="195"/>
      <c r="G716" s="195"/>
      <c r="I716" s="195"/>
      <c r="L716" s="194"/>
    </row>
    <row r="717" spans="3:12" ht="13.2">
      <c r="C717" s="195"/>
      <c r="E717" s="195"/>
      <c r="G717" s="195"/>
      <c r="I717" s="195"/>
      <c r="L717" s="194"/>
    </row>
    <row r="718" spans="3:12" ht="13.2">
      <c r="C718" s="195"/>
      <c r="E718" s="195"/>
      <c r="G718" s="195"/>
      <c r="I718" s="195"/>
      <c r="L718" s="194"/>
    </row>
    <row r="719" spans="3:12" ht="13.2">
      <c r="C719" s="195"/>
      <c r="E719" s="195"/>
      <c r="G719" s="195"/>
      <c r="I719" s="195"/>
      <c r="L719" s="194"/>
    </row>
    <row r="720" spans="3:12" ht="13.2">
      <c r="C720" s="195"/>
      <c r="E720" s="195"/>
      <c r="G720" s="195"/>
      <c r="I720" s="195"/>
      <c r="L720" s="194"/>
    </row>
    <row r="721" spans="3:12" ht="13.2">
      <c r="C721" s="195"/>
      <c r="E721" s="195"/>
      <c r="G721" s="195"/>
      <c r="I721" s="195"/>
      <c r="L721" s="194"/>
    </row>
    <row r="722" spans="3:12" ht="13.2">
      <c r="C722" s="195"/>
      <c r="E722" s="195"/>
      <c r="G722" s="195"/>
      <c r="I722" s="195"/>
      <c r="L722" s="194"/>
    </row>
    <row r="723" spans="3:12" ht="13.2">
      <c r="C723" s="195"/>
      <c r="E723" s="195"/>
      <c r="G723" s="195"/>
      <c r="I723" s="195"/>
      <c r="L723" s="194"/>
    </row>
    <row r="724" spans="3:12" ht="13.2">
      <c r="C724" s="195"/>
      <c r="E724" s="195"/>
      <c r="G724" s="195"/>
      <c r="I724" s="195"/>
      <c r="L724" s="194"/>
    </row>
    <row r="725" spans="3:12" ht="13.2">
      <c r="C725" s="195"/>
      <c r="E725" s="195"/>
      <c r="G725" s="195"/>
      <c r="I725" s="195"/>
      <c r="L725" s="194"/>
    </row>
    <row r="726" spans="3:12" ht="13.2">
      <c r="C726" s="195"/>
      <c r="E726" s="195"/>
      <c r="G726" s="195"/>
      <c r="I726" s="195"/>
      <c r="L726" s="194"/>
    </row>
    <row r="727" spans="3:12" ht="13.2">
      <c r="C727" s="195"/>
      <c r="E727" s="195"/>
      <c r="G727" s="195"/>
      <c r="I727" s="195"/>
      <c r="L727" s="194"/>
    </row>
    <row r="728" spans="3:12" ht="13.2">
      <c r="C728" s="195"/>
      <c r="E728" s="195"/>
      <c r="G728" s="195"/>
      <c r="I728" s="195"/>
      <c r="L728" s="194"/>
    </row>
    <row r="729" spans="3:12" ht="13.2">
      <c r="C729" s="195"/>
      <c r="E729" s="195"/>
      <c r="G729" s="195"/>
      <c r="I729" s="195"/>
      <c r="L729" s="194"/>
    </row>
    <row r="730" spans="3:12" ht="13.2">
      <c r="C730" s="195"/>
      <c r="E730" s="195"/>
      <c r="G730" s="195"/>
      <c r="I730" s="195"/>
      <c r="L730" s="194"/>
    </row>
    <row r="731" spans="3:12" ht="13.2">
      <c r="C731" s="195"/>
      <c r="E731" s="195"/>
      <c r="G731" s="195"/>
      <c r="I731" s="195"/>
      <c r="L731" s="194"/>
    </row>
    <row r="732" spans="3:12" ht="13.2">
      <c r="C732" s="195"/>
      <c r="E732" s="195"/>
      <c r="G732" s="195"/>
      <c r="I732" s="195"/>
      <c r="L732" s="194"/>
    </row>
    <row r="733" spans="3:12" ht="13.2">
      <c r="C733" s="195"/>
      <c r="E733" s="195"/>
      <c r="G733" s="195"/>
      <c r="I733" s="195"/>
      <c r="L733" s="194"/>
    </row>
    <row r="734" spans="3:12" ht="13.2">
      <c r="C734" s="195"/>
      <c r="E734" s="195"/>
      <c r="G734" s="195"/>
      <c r="I734" s="195"/>
      <c r="L734" s="194"/>
    </row>
    <row r="735" spans="3:12" ht="13.2">
      <c r="C735" s="195"/>
      <c r="E735" s="195"/>
      <c r="G735" s="195"/>
      <c r="I735" s="195"/>
      <c r="L735" s="194"/>
    </row>
    <row r="736" spans="3:12" ht="13.2">
      <c r="C736" s="195"/>
      <c r="E736" s="195"/>
      <c r="G736" s="195"/>
      <c r="I736" s="195"/>
      <c r="L736" s="194"/>
    </row>
    <row r="737" spans="3:12" ht="13.2">
      <c r="C737" s="195"/>
      <c r="E737" s="195"/>
      <c r="G737" s="195"/>
      <c r="I737" s="195"/>
      <c r="L737" s="194"/>
    </row>
    <row r="738" spans="3:12" ht="13.2">
      <c r="C738" s="195"/>
      <c r="E738" s="195"/>
      <c r="G738" s="195"/>
      <c r="I738" s="195"/>
      <c r="L738" s="194"/>
    </row>
    <row r="739" spans="3:12" ht="13.2">
      <c r="C739" s="195"/>
      <c r="E739" s="195"/>
      <c r="G739" s="195"/>
      <c r="I739" s="195"/>
      <c r="L739" s="194"/>
    </row>
    <row r="740" spans="3:12" ht="13.2">
      <c r="C740" s="195"/>
      <c r="E740" s="195"/>
      <c r="G740" s="195"/>
      <c r="I740" s="195"/>
      <c r="L740" s="194"/>
    </row>
    <row r="741" spans="3:12" ht="13.2">
      <c r="C741" s="195"/>
      <c r="E741" s="195"/>
      <c r="G741" s="195"/>
      <c r="I741" s="195"/>
      <c r="L741" s="194"/>
    </row>
    <row r="742" spans="3:12" ht="13.2">
      <c r="C742" s="195"/>
      <c r="E742" s="195"/>
      <c r="G742" s="195"/>
      <c r="I742" s="195"/>
      <c r="L742" s="194"/>
    </row>
    <row r="743" spans="3:12" ht="13.2">
      <c r="C743" s="195"/>
      <c r="E743" s="195"/>
      <c r="G743" s="195"/>
      <c r="I743" s="195"/>
      <c r="L743" s="194"/>
    </row>
    <row r="744" spans="3:12" ht="13.2">
      <c r="C744" s="195"/>
      <c r="E744" s="195"/>
      <c r="G744" s="195"/>
      <c r="I744" s="195"/>
      <c r="L744" s="194"/>
    </row>
    <row r="745" spans="3:12" ht="13.2">
      <c r="C745" s="195"/>
      <c r="E745" s="195"/>
      <c r="G745" s="195"/>
      <c r="I745" s="195"/>
      <c r="L745" s="194"/>
    </row>
    <row r="746" spans="3:12" ht="13.2">
      <c r="C746" s="195"/>
      <c r="E746" s="195"/>
      <c r="G746" s="195"/>
      <c r="I746" s="195"/>
      <c r="L746" s="194"/>
    </row>
    <row r="747" spans="3:12" ht="13.2">
      <c r="C747" s="195"/>
      <c r="E747" s="195"/>
      <c r="G747" s="195"/>
      <c r="I747" s="195"/>
      <c r="L747" s="194"/>
    </row>
    <row r="748" spans="3:12" ht="13.2">
      <c r="C748" s="195"/>
      <c r="E748" s="195"/>
      <c r="G748" s="195"/>
      <c r="I748" s="195"/>
      <c r="L748" s="194"/>
    </row>
    <row r="749" spans="3:12" ht="13.2">
      <c r="C749" s="195"/>
      <c r="E749" s="195"/>
      <c r="G749" s="195"/>
      <c r="I749" s="195"/>
      <c r="L749" s="194"/>
    </row>
    <row r="750" spans="3:12" ht="13.2">
      <c r="C750" s="195"/>
      <c r="E750" s="195"/>
      <c r="G750" s="195"/>
      <c r="I750" s="195"/>
      <c r="L750" s="194"/>
    </row>
    <row r="751" spans="3:12" ht="13.2">
      <c r="C751" s="195"/>
      <c r="E751" s="195"/>
      <c r="G751" s="195"/>
      <c r="I751" s="195"/>
      <c r="L751" s="194"/>
    </row>
    <row r="752" spans="3:12" ht="13.2">
      <c r="C752" s="195"/>
      <c r="E752" s="195"/>
      <c r="G752" s="195"/>
      <c r="I752" s="195"/>
      <c r="L752" s="194"/>
    </row>
    <row r="753" spans="3:12" ht="13.2">
      <c r="C753" s="195"/>
      <c r="E753" s="195"/>
      <c r="G753" s="195"/>
      <c r="I753" s="195"/>
      <c r="L753" s="194"/>
    </row>
    <row r="754" spans="3:12" ht="13.2">
      <c r="C754" s="195"/>
      <c r="E754" s="195"/>
      <c r="G754" s="195"/>
      <c r="I754" s="195"/>
      <c r="L754" s="194"/>
    </row>
    <row r="755" spans="3:12" ht="13.2">
      <c r="C755" s="195"/>
      <c r="E755" s="195"/>
      <c r="G755" s="195"/>
      <c r="I755" s="195"/>
      <c r="L755" s="194"/>
    </row>
    <row r="756" spans="3:12" ht="13.2">
      <c r="C756" s="195"/>
      <c r="E756" s="195"/>
      <c r="G756" s="195"/>
      <c r="I756" s="195"/>
      <c r="L756" s="194"/>
    </row>
    <row r="757" spans="3:12" ht="13.2">
      <c r="C757" s="195"/>
      <c r="E757" s="195"/>
      <c r="G757" s="195"/>
      <c r="I757" s="195"/>
      <c r="L757" s="194"/>
    </row>
    <row r="758" spans="3:12" ht="13.2">
      <c r="C758" s="195"/>
      <c r="E758" s="195"/>
      <c r="G758" s="195"/>
      <c r="I758" s="195"/>
      <c r="L758" s="194"/>
    </row>
    <row r="759" spans="3:12" ht="13.2">
      <c r="C759" s="195"/>
      <c r="E759" s="195"/>
      <c r="G759" s="195"/>
      <c r="I759" s="195"/>
      <c r="L759" s="194"/>
    </row>
    <row r="760" spans="3:12" ht="13.2">
      <c r="C760" s="195"/>
      <c r="E760" s="195"/>
      <c r="G760" s="195"/>
      <c r="I760" s="195"/>
      <c r="L760" s="194"/>
    </row>
    <row r="761" spans="3:12" ht="13.2">
      <c r="C761" s="195"/>
      <c r="E761" s="195"/>
      <c r="G761" s="195"/>
      <c r="I761" s="195"/>
      <c r="L761" s="194"/>
    </row>
    <row r="762" spans="3:12" ht="13.2">
      <c r="C762" s="195"/>
      <c r="E762" s="195"/>
      <c r="G762" s="195"/>
      <c r="I762" s="195"/>
      <c r="L762" s="194"/>
    </row>
    <row r="763" spans="3:12" ht="13.2">
      <c r="C763" s="195"/>
      <c r="E763" s="195"/>
      <c r="G763" s="195"/>
      <c r="I763" s="195"/>
      <c r="L763" s="194"/>
    </row>
    <row r="764" spans="3:12" ht="13.2">
      <c r="C764" s="195"/>
      <c r="E764" s="195"/>
      <c r="G764" s="195"/>
      <c r="I764" s="195"/>
      <c r="L764" s="194"/>
    </row>
    <row r="765" spans="3:12" ht="13.2">
      <c r="C765" s="195"/>
      <c r="E765" s="195"/>
      <c r="G765" s="195"/>
      <c r="I765" s="195"/>
      <c r="L765" s="194"/>
    </row>
    <row r="766" spans="3:12" ht="13.2">
      <c r="C766" s="195"/>
      <c r="E766" s="195"/>
      <c r="G766" s="195"/>
      <c r="I766" s="195"/>
      <c r="L766" s="194"/>
    </row>
    <row r="767" spans="3:12" ht="13.2">
      <c r="C767" s="195"/>
      <c r="E767" s="195"/>
      <c r="G767" s="195"/>
      <c r="I767" s="195"/>
      <c r="L767" s="194"/>
    </row>
    <row r="768" spans="3:12" ht="13.2">
      <c r="C768" s="195"/>
      <c r="E768" s="195"/>
      <c r="G768" s="195"/>
      <c r="I768" s="195"/>
      <c r="L768" s="194"/>
    </row>
    <row r="769" spans="3:12" ht="13.2">
      <c r="C769" s="195"/>
      <c r="E769" s="195"/>
      <c r="G769" s="195"/>
      <c r="I769" s="195"/>
      <c r="L769" s="194"/>
    </row>
    <row r="770" spans="3:12" ht="13.2">
      <c r="C770" s="195"/>
      <c r="E770" s="195"/>
      <c r="G770" s="195"/>
      <c r="I770" s="195"/>
      <c r="L770" s="194"/>
    </row>
    <row r="771" spans="3:12" ht="13.2">
      <c r="C771" s="195"/>
      <c r="E771" s="195"/>
      <c r="G771" s="195"/>
      <c r="I771" s="195"/>
      <c r="L771" s="194"/>
    </row>
    <row r="772" spans="3:12" ht="13.2">
      <c r="C772" s="195"/>
      <c r="E772" s="195"/>
      <c r="G772" s="195"/>
      <c r="I772" s="195"/>
      <c r="L772" s="194"/>
    </row>
    <row r="773" spans="3:12" ht="13.2">
      <c r="C773" s="195"/>
      <c r="E773" s="195"/>
      <c r="G773" s="195"/>
      <c r="I773" s="195"/>
      <c r="L773" s="194"/>
    </row>
    <row r="774" spans="3:12" ht="13.2">
      <c r="C774" s="195"/>
      <c r="E774" s="195"/>
      <c r="G774" s="195"/>
      <c r="I774" s="195"/>
      <c r="L774" s="194"/>
    </row>
    <row r="775" spans="3:12" ht="13.2">
      <c r="C775" s="195"/>
      <c r="E775" s="195"/>
      <c r="G775" s="195"/>
      <c r="I775" s="195"/>
      <c r="L775" s="194"/>
    </row>
    <row r="776" spans="3:12" ht="13.2">
      <c r="C776" s="195"/>
      <c r="E776" s="195"/>
      <c r="G776" s="195"/>
      <c r="I776" s="195"/>
      <c r="L776" s="194"/>
    </row>
    <row r="777" spans="3:12" ht="13.2">
      <c r="C777" s="195"/>
      <c r="E777" s="195"/>
      <c r="G777" s="195"/>
      <c r="I777" s="195"/>
      <c r="L777" s="194"/>
    </row>
    <row r="778" spans="3:12" ht="13.2">
      <c r="C778" s="195"/>
      <c r="E778" s="195"/>
      <c r="G778" s="195"/>
      <c r="I778" s="195"/>
      <c r="L778" s="194"/>
    </row>
    <row r="779" spans="3:12" ht="13.2">
      <c r="C779" s="195"/>
      <c r="E779" s="195"/>
      <c r="G779" s="195"/>
      <c r="I779" s="195"/>
      <c r="L779" s="194"/>
    </row>
    <row r="780" spans="3:12" ht="13.2">
      <c r="C780" s="195"/>
      <c r="E780" s="195"/>
      <c r="G780" s="195"/>
      <c r="I780" s="195"/>
      <c r="L780" s="194"/>
    </row>
    <row r="781" spans="3:12" ht="13.2">
      <c r="C781" s="195"/>
      <c r="E781" s="195"/>
      <c r="G781" s="195"/>
      <c r="I781" s="195"/>
      <c r="L781" s="194"/>
    </row>
    <row r="782" spans="3:12" ht="13.2">
      <c r="C782" s="195"/>
      <c r="E782" s="195"/>
      <c r="G782" s="195"/>
      <c r="I782" s="195"/>
      <c r="L782" s="194"/>
    </row>
    <row r="783" spans="3:12" ht="13.2">
      <c r="C783" s="195"/>
      <c r="E783" s="195"/>
      <c r="G783" s="195"/>
      <c r="I783" s="195"/>
      <c r="L783" s="194"/>
    </row>
    <row r="784" spans="3:12" ht="13.2">
      <c r="C784" s="195"/>
      <c r="E784" s="195"/>
      <c r="G784" s="195"/>
      <c r="I784" s="195"/>
      <c r="L784" s="194"/>
    </row>
    <row r="785" spans="3:12" ht="13.2">
      <c r="C785" s="195"/>
      <c r="E785" s="195"/>
      <c r="G785" s="195"/>
      <c r="I785" s="195"/>
      <c r="L785" s="194"/>
    </row>
    <row r="786" spans="3:12" ht="13.2">
      <c r="C786" s="195"/>
      <c r="E786" s="195"/>
      <c r="G786" s="195"/>
      <c r="I786" s="195"/>
      <c r="L786" s="194"/>
    </row>
    <row r="787" spans="3:12" ht="13.2">
      <c r="C787" s="195"/>
      <c r="E787" s="195"/>
      <c r="G787" s="195"/>
      <c r="I787" s="195"/>
      <c r="L787" s="194"/>
    </row>
    <row r="788" spans="3:12" ht="13.2">
      <c r="C788" s="195"/>
      <c r="E788" s="195"/>
      <c r="G788" s="195"/>
      <c r="I788" s="195"/>
      <c r="L788" s="194"/>
    </row>
    <row r="789" spans="3:12" ht="13.2">
      <c r="C789" s="195"/>
      <c r="E789" s="195"/>
      <c r="G789" s="195"/>
      <c r="I789" s="195"/>
      <c r="L789" s="194"/>
    </row>
    <row r="790" spans="3:12" ht="13.2">
      <c r="C790" s="195"/>
      <c r="E790" s="195"/>
      <c r="G790" s="195"/>
      <c r="I790" s="195"/>
      <c r="L790" s="194"/>
    </row>
    <row r="791" spans="3:12" ht="13.2">
      <c r="C791" s="195"/>
      <c r="E791" s="195"/>
      <c r="G791" s="195"/>
      <c r="I791" s="195"/>
      <c r="L791" s="194"/>
    </row>
    <row r="792" spans="3:12" ht="13.2">
      <c r="C792" s="195"/>
      <c r="E792" s="195"/>
      <c r="G792" s="195"/>
      <c r="I792" s="195"/>
      <c r="L792" s="194"/>
    </row>
    <row r="793" spans="3:12" ht="13.2">
      <c r="C793" s="195"/>
      <c r="E793" s="195"/>
      <c r="G793" s="195"/>
      <c r="I793" s="195"/>
      <c r="L793" s="194"/>
    </row>
    <row r="794" spans="3:12" ht="13.2">
      <c r="C794" s="195"/>
      <c r="E794" s="195"/>
      <c r="G794" s="195"/>
      <c r="I794" s="195"/>
      <c r="L794" s="194"/>
    </row>
    <row r="795" spans="3:12" ht="13.2">
      <c r="C795" s="195"/>
      <c r="E795" s="195"/>
      <c r="G795" s="195"/>
      <c r="I795" s="195"/>
      <c r="L795" s="194"/>
    </row>
    <row r="796" spans="3:12" ht="13.2">
      <c r="C796" s="195"/>
      <c r="E796" s="195"/>
      <c r="G796" s="195"/>
      <c r="I796" s="195"/>
      <c r="L796" s="194"/>
    </row>
    <row r="797" spans="3:12" ht="13.2">
      <c r="C797" s="195"/>
      <c r="E797" s="195"/>
      <c r="G797" s="195"/>
      <c r="I797" s="195"/>
      <c r="L797" s="194"/>
    </row>
    <row r="798" spans="3:12" ht="13.2">
      <c r="C798" s="195"/>
      <c r="E798" s="195"/>
      <c r="G798" s="195"/>
      <c r="I798" s="195"/>
      <c r="L798" s="194"/>
    </row>
    <row r="799" spans="3:12" ht="13.2">
      <c r="C799" s="195"/>
      <c r="E799" s="195"/>
      <c r="G799" s="195"/>
      <c r="I799" s="195"/>
      <c r="L799" s="194"/>
    </row>
    <row r="800" spans="3:12" ht="13.2">
      <c r="C800" s="195"/>
      <c r="E800" s="195"/>
      <c r="G800" s="195"/>
      <c r="I800" s="195"/>
      <c r="L800" s="194"/>
    </row>
    <row r="801" spans="3:12" ht="13.2">
      <c r="C801" s="195"/>
      <c r="E801" s="195"/>
      <c r="G801" s="195"/>
      <c r="I801" s="195"/>
      <c r="L801" s="194"/>
    </row>
    <row r="802" spans="3:12" ht="13.2">
      <c r="C802" s="195"/>
      <c r="E802" s="195"/>
      <c r="G802" s="195"/>
      <c r="I802" s="195"/>
      <c r="L802" s="194"/>
    </row>
    <row r="803" spans="3:12" ht="13.2">
      <c r="C803" s="195"/>
      <c r="E803" s="195"/>
      <c r="G803" s="195"/>
      <c r="I803" s="195"/>
      <c r="L803" s="194"/>
    </row>
    <row r="804" spans="3:12" ht="13.2">
      <c r="C804" s="195"/>
      <c r="E804" s="195"/>
      <c r="G804" s="195"/>
      <c r="I804" s="195"/>
      <c r="L804" s="194"/>
    </row>
    <row r="805" spans="3:12" ht="13.2">
      <c r="C805" s="195"/>
      <c r="E805" s="195"/>
      <c r="G805" s="195"/>
      <c r="I805" s="195"/>
      <c r="L805" s="194"/>
    </row>
    <row r="806" spans="3:12" ht="13.2">
      <c r="C806" s="195"/>
      <c r="E806" s="195"/>
      <c r="G806" s="195"/>
      <c r="I806" s="195"/>
      <c r="L806" s="194"/>
    </row>
    <row r="807" spans="3:12" ht="13.2">
      <c r="C807" s="195"/>
      <c r="E807" s="195"/>
      <c r="G807" s="195"/>
      <c r="I807" s="195"/>
      <c r="L807" s="194"/>
    </row>
    <row r="808" spans="3:12" ht="13.2">
      <c r="C808" s="195"/>
      <c r="E808" s="195"/>
      <c r="G808" s="195"/>
      <c r="I808" s="195"/>
      <c r="L808" s="194"/>
    </row>
    <row r="809" spans="3:12" ht="13.2">
      <c r="C809" s="195"/>
      <c r="E809" s="195"/>
      <c r="G809" s="195"/>
      <c r="I809" s="195"/>
      <c r="L809" s="194"/>
    </row>
    <row r="810" spans="3:12" ht="13.2">
      <c r="C810" s="195"/>
      <c r="E810" s="195"/>
      <c r="G810" s="195"/>
      <c r="I810" s="195"/>
      <c r="L810" s="194"/>
    </row>
    <row r="811" spans="3:12" ht="13.2">
      <c r="C811" s="195"/>
      <c r="E811" s="195"/>
      <c r="G811" s="195"/>
      <c r="I811" s="195"/>
      <c r="L811" s="194"/>
    </row>
    <row r="812" spans="3:12" ht="13.2">
      <c r="C812" s="195"/>
      <c r="E812" s="195"/>
      <c r="G812" s="195"/>
      <c r="I812" s="195"/>
      <c r="L812" s="194"/>
    </row>
    <row r="813" spans="3:12" ht="13.2">
      <c r="C813" s="195"/>
      <c r="E813" s="195"/>
      <c r="G813" s="195"/>
      <c r="I813" s="195"/>
      <c r="L813" s="194"/>
    </row>
    <row r="814" spans="3:12" ht="13.2">
      <c r="C814" s="195"/>
      <c r="E814" s="195"/>
      <c r="G814" s="195"/>
      <c r="I814" s="195"/>
      <c r="L814" s="194"/>
    </row>
    <row r="815" spans="3:12" ht="13.2">
      <c r="C815" s="195"/>
      <c r="E815" s="195"/>
      <c r="G815" s="195"/>
      <c r="I815" s="195"/>
      <c r="L815" s="194"/>
    </row>
    <row r="816" spans="3:12" ht="13.2">
      <c r="C816" s="195"/>
      <c r="E816" s="195"/>
      <c r="G816" s="195"/>
      <c r="I816" s="195"/>
      <c r="L816" s="194"/>
    </row>
    <row r="817" spans="3:12" ht="13.2">
      <c r="C817" s="195"/>
      <c r="E817" s="195"/>
      <c r="G817" s="195"/>
      <c r="I817" s="195"/>
      <c r="L817" s="194"/>
    </row>
    <row r="818" spans="3:12" ht="13.2">
      <c r="C818" s="195"/>
      <c r="E818" s="195"/>
      <c r="G818" s="195"/>
      <c r="I818" s="195"/>
      <c r="L818" s="194"/>
    </row>
    <row r="819" spans="3:12" ht="13.2">
      <c r="C819" s="195"/>
      <c r="E819" s="195"/>
      <c r="G819" s="195"/>
      <c r="I819" s="195"/>
      <c r="L819" s="194"/>
    </row>
    <row r="820" spans="3:12" ht="13.2">
      <c r="C820" s="195"/>
      <c r="E820" s="195"/>
      <c r="G820" s="195"/>
      <c r="I820" s="195"/>
      <c r="L820" s="194"/>
    </row>
    <row r="821" spans="3:12" ht="13.2">
      <c r="C821" s="195"/>
      <c r="E821" s="195"/>
      <c r="G821" s="195"/>
      <c r="I821" s="195"/>
      <c r="L821" s="194"/>
    </row>
    <row r="822" spans="3:12" ht="13.2">
      <c r="C822" s="195"/>
      <c r="E822" s="195"/>
      <c r="G822" s="195"/>
      <c r="I822" s="195"/>
      <c r="L822" s="194"/>
    </row>
    <row r="823" spans="3:12" ht="13.2">
      <c r="C823" s="195"/>
      <c r="E823" s="195"/>
      <c r="G823" s="195"/>
      <c r="I823" s="195"/>
      <c r="L823" s="194"/>
    </row>
    <row r="824" spans="3:12" ht="13.2">
      <c r="C824" s="195"/>
      <c r="E824" s="195"/>
      <c r="G824" s="195"/>
      <c r="I824" s="195"/>
      <c r="L824" s="194"/>
    </row>
    <row r="825" spans="3:12" ht="13.2">
      <c r="C825" s="195"/>
      <c r="E825" s="195"/>
      <c r="G825" s="195"/>
      <c r="I825" s="195"/>
      <c r="L825" s="194"/>
    </row>
    <row r="826" spans="3:12" ht="13.2">
      <c r="C826" s="195"/>
      <c r="E826" s="195"/>
      <c r="G826" s="195"/>
      <c r="I826" s="195"/>
      <c r="L826" s="194"/>
    </row>
    <row r="827" spans="3:12" ht="13.2">
      <c r="C827" s="195"/>
      <c r="E827" s="195"/>
      <c r="G827" s="195"/>
      <c r="I827" s="195"/>
      <c r="L827" s="194"/>
    </row>
    <row r="828" spans="3:12" ht="13.2">
      <c r="C828" s="195"/>
      <c r="E828" s="195"/>
      <c r="G828" s="195"/>
      <c r="I828" s="195"/>
      <c r="L828" s="194"/>
    </row>
    <row r="829" spans="3:12" ht="13.2">
      <c r="C829" s="195"/>
      <c r="E829" s="195"/>
      <c r="G829" s="195"/>
      <c r="I829" s="195"/>
      <c r="L829" s="194"/>
    </row>
    <row r="830" spans="3:12" ht="13.2">
      <c r="C830" s="195"/>
      <c r="E830" s="195"/>
      <c r="G830" s="195"/>
      <c r="I830" s="195"/>
      <c r="L830" s="194"/>
    </row>
    <row r="831" spans="3:12" ht="13.2">
      <c r="C831" s="195"/>
      <c r="E831" s="195"/>
      <c r="G831" s="195"/>
      <c r="I831" s="195"/>
      <c r="L831" s="194"/>
    </row>
    <row r="832" spans="3:12" ht="13.2">
      <c r="C832" s="195"/>
      <c r="E832" s="195"/>
      <c r="G832" s="195"/>
      <c r="I832" s="195"/>
      <c r="L832" s="194"/>
    </row>
    <row r="833" spans="3:12" ht="13.2">
      <c r="C833" s="195"/>
      <c r="E833" s="195"/>
      <c r="G833" s="195"/>
      <c r="I833" s="195"/>
      <c r="L833" s="194"/>
    </row>
    <row r="834" spans="3:12" ht="13.2">
      <c r="C834" s="195"/>
      <c r="E834" s="195"/>
      <c r="G834" s="195"/>
      <c r="I834" s="195"/>
      <c r="L834" s="194"/>
    </row>
    <row r="835" spans="3:12" ht="13.2">
      <c r="C835" s="195"/>
      <c r="E835" s="195"/>
      <c r="G835" s="195"/>
      <c r="I835" s="195"/>
      <c r="L835" s="194"/>
    </row>
    <row r="836" spans="3:12" ht="13.2">
      <c r="C836" s="195"/>
      <c r="E836" s="195"/>
      <c r="G836" s="195"/>
      <c r="I836" s="195"/>
      <c r="L836" s="194"/>
    </row>
    <row r="837" spans="3:12" ht="13.2">
      <c r="C837" s="195"/>
      <c r="E837" s="195"/>
      <c r="G837" s="195"/>
      <c r="I837" s="195"/>
      <c r="L837" s="194"/>
    </row>
    <row r="838" spans="3:12" ht="13.2">
      <c r="C838" s="195"/>
      <c r="E838" s="195"/>
      <c r="G838" s="195"/>
      <c r="I838" s="195"/>
      <c r="L838" s="194"/>
    </row>
    <row r="839" spans="3:12" ht="13.2">
      <c r="C839" s="195"/>
      <c r="E839" s="195"/>
      <c r="G839" s="195"/>
      <c r="I839" s="195"/>
      <c r="L839" s="194"/>
    </row>
    <row r="840" spans="3:12" ht="13.2">
      <c r="C840" s="195"/>
      <c r="E840" s="195"/>
      <c r="G840" s="195"/>
      <c r="I840" s="195"/>
      <c r="L840" s="194"/>
    </row>
    <row r="841" spans="3:12" ht="13.2">
      <c r="C841" s="195"/>
      <c r="E841" s="195"/>
      <c r="G841" s="195"/>
      <c r="I841" s="195"/>
      <c r="L841" s="194"/>
    </row>
    <row r="842" spans="3:12" ht="13.2">
      <c r="C842" s="195"/>
      <c r="E842" s="195"/>
      <c r="G842" s="195"/>
      <c r="I842" s="195"/>
      <c r="L842" s="194"/>
    </row>
    <row r="843" spans="3:12" ht="13.2">
      <c r="C843" s="195"/>
      <c r="E843" s="195"/>
      <c r="G843" s="195"/>
      <c r="I843" s="195"/>
      <c r="L843" s="194"/>
    </row>
    <row r="844" spans="3:12" ht="13.2">
      <c r="C844" s="195"/>
      <c r="E844" s="195"/>
      <c r="G844" s="195"/>
      <c r="I844" s="195"/>
      <c r="L844" s="194"/>
    </row>
    <row r="845" spans="3:12" ht="13.2">
      <c r="C845" s="195"/>
      <c r="E845" s="195"/>
      <c r="G845" s="195"/>
      <c r="I845" s="195"/>
      <c r="L845" s="194"/>
    </row>
    <row r="846" spans="3:12" ht="13.2">
      <c r="C846" s="195"/>
      <c r="E846" s="195"/>
      <c r="G846" s="195"/>
      <c r="I846" s="195"/>
      <c r="L846" s="194"/>
    </row>
    <row r="847" spans="3:12" ht="13.2">
      <c r="C847" s="195"/>
      <c r="E847" s="195"/>
      <c r="G847" s="195"/>
      <c r="I847" s="195"/>
      <c r="L847" s="194"/>
    </row>
    <row r="848" spans="3:12" ht="13.2">
      <c r="C848" s="195"/>
      <c r="E848" s="195"/>
      <c r="G848" s="195"/>
      <c r="I848" s="195"/>
      <c r="L848" s="194"/>
    </row>
    <row r="849" spans="3:12" ht="13.2">
      <c r="C849" s="195"/>
      <c r="E849" s="195"/>
      <c r="G849" s="195"/>
      <c r="I849" s="195"/>
      <c r="L849" s="194"/>
    </row>
    <row r="850" spans="3:12" ht="13.2">
      <c r="C850" s="195"/>
      <c r="E850" s="195"/>
      <c r="G850" s="195"/>
      <c r="I850" s="195"/>
      <c r="L850" s="194"/>
    </row>
    <row r="851" spans="3:12" ht="13.2">
      <c r="C851" s="195"/>
      <c r="E851" s="195"/>
      <c r="G851" s="195"/>
      <c r="I851" s="195"/>
      <c r="L851" s="194"/>
    </row>
    <row r="852" spans="3:12" ht="13.2">
      <c r="C852" s="195"/>
      <c r="E852" s="195"/>
      <c r="G852" s="195"/>
      <c r="I852" s="195"/>
      <c r="L852" s="194"/>
    </row>
    <row r="853" spans="3:12" ht="13.2">
      <c r="C853" s="195"/>
      <c r="E853" s="195"/>
      <c r="G853" s="195"/>
      <c r="I853" s="195"/>
      <c r="L853" s="194"/>
    </row>
    <row r="854" spans="3:12" ht="13.2">
      <c r="C854" s="195"/>
      <c r="E854" s="195"/>
      <c r="G854" s="195"/>
      <c r="I854" s="195"/>
      <c r="L854" s="194"/>
    </row>
    <row r="855" spans="3:12" ht="13.2">
      <c r="C855" s="195"/>
      <c r="E855" s="195"/>
      <c r="G855" s="195"/>
      <c r="I855" s="195"/>
      <c r="L855" s="194"/>
    </row>
    <row r="856" spans="3:12" ht="13.2">
      <c r="C856" s="195"/>
      <c r="E856" s="195"/>
      <c r="G856" s="195"/>
      <c r="I856" s="195"/>
      <c r="L856" s="194"/>
    </row>
    <row r="857" spans="3:12" ht="13.2">
      <c r="C857" s="195"/>
      <c r="E857" s="195"/>
      <c r="G857" s="195"/>
      <c r="I857" s="195"/>
      <c r="L857" s="194"/>
    </row>
    <row r="858" spans="3:12" ht="13.2">
      <c r="C858" s="195"/>
      <c r="E858" s="195"/>
      <c r="G858" s="195"/>
      <c r="I858" s="195"/>
      <c r="L858" s="194"/>
    </row>
    <row r="859" spans="3:12" ht="13.2">
      <c r="C859" s="195"/>
      <c r="E859" s="195"/>
      <c r="G859" s="195"/>
      <c r="I859" s="195"/>
      <c r="L859" s="194"/>
    </row>
    <row r="860" spans="3:12" ht="13.2">
      <c r="C860" s="195"/>
      <c r="E860" s="195"/>
      <c r="G860" s="195"/>
      <c r="I860" s="195"/>
      <c r="L860" s="194"/>
    </row>
    <row r="861" spans="3:12" ht="13.2">
      <c r="C861" s="195"/>
      <c r="E861" s="195"/>
      <c r="G861" s="195"/>
      <c r="I861" s="195"/>
      <c r="L861" s="194"/>
    </row>
    <row r="862" spans="3:12" ht="13.2">
      <c r="C862" s="195"/>
      <c r="E862" s="195"/>
      <c r="G862" s="195"/>
      <c r="I862" s="195"/>
      <c r="L862" s="194"/>
    </row>
    <row r="863" spans="3:12" ht="13.2">
      <c r="C863" s="195"/>
      <c r="E863" s="195"/>
      <c r="G863" s="195"/>
      <c r="I863" s="195"/>
      <c r="L863" s="194"/>
    </row>
    <row r="864" spans="3:12" ht="13.2">
      <c r="C864" s="195"/>
      <c r="E864" s="195"/>
      <c r="G864" s="195"/>
      <c r="I864" s="195"/>
      <c r="L864" s="194"/>
    </row>
    <row r="865" spans="3:12" ht="13.2">
      <c r="C865" s="195"/>
      <c r="E865" s="195"/>
      <c r="G865" s="195"/>
      <c r="I865" s="195"/>
      <c r="L865" s="194"/>
    </row>
    <row r="866" spans="3:12" ht="13.2">
      <c r="C866" s="195"/>
      <c r="E866" s="195"/>
      <c r="G866" s="195"/>
      <c r="I866" s="195"/>
      <c r="L866" s="194"/>
    </row>
    <row r="867" spans="3:12" ht="13.2">
      <c r="C867" s="195"/>
      <c r="E867" s="195"/>
      <c r="G867" s="195"/>
      <c r="I867" s="195"/>
      <c r="L867" s="194"/>
    </row>
    <row r="868" spans="3:12" ht="13.2">
      <c r="C868" s="195"/>
      <c r="E868" s="195"/>
      <c r="G868" s="195"/>
      <c r="I868" s="195"/>
      <c r="L868" s="194"/>
    </row>
    <row r="869" spans="3:12" ht="13.2">
      <c r="C869" s="195"/>
      <c r="E869" s="195"/>
      <c r="G869" s="195"/>
      <c r="I869" s="195"/>
      <c r="L869" s="194"/>
    </row>
    <row r="870" spans="3:12" ht="13.2">
      <c r="C870" s="195"/>
      <c r="E870" s="195"/>
      <c r="G870" s="195"/>
      <c r="I870" s="195"/>
      <c r="L870" s="194"/>
    </row>
    <row r="871" spans="3:12" ht="13.2">
      <c r="C871" s="195"/>
      <c r="E871" s="195"/>
      <c r="G871" s="195"/>
      <c r="I871" s="195"/>
      <c r="L871" s="194"/>
    </row>
    <row r="872" spans="3:12" ht="13.2">
      <c r="C872" s="195"/>
      <c r="E872" s="195"/>
      <c r="G872" s="195"/>
      <c r="I872" s="195"/>
      <c r="L872" s="194"/>
    </row>
    <row r="873" spans="3:12" ht="13.2">
      <c r="C873" s="195"/>
      <c r="E873" s="195"/>
      <c r="G873" s="195"/>
      <c r="I873" s="195"/>
      <c r="L873" s="194"/>
    </row>
    <row r="874" spans="3:12" ht="13.2">
      <c r="C874" s="195"/>
      <c r="E874" s="195"/>
      <c r="G874" s="195"/>
      <c r="I874" s="195"/>
      <c r="L874" s="194"/>
    </row>
    <row r="875" spans="3:12" ht="13.2">
      <c r="C875" s="195"/>
      <c r="E875" s="195"/>
      <c r="G875" s="195"/>
      <c r="I875" s="195"/>
      <c r="L875" s="194"/>
    </row>
    <row r="876" spans="3:12" ht="13.2">
      <c r="C876" s="195"/>
      <c r="E876" s="195"/>
      <c r="G876" s="195"/>
      <c r="I876" s="195"/>
      <c r="L876" s="194"/>
    </row>
    <row r="877" spans="3:12" ht="13.2">
      <c r="C877" s="195"/>
      <c r="E877" s="195"/>
      <c r="G877" s="195"/>
      <c r="I877" s="195"/>
      <c r="L877" s="194"/>
    </row>
    <row r="878" spans="3:12" ht="13.2">
      <c r="C878" s="195"/>
      <c r="E878" s="195"/>
      <c r="G878" s="195"/>
      <c r="I878" s="195"/>
      <c r="L878" s="194"/>
    </row>
    <row r="879" spans="3:12" ht="13.2">
      <c r="C879" s="195"/>
      <c r="E879" s="195"/>
      <c r="G879" s="195"/>
      <c r="I879" s="195"/>
      <c r="L879" s="194"/>
    </row>
    <row r="880" spans="3:12" ht="13.2">
      <c r="C880" s="195"/>
      <c r="E880" s="195"/>
      <c r="G880" s="195"/>
      <c r="I880" s="195"/>
      <c r="L880" s="194"/>
    </row>
    <row r="881" spans="3:12" ht="13.2">
      <c r="C881" s="195"/>
      <c r="E881" s="195"/>
      <c r="G881" s="195"/>
      <c r="I881" s="195"/>
      <c r="L881" s="194"/>
    </row>
    <row r="882" spans="3:12" ht="13.2">
      <c r="C882" s="195"/>
      <c r="E882" s="195"/>
      <c r="G882" s="195"/>
      <c r="I882" s="195"/>
      <c r="L882" s="194"/>
    </row>
    <row r="883" spans="3:12" ht="13.2">
      <c r="C883" s="195"/>
      <c r="E883" s="195"/>
      <c r="G883" s="195"/>
      <c r="I883" s="195"/>
      <c r="L883" s="194"/>
    </row>
    <row r="884" spans="3:12" ht="13.2">
      <c r="C884" s="195"/>
      <c r="E884" s="195"/>
      <c r="G884" s="195"/>
      <c r="I884" s="195"/>
      <c r="L884" s="194"/>
    </row>
    <row r="885" spans="3:12" ht="13.2">
      <c r="C885" s="195"/>
      <c r="E885" s="195"/>
      <c r="G885" s="195"/>
      <c r="I885" s="195"/>
      <c r="L885" s="194"/>
    </row>
    <row r="886" spans="3:12" ht="13.2">
      <c r="C886" s="195"/>
      <c r="E886" s="195"/>
      <c r="G886" s="195"/>
      <c r="I886" s="195"/>
      <c r="L886" s="194"/>
    </row>
    <row r="887" spans="3:12" ht="13.2">
      <c r="C887" s="195"/>
      <c r="E887" s="195"/>
      <c r="G887" s="195"/>
      <c r="I887" s="195"/>
      <c r="L887" s="194"/>
    </row>
    <row r="888" spans="3:12" ht="13.2">
      <c r="C888" s="195"/>
      <c r="E888" s="195"/>
      <c r="G888" s="195"/>
      <c r="I888" s="195"/>
      <c r="L888" s="194"/>
    </row>
    <row r="889" spans="3:12" ht="13.2">
      <c r="C889" s="195"/>
      <c r="E889" s="195"/>
      <c r="G889" s="195"/>
      <c r="I889" s="195"/>
      <c r="L889" s="194"/>
    </row>
    <row r="890" spans="3:12" ht="13.2">
      <c r="C890" s="195"/>
      <c r="E890" s="195"/>
      <c r="G890" s="195"/>
      <c r="I890" s="195"/>
      <c r="L890" s="194"/>
    </row>
    <row r="891" spans="3:12" ht="13.2">
      <c r="C891" s="195"/>
      <c r="E891" s="195"/>
      <c r="G891" s="195"/>
      <c r="I891" s="195"/>
      <c r="L891" s="194"/>
    </row>
    <row r="892" spans="3:12" ht="13.2">
      <c r="C892" s="195"/>
      <c r="E892" s="195"/>
      <c r="G892" s="195"/>
      <c r="I892" s="195"/>
      <c r="L892" s="194"/>
    </row>
    <row r="893" spans="3:12" ht="13.2">
      <c r="C893" s="195"/>
      <c r="E893" s="195"/>
      <c r="G893" s="195"/>
      <c r="I893" s="195"/>
      <c r="L893" s="194"/>
    </row>
    <row r="894" spans="3:12" ht="13.2">
      <c r="C894" s="195"/>
      <c r="E894" s="195"/>
      <c r="G894" s="195"/>
      <c r="I894" s="195"/>
      <c r="L894" s="194"/>
    </row>
    <row r="895" spans="3:12" ht="13.2">
      <c r="C895" s="195"/>
      <c r="E895" s="195"/>
      <c r="G895" s="195"/>
      <c r="I895" s="195"/>
      <c r="L895" s="194"/>
    </row>
    <row r="896" spans="3:12" ht="13.2">
      <c r="C896" s="195"/>
      <c r="E896" s="195"/>
      <c r="G896" s="195"/>
      <c r="I896" s="195"/>
      <c r="L896" s="194"/>
    </row>
    <row r="897" spans="3:12" ht="13.2">
      <c r="C897" s="195"/>
      <c r="E897" s="195"/>
      <c r="G897" s="195"/>
      <c r="I897" s="195"/>
      <c r="L897" s="194"/>
    </row>
    <row r="898" spans="3:12" ht="13.2">
      <c r="C898" s="195"/>
      <c r="E898" s="195"/>
      <c r="G898" s="195"/>
      <c r="I898" s="195"/>
      <c r="L898" s="194"/>
    </row>
    <row r="899" spans="3:12" ht="13.2">
      <c r="C899" s="195"/>
      <c r="E899" s="195"/>
      <c r="G899" s="195"/>
      <c r="I899" s="195"/>
      <c r="L899" s="194"/>
    </row>
    <row r="900" spans="3:12" ht="13.2">
      <c r="C900" s="195"/>
      <c r="E900" s="195"/>
      <c r="G900" s="195"/>
      <c r="I900" s="195"/>
      <c r="L900" s="194"/>
    </row>
    <row r="901" spans="3:12" ht="13.2">
      <c r="C901" s="195"/>
      <c r="E901" s="195"/>
      <c r="G901" s="195"/>
      <c r="I901" s="195"/>
      <c r="L901" s="194"/>
    </row>
    <row r="902" spans="3:12" ht="13.2">
      <c r="C902" s="195"/>
      <c r="E902" s="195"/>
      <c r="G902" s="195"/>
      <c r="I902" s="195"/>
      <c r="L902" s="194"/>
    </row>
    <row r="903" spans="3:12" ht="13.2">
      <c r="C903" s="195"/>
      <c r="E903" s="195"/>
      <c r="G903" s="195"/>
      <c r="I903" s="195"/>
      <c r="L903" s="194"/>
    </row>
    <row r="904" spans="3:12" ht="13.2">
      <c r="C904" s="195"/>
      <c r="E904" s="195"/>
      <c r="G904" s="195"/>
      <c r="I904" s="195"/>
      <c r="L904" s="194"/>
    </row>
    <row r="905" spans="3:12" ht="13.2">
      <c r="C905" s="195"/>
      <c r="E905" s="195"/>
      <c r="G905" s="195"/>
      <c r="I905" s="195"/>
      <c r="L905" s="194"/>
    </row>
    <row r="906" spans="3:12" ht="13.2">
      <c r="C906" s="195"/>
      <c r="E906" s="195"/>
      <c r="G906" s="195"/>
      <c r="I906" s="195"/>
      <c r="L906" s="194"/>
    </row>
    <row r="907" spans="3:12" ht="13.2">
      <c r="C907" s="195"/>
      <c r="E907" s="195"/>
      <c r="G907" s="195"/>
      <c r="I907" s="195"/>
      <c r="L907" s="194"/>
    </row>
    <row r="908" spans="3:12" ht="13.2">
      <c r="C908" s="195"/>
      <c r="E908" s="195"/>
      <c r="G908" s="195"/>
      <c r="I908" s="195"/>
      <c r="L908" s="194"/>
    </row>
    <row r="909" spans="3:12" ht="13.2">
      <c r="C909" s="195"/>
      <c r="E909" s="195"/>
      <c r="G909" s="195"/>
      <c r="I909" s="195"/>
      <c r="L909" s="194"/>
    </row>
    <row r="910" spans="3:12" ht="13.2">
      <c r="C910" s="195"/>
      <c r="E910" s="195"/>
      <c r="G910" s="195"/>
      <c r="I910" s="195"/>
      <c r="L910" s="194"/>
    </row>
    <row r="911" spans="3:12" ht="13.2">
      <c r="C911" s="195"/>
      <c r="E911" s="195"/>
      <c r="G911" s="195"/>
      <c r="I911" s="195"/>
      <c r="L911" s="194"/>
    </row>
    <row r="912" spans="3:12" ht="13.2">
      <c r="C912" s="195"/>
      <c r="E912" s="195"/>
      <c r="G912" s="195"/>
      <c r="I912" s="195"/>
      <c r="L912" s="194"/>
    </row>
    <row r="913" spans="3:12" ht="13.2">
      <c r="C913" s="195"/>
      <c r="E913" s="195"/>
      <c r="G913" s="195"/>
      <c r="I913" s="195"/>
      <c r="L913" s="194"/>
    </row>
    <row r="914" spans="3:12" ht="13.2">
      <c r="C914" s="195"/>
      <c r="E914" s="195"/>
      <c r="G914" s="195"/>
      <c r="I914" s="195"/>
      <c r="L914" s="194"/>
    </row>
    <row r="915" spans="3:12" ht="13.2">
      <c r="C915" s="195"/>
      <c r="E915" s="195"/>
      <c r="G915" s="195"/>
      <c r="I915" s="195"/>
      <c r="L915" s="194"/>
    </row>
    <row r="916" spans="3:12" ht="13.2">
      <c r="C916" s="195"/>
      <c r="E916" s="195"/>
      <c r="G916" s="195"/>
      <c r="I916" s="195"/>
      <c r="L916" s="194"/>
    </row>
    <row r="917" spans="3:12" ht="13.2">
      <c r="C917" s="195"/>
      <c r="E917" s="195"/>
      <c r="G917" s="195"/>
      <c r="I917" s="195"/>
      <c r="L917" s="194"/>
    </row>
    <row r="918" spans="3:12" ht="13.2">
      <c r="C918" s="195"/>
      <c r="E918" s="195"/>
      <c r="G918" s="195"/>
      <c r="I918" s="195"/>
      <c r="L918" s="194"/>
    </row>
    <row r="919" spans="3:12" ht="13.2">
      <c r="C919" s="195"/>
      <c r="E919" s="195"/>
      <c r="G919" s="195"/>
      <c r="I919" s="195"/>
      <c r="L919" s="194"/>
    </row>
    <row r="920" spans="3:12" ht="13.2">
      <c r="C920" s="195"/>
      <c r="E920" s="195"/>
      <c r="G920" s="195"/>
      <c r="I920" s="195"/>
      <c r="L920" s="194"/>
    </row>
    <row r="921" spans="3:12" ht="13.2">
      <c r="C921" s="195"/>
      <c r="E921" s="195"/>
      <c r="G921" s="195"/>
      <c r="I921" s="195"/>
      <c r="L921" s="194"/>
    </row>
    <row r="922" spans="3:12" ht="13.2">
      <c r="C922" s="195"/>
      <c r="E922" s="195"/>
      <c r="G922" s="195"/>
      <c r="I922" s="195"/>
      <c r="L922" s="194"/>
    </row>
    <row r="923" spans="3:12" ht="13.2">
      <c r="C923" s="195"/>
      <c r="E923" s="195"/>
      <c r="G923" s="195"/>
      <c r="I923" s="195"/>
      <c r="L923" s="194"/>
    </row>
    <row r="924" spans="3:12" ht="13.2">
      <c r="C924" s="195"/>
      <c r="E924" s="195"/>
      <c r="G924" s="195"/>
      <c r="I924" s="195"/>
      <c r="L924" s="194"/>
    </row>
    <row r="925" spans="3:12" ht="13.2">
      <c r="C925" s="195"/>
      <c r="E925" s="195"/>
      <c r="G925" s="195"/>
      <c r="I925" s="195"/>
      <c r="L925" s="194"/>
    </row>
    <row r="926" spans="3:12" ht="13.2">
      <c r="C926" s="195"/>
      <c r="E926" s="195"/>
      <c r="G926" s="195"/>
      <c r="I926" s="195"/>
      <c r="L926" s="194"/>
    </row>
    <row r="927" spans="3:12" ht="13.2">
      <c r="C927" s="195"/>
      <c r="E927" s="195"/>
      <c r="G927" s="195"/>
      <c r="I927" s="195"/>
      <c r="L927" s="194"/>
    </row>
    <row r="928" spans="3:12" ht="13.2">
      <c r="C928" s="195"/>
      <c r="E928" s="195"/>
      <c r="G928" s="195"/>
      <c r="I928" s="195"/>
      <c r="L928" s="194"/>
    </row>
    <row r="929" spans="3:12" ht="13.2">
      <c r="C929" s="195"/>
      <c r="E929" s="195"/>
      <c r="G929" s="195"/>
      <c r="I929" s="195"/>
      <c r="L929" s="194"/>
    </row>
    <row r="930" spans="3:12" ht="13.2">
      <c r="C930" s="195"/>
      <c r="E930" s="195"/>
      <c r="G930" s="195"/>
      <c r="I930" s="195"/>
      <c r="L930" s="194"/>
    </row>
    <row r="931" spans="3:12" ht="13.2">
      <c r="C931" s="195"/>
      <c r="E931" s="195"/>
      <c r="G931" s="195"/>
      <c r="I931" s="195"/>
      <c r="L931" s="194"/>
    </row>
    <row r="932" spans="3:12" ht="13.2">
      <c r="C932" s="195"/>
      <c r="E932" s="195"/>
      <c r="G932" s="195"/>
      <c r="I932" s="195"/>
      <c r="L932" s="194"/>
    </row>
    <row r="933" spans="3:12" ht="13.2">
      <c r="C933" s="195"/>
      <c r="E933" s="195"/>
      <c r="G933" s="195"/>
      <c r="I933" s="195"/>
      <c r="L933" s="194"/>
    </row>
    <row r="934" spans="3:12" ht="13.2">
      <c r="C934" s="195"/>
      <c r="E934" s="195"/>
      <c r="G934" s="195"/>
      <c r="I934" s="195"/>
      <c r="L934" s="194"/>
    </row>
    <row r="935" spans="3:12" ht="13.2">
      <c r="C935" s="195"/>
      <c r="E935" s="195"/>
      <c r="G935" s="195"/>
      <c r="I935" s="195"/>
      <c r="L935" s="194"/>
    </row>
    <row r="936" spans="3:12" ht="13.2">
      <c r="C936" s="195"/>
      <c r="E936" s="195"/>
      <c r="G936" s="195"/>
      <c r="I936" s="195"/>
      <c r="L936" s="194"/>
    </row>
    <row r="937" spans="3:12" ht="13.2">
      <c r="C937" s="195"/>
      <c r="E937" s="195"/>
      <c r="G937" s="195"/>
      <c r="I937" s="195"/>
      <c r="L937" s="194"/>
    </row>
    <row r="938" spans="3:12" ht="13.2">
      <c r="C938" s="195"/>
      <c r="E938" s="195"/>
      <c r="G938" s="195"/>
      <c r="I938" s="195"/>
      <c r="L938" s="194"/>
    </row>
    <row r="939" spans="3:12" ht="13.2">
      <c r="C939" s="195"/>
      <c r="E939" s="195"/>
      <c r="G939" s="195"/>
      <c r="I939" s="195"/>
      <c r="L939" s="194"/>
    </row>
    <row r="940" spans="3:12" ht="13.2">
      <c r="C940" s="195"/>
      <c r="E940" s="195"/>
      <c r="G940" s="195"/>
      <c r="I940" s="195"/>
      <c r="L940" s="194"/>
    </row>
    <row r="941" spans="3:12" ht="13.2">
      <c r="C941" s="195"/>
      <c r="E941" s="195"/>
      <c r="G941" s="195"/>
      <c r="I941" s="195"/>
      <c r="L941" s="194"/>
    </row>
    <row r="942" spans="3:12" ht="13.2">
      <c r="C942" s="195"/>
      <c r="E942" s="195"/>
      <c r="G942" s="195"/>
      <c r="I942" s="195"/>
      <c r="L942" s="194"/>
    </row>
    <row r="943" spans="3:12" ht="13.2">
      <c r="C943" s="195"/>
      <c r="E943" s="195"/>
      <c r="G943" s="195"/>
      <c r="I943" s="195"/>
      <c r="L943" s="194"/>
    </row>
    <row r="944" spans="3:12" ht="13.2">
      <c r="C944" s="195"/>
      <c r="E944" s="195"/>
      <c r="G944" s="195"/>
      <c r="I944" s="195"/>
      <c r="L944" s="194"/>
    </row>
    <row r="945" spans="3:12" ht="13.2">
      <c r="C945" s="195"/>
      <c r="E945" s="195"/>
      <c r="G945" s="195"/>
      <c r="I945" s="195"/>
      <c r="L945" s="194"/>
    </row>
    <row r="946" spans="3:12" ht="13.2">
      <c r="C946" s="195"/>
      <c r="E946" s="195"/>
      <c r="G946" s="195"/>
      <c r="I946" s="195"/>
      <c r="L946" s="194"/>
    </row>
    <row r="947" spans="3:12" ht="13.2">
      <c r="C947" s="195"/>
      <c r="E947" s="195"/>
      <c r="G947" s="195"/>
      <c r="I947" s="195"/>
      <c r="L947" s="194"/>
    </row>
    <row r="948" spans="3:12" ht="13.2">
      <c r="C948" s="195"/>
      <c r="E948" s="195"/>
      <c r="G948" s="195"/>
      <c r="I948" s="195"/>
      <c r="L948" s="194"/>
    </row>
    <row r="949" spans="3:12" ht="13.2">
      <c r="C949" s="195"/>
      <c r="E949" s="195"/>
      <c r="G949" s="195"/>
      <c r="I949" s="195"/>
      <c r="L949" s="194"/>
    </row>
    <row r="950" spans="3:12" ht="13.2">
      <c r="C950" s="195"/>
      <c r="E950" s="195"/>
      <c r="G950" s="195"/>
      <c r="I950" s="195"/>
      <c r="L950" s="194"/>
    </row>
    <row r="951" spans="3:12" ht="13.2">
      <c r="C951" s="195"/>
      <c r="E951" s="195"/>
      <c r="G951" s="195"/>
      <c r="I951" s="195"/>
      <c r="L951" s="194"/>
    </row>
    <row r="952" spans="3:12" ht="13.2">
      <c r="C952" s="195"/>
      <c r="E952" s="195"/>
      <c r="G952" s="195"/>
      <c r="I952" s="195"/>
      <c r="L952" s="194"/>
    </row>
    <row r="953" spans="3:12" ht="13.2">
      <c r="C953" s="195"/>
      <c r="E953" s="195"/>
      <c r="G953" s="195"/>
      <c r="I953" s="195"/>
      <c r="L953" s="194"/>
    </row>
    <row r="954" spans="3:12" ht="13.2">
      <c r="C954" s="195"/>
      <c r="E954" s="195"/>
      <c r="G954" s="195"/>
      <c r="I954" s="195"/>
      <c r="L954" s="194"/>
    </row>
    <row r="955" spans="3:12" ht="13.2">
      <c r="C955" s="195"/>
      <c r="E955" s="195"/>
      <c r="G955" s="195"/>
      <c r="I955" s="195"/>
      <c r="L955" s="194"/>
    </row>
    <row r="956" spans="3:12" ht="13.2">
      <c r="C956" s="195"/>
      <c r="E956" s="195"/>
      <c r="G956" s="195"/>
      <c r="I956" s="195"/>
      <c r="L956" s="194"/>
    </row>
    <row r="957" spans="3:12" ht="13.2">
      <c r="C957" s="195"/>
      <c r="E957" s="195"/>
      <c r="G957" s="195"/>
      <c r="I957" s="195"/>
      <c r="L957" s="194"/>
    </row>
    <row r="958" spans="3:12" ht="13.2">
      <c r="C958" s="195"/>
      <c r="E958" s="195"/>
      <c r="G958" s="195"/>
      <c r="I958" s="195"/>
      <c r="L958" s="194"/>
    </row>
    <row r="959" spans="3:12" ht="13.2">
      <c r="C959" s="195"/>
      <c r="E959" s="195"/>
      <c r="G959" s="195"/>
      <c r="I959" s="195"/>
      <c r="L959" s="194"/>
    </row>
    <row r="960" spans="3:12" ht="13.2">
      <c r="C960" s="195"/>
      <c r="E960" s="195"/>
      <c r="G960" s="195"/>
      <c r="I960" s="195"/>
      <c r="L960" s="194"/>
    </row>
    <row r="961" spans="3:12" ht="13.2">
      <c r="C961" s="195"/>
      <c r="E961" s="195"/>
      <c r="G961" s="195"/>
      <c r="I961" s="195"/>
      <c r="L961" s="194"/>
    </row>
    <row r="962" spans="3:12" ht="13.2">
      <c r="C962" s="195"/>
      <c r="E962" s="195"/>
      <c r="G962" s="195"/>
      <c r="I962" s="195"/>
      <c r="L962" s="194"/>
    </row>
    <row r="963" spans="3:12" ht="13.2">
      <c r="C963" s="195"/>
      <c r="E963" s="195"/>
      <c r="G963" s="195"/>
      <c r="I963" s="195"/>
      <c r="L963" s="194"/>
    </row>
    <row r="964" spans="3:12" ht="13.2">
      <c r="C964" s="195"/>
      <c r="E964" s="195"/>
      <c r="G964" s="195"/>
      <c r="I964" s="195"/>
      <c r="L964" s="194"/>
    </row>
    <row r="965" spans="3:12" ht="13.2">
      <c r="C965" s="195"/>
      <c r="E965" s="195"/>
      <c r="G965" s="195"/>
      <c r="I965" s="195"/>
      <c r="L965" s="194"/>
    </row>
    <row r="966" spans="3:12" ht="13.2">
      <c r="C966" s="195"/>
      <c r="E966" s="195"/>
      <c r="G966" s="195"/>
      <c r="I966" s="195"/>
      <c r="L966" s="194"/>
    </row>
    <row r="967" spans="3:12" ht="13.2">
      <c r="C967" s="195"/>
      <c r="E967" s="195"/>
      <c r="G967" s="195"/>
      <c r="I967" s="195"/>
      <c r="L967" s="194"/>
    </row>
    <row r="968" spans="3:12" ht="13.2">
      <c r="C968" s="195"/>
      <c r="E968" s="195"/>
      <c r="G968" s="195"/>
      <c r="I968" s="195"/>
      <c r="L968" s="194"/>
    </row>
    <row r="969" spans="3:12" ht="13.2">
      <c r="C969" s="195"/>
      <c r="E969" s="195"/>
      <c r="G969" s="195"/>
      <c r="I969" s="195"/>
      <c r="L969" s="194"/>
    </row>
    <row r="970" spans="3:12" ht="13.2">
      <c r="C970" s="195"/>
      <c r="E970" s="195"/>
      <c r="G970" s="195"/>
      <c r="I970" s="195"/>
      <c r="L970" s="194"/>
    </row>
    <row r="971" spans="3:12" ht="13.2">
      <c r="C971" s="195"/>
      <c r="E971" s="195"/>
      <c r="G971" s="195"/>
      <c r="I971" s="195"/>
      <c r="L971" s="194"/>
    </row>
    <row r="972" spans="3:12" ht="13.2">
      <c r="C972" s="195"/>
      <c r="E972" s="195"/>
      <c r="G972" s="195"/>
      <c r="I972" s="195"/>
      <c r="L972" s="194"/>
    </row>
    <row r="973" spans="3:12" ht="13.2">
      <c r="C973" s="195"/>
      <c r="E973" s="195"/>
      <c r="G973" s="195"/>
      <c r="I973" s="195"/>
      <c r="L973" s="194"/>
    </row>
    <row r="974" spans="3:12" ht="13.2">
      <c r="C974" s="195"/>
      <c r="E974" s="195"/>
      <c r="G974" s="195"/>
      <c r="I974" s="195"/>
      <c r="L974" s="194"/>
    </row>
    <row r="975" spans="3:12" ht="13.2">
      <c r="C975" s="195"/>
      <c r="E975" s="195"/>
      <c r="G975" s="195"/>
      <c r="I975" s="195"/>
      <c r="L975" s="194"/>
    </row>
    <row r="976" spans="3:12" ht="13.2">
      <c r="C976" s="195"/>
      <c r="E976" s="195"/>
      <c r="G976" s="195"/>
      <c r="I976" s="195"/>
      <c r="L976" s="194"/>
    </row>
    <row r="977" spans="3:12" ht="13.2">
      <c r="C977" s="195"/>
      <c r="E977" s="195"/>
      <c r="G977" s="195"/>
      <c r="I977" s="195"/>
      <c r="L977" s="194"/>
    </row>
    <row r="978" spans="3:12" ht="13.2">
      <c r="C978" s="195"/>
      <c r="E978" s="195"/>
      <c r="G978" s="195"/>
      <c r="I978" s="195"/>
      <c r="L978" s="194"/>
    </row>
    <row r="979" spans="3:12" ht="13.2">
      <c r="C979" s="195"/>
      <c r="E979" s="195"/>
      <c r="G979" s="195"/>
      <c r="I979" s="195"/>
      <c r="L979" s="194"/>
    </row>
    <row r="980" spans="3:12" ht="13.2">
      <c r="C980" s="195"/>
      <c r="E980" s="195"/>
      <c r="G980" s="195"/>
      <c r="I980" s="195"/>
      <c r="L980" s="194"/>
    </row>
    <row r="981" spans="3:12" ht="13.2">
      <c r="C981" s="195"/>
      <c r="E981" s="195"/>
      <c r="G981" s="195"/>
      <c r="I981" s="195"/>
      <c r="L981" s="194"/>
    </row>
    <row r="982" spans="3:12" ht="13.2">
      <c r="C982" s="195"/>
      <c r="E982" s="195"/>
      <c r="G982" s="195"/>
      <c r="I982" s="195"/>
      <c r="L982" s="194"/>
    </row>
    <row r="983" spans="3:12" ht="13.2">
      <c r="C983" s="195"/>
      <c r="E983" s="195"/>
      <c r="G983" s="195"/>
      <c r="I983" s="195"/>
      <c r="L983" s="194"/>
    </row>
    <row r="984" spans="3:12" ht="13.2">
      <c r="C984" s="195"/>
      <c r="E984" s="195"/>
      <c r="G984" s="195"/>
      <c r="I984" s="195"/>
      <c r="L984" s="194"/>
    </row>
    <row r="985" spans="3:12" ht="13.2">
      <c r="C985" s="195"/>
      <c r="E985" s="195"/>
      <c r="G985" s="195"/>
      <c r="I985" s="195"/>
      <c r="L985" s="194"/>
    </row>
    <row r="986" spans="3:12" ht="13.2">
      <c r="C986" s="195"/>
      <c r="E986" s="195"/>
      <c r="G986" s="195"/>
      <c r="I986" s="195"/>
      <c r="L986" s="194"/>
    </row>
    <row r="987" spans="3:12" ht="13.2">
      <c r="C987" s="195"/>
      <c r="E987" s="195"/>
      <c r="G987" s="195"/>
      <c r="I987" s="195"/>
      <c r="L987" s="194"/>
    </row>
    <row r="988" spans="3:12" ht="13.2">
      <c r="C988" s="195"/>
      <c r="E988" s="195"/>
      <c r="G988" s="195"/>
      <c r="I988" s="195"/>
      <c r="L988" s="194"/>
    </row>
    <row r="989" spans="3:12" ht="13.2">
      <c r="C989" s="195"/>
      <c r="E989" s="195"/>
      <c r="G989" s="195"/>
      <c r="I989" s="195"/>
      <c r="L989" s="194"/>
    </row>
    <row r="990" spans="3:12" ht="13.2">
      <c r="C990" s="195"/>
      <c r="E990" s="195"/>
      <c r="G990" s="195"/>
      <c r="I990" s="195"/>
      <c r="L990" s="194"/>
    </row>
    <row r="991" spans="3:12" ht="13.2">
      <c r="C991" s="195"/>
      <c r="E991" s="195"/>
      <c r="G991" s="195"/>
      <c r="I991" s="195"/>
      <c r="L991" s="194"/>
    </row>
    <row r="992" spans="3:12" ht="13.2">
      <c r="C992" s="195"/>
      <c r="E992" s="195"/>
      <c r="G992" s="195"/>
      <c r="I992" s="195"/>
      <c r="L992" s="194"/>
    </row>
    <row r="993" spans="3:12" ht="13.2">
      <c r="C993" s="195"/>
      <c r="E993" s="195"/>
      <c r="G993" s="195"/>
      <c r="I993" s="195"/>
      <c r="L993" s="194"/>
    </row>
    <row r="994" spans="3:12" ht="13.2">
      <c r="C994" s="195"/>
      <c r="E994" s="195"/>
      <c r="G994" s="195"/>
      <c r="I994" s="195"/>
      <c r="L994" s="194"/>
    </row>
    <row r="995" spans="3:12" ht="13.2">
      <c r="C995" s="195"/>
      <c r="E995" s="195"/>
      <c r="G995" s="195"/>
      <c r="I995" s="195"/>
      <c r="L995" s="194"/>
    </row>
    <row r="996" spans="3:12" ht="13.2">
      <c r="C996" s="195"/>
      <c r="E996" s="195"/>
      <c r="G996" s="195"/>
      <c r="I996" s="195"/>
      <c r="L996" s="194"/>
    </row>
    <row r="997" spans="3:12" ht="13.2">
      <c r="C997" s="195"/>
      <c r="E997" s="195"/>
      <c r="G997" s="195"/>
      <c r="I997" s="195"/>
      <c r="L997" s="194"/>
    </row>
    <row r="998" spans="3:12" ht="13.2">
      <c r="C998" s="195"/>
      <c r="E998" s="195"/>
      <c r="G998" s="195"/>
      <c r="I998" s="195"/>
      <c r="L998" s="194"/>
    </row>
    <row r="999" spans="3:12" ht="13.2">
      <c r="C999" s="195"/>
      <c r="E999" s="195"/>
      <c r="G999" s="195"/>
      <c r="I999" s="195"/>
      <c r="L999" s="194"/>
    </row>
    <row r="1000" spans="3:12" ht="13.2">
      <c r="C1000" s="195"/>
      <c r="E1000" s="195"/>
      <c r="G1000" s="195"/>
      <c r="I1000" s="195"/>
      <c r="L1000" s="19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defaultColWidth="12.6640625" defaultRowHeight="15.75" customHeight="1"/>
  <sheetData>
    <row r="1" spans="1:2">
      <c r="A1" s="200" t="s">
        <v>2442</v>
      </c>
      <c r="B1" s="17" t="s">
        <v>2443</v>
      </c>
    </row>
    <row r="2" spans="1:2">
      <c r="A2" s="200">
        <v>46285</v>
      </c>
      <c r="B2" s="17" t="s">
        <v>376</v>
      </c>
    </row>
    <row r="3" spans="1:2">
      <c r="A3" s="200">
        <v>46285</v>
      </c>
      <c r="B3" s="17" t="s">
        <v>86</v>
      </c>
    </row>
    <row r="4" spans="1:2">
      <c r="A4" s="200">
        <v>46285</v>
      </c>
      <c r="B4" s="17" t="s">
        <v>873</v>
      </c>
    </row>
    <row r="5" spans="1:2">
      <c r="A5" s="200">
        <v>46285</v>
      </c>
      <c r="B5" s="17" t="s">
        <v>1190</v>
      </c>
    </row>
    <row r="6" spans="1:2">
      <c r="A6" s="200">
        <v>46285</v>
      </c>
      <c r="B6" s="17" t="s">
        <v>1182</v>
      </c>
    </row>
    <row r="7" spans="1:2">
      <c r="A7" s="200">
        <v>46285</v>
      </c>
      <c r="B7" s="17" t="s">
        <v>1209</v>
      </c>
    </row>
    <row r="8" spans="1:2">
      <c r="A8" s="200">
        <v>46285</v>
      </c>
      <c r="B8" s="17" t="s">
        <v>1222</v>
      </c>
    </row>
    <row r="9" spans="1:2">
      <c r="A9" s="200">
        <v>46285</v>
      </c>
      <c r="B9" s="17" t="s">
        <v>1234</v>
      </c>
    </row>
    <row r="10" spans="1:2">
      <c r="A10" s="200">
        <v>46285</v>
      </c>
      <c r="B10" s="17" t="s">
        <v>1247</v>
      </c>
    </row>
    <row r="11" spans="1:2">
      <c r="A11" s="200">
        <v>46285</v>
      </c>
      <c r="B11" s="17" t="s">
        <v>1260</v>
      </c>
    </row>
    <row r="12" spans="1:2">
      <c r="A12" s="200">
        <v>46285</v>
      </c>
      <c r="B12" s="17" t="s">
        <v>2444</v>
      </c>
    </row>
    <row r="13" spans="1:2">
      <c r="A13" s="200">
        <v>46285</v>
      </c>
      <c r="B13" s="17" t="s">
        <v>1275</v>
      </c>
    </row>
    <row r="14" spans="1:2">
      <c r="A14" s="200">
        <v>46285</v>
      </c>
      <c r="B14" s="17" t="s">
        <v>2070</v>
      </c>
    </row>
    <row r="15" spans="1:2">
      <c r="A15" s="200">
        <v>46285</v>
      </c>
      <c r="B15" s="17" t="s">
        <v>1848</v>
      </c>
    </row>
    <row r="16" spans="1:2">
      <c r="A16" s="200">
        <v>46287</v>
      </c>
      <c r="B16" s="17" t="s">
        <v>376</v>
      </c>
    </row>
    <row r="17" spans="1:2">
      <c r="A17" s="200">
        <v>46287</v>
      </c>
      <c r="B17" s="17" t="s">
        <v>86</v>
      </c>
    </row>
    <row r="18" spans="1:2">
      <c r="A18" s="200">
        <v>46287</v>
      </c>
      <c r="B18" s="17" t="s">
        <v>873</v>
      </c>
    </row>
    <row r="19" spans="1:2">
      <c r="A19" s="200">
        <v>46287</v>
      </c>
      <c r="B19" s="17" t="s">
        <v>1190</v>
      </c>
    </row>
    <row r="20" spans="1:2">
      <c r="A20" s="200">
        <v>46287</v>
      </c>
      <c r="B20" s="17" t="s">
        <v>1182</v>
      </c>
    </row>
    <row r="21" spans="1:2">
      <c r="A21" s="200">
        <v>46287</v>
      </c>
      <c r="B21" s="17" t="s">
        <v>1209</v>
      </c>
    </row>
    <row r="22" spans="1:2">
      <c r="A22" s="200">
        <v>46287</v>
      </c>
      <c r="B22" s="17" t="s">
        <v>1222</v>
      </c>
    </row>
    <row r="23" spans="1:2">
      <c r="A23" s="200">
        <v>46287</v>
      </c>
      <c r="B23" s="17" t="s">
        <v>1234</v>
      </c>
    </row>
    <row r="24" spans="1:2">
      <c r="A24" s="200">
        <v>46287</v>
      </c>
      <c r="B24" s="17" t="s">
        <v>1247</v>
      </c>
    </row>
    <row r="25" spans="1:2">
      <c r="A25" s="200">
        <v>46287</v>
      </c>
      <c r="B25" s="17" t="s">
        <v>1260</v>
      </c>
    </row>
    <row r="26" spans="1:2">
      <c r="A26" s="200">
        <v>46287</v>
      </c>
      <c r="B26" s="17" t="s">
        <v>2444</v>
      </c>
    </row>
    <row r="27" spans="1:2">
      <c r="A27" s="200">
        <v>46287</v>
      </c>
      <c r="B27" s="17" t="s">
        <v>1275</v>
      </c>
    </row>
    <row r="28" spans="1:2">
      <c r="A28" s="200">
        <v>46287</v>
      </c>
      <c r="B28" s="17" t="s">
        <v>2070</v>
      </c>
    </row>
    <row r="29" spans="1:2">
      <c r="A29" s="200">
        <v>46287</v>
      </c>
      <c r="B29" s="17" t="s">
        <v>1848</v>
      </c>
    </row>
    <row r="30" spans="1:2">
      <c r="A30" s="200"/>
    </row>
    <row r="31" spans="1:2">
      <c r="A31" s="200"/>
    </row>
    <row r="32" spans="1:2">
      <c r="A32" s="200"/>
    </row>
    <row r="33" spans="1:1">
      <c r="A33" s="200"/>
    </row>
    <row r="34" spans="1:1">
      <c r="A34" s="200"/>
    </row>
    <row r="35" spans="1:1">
      <c r="A35" s="200"/>
    </row>
    <row r="36" spans="1:1">
      <c r="A36" s="200"/>
    </row>
    <row r="37" spans="1:1">
      <c r="A37" s="200"/>
    </row>
    <row r="38" spans="1:1">
      <c r="A38" s="200"/>
    </row>
    <row r="39" spans="1:1">
      <c r="A39" s="200"/>
    </row>
    <row r="40" spans="1:1">
      <c r="A40" s="200"/>
    </row>
    <row r="41" spans="1:1">
      <c r="A41" s="200"/>
    </row>
    <row r="42" spans="1:1">
      <c r="A42" s="200"/>
    </row>
    <row r="43" spans="1:1">
      <c r="A43" s="200"/>
    </row>
    <row r="44" spans="1:1">
      <c r="A44" s="200"/>
    </row>
    <row r="45" spans="1:1">
      <c r="A45" s="200"/>
    </row>
    <row r="46" spans="1:1">
      <c r="A46" s="200"/>
    </row>
    <row r="47" spans="1:1">
      <c r="A47" s="200"/>
    </row>
    <row r="48" spans="1:1">
      <c r="A48" s="200"/>
    </row>
    <row r="49" spans="1:1">
      <c r="A49" s="200"/>
    </row>
    <row r="50" spans="1:1">
      <c r="A50" s="200"/>
    </row>
    <row r="51" spans="1:1">
      <c r="A51" s="200"/>
    </row>
    <row r="52" spans="1:1">
      <c r="A52" s="200"/>
    </row>
    <row r="53" spans="1:1">
      <c r="A53" s="200"/>
    </row>
    <row r="54" spans="1:1">
      <c r="A54" s="200"/>
    </row>
    <row r="55" spans="1:1">
      <c r="A55" s="200"/>
    </row>
    <row r="56" spans="1:1">
      <c r="A56" s="200"/>
    </row>
    <row r="57" spans="1:1">
      <c r="A57" s="200"/>
    </row>
    <row r="58" spans="1:1">
      <c r="A58" s="200"/>
    </row>
    <row r="59" spans="1:1">
      <c r="A59" s="200"/>
    </row>
    <row r="60" spans="1:1">
      <c r="A60" s="200"/>
    </row>
    <row r="61" spans="1:1">
      <c r="A61" s="200"/>
    </row>
    <row r="62" spans="1:1">
      <c r="A62" s="200"/>
    </row>
    <row r="63" spans="1:1">
      <c r="A63" s="200"/>
    </row>
    <row r="64" spans="1:1">
      <c r="A64" s="200"/>
    </row>
    <row r="65" spans="1:1">
      <c r="A65" s="200"/>
    </row>
    <row r="66" spans="1:1">
      <c r="A66" s="200"/>
    </row>
    <row r="67" spans="1:1">
      <c r="A67" s="200"/>
    </row>
    <row r="68" spans="1:1">
      <c r="A68" s="200"/>
    </row>
    <row r="69" spans="1:1">
      <c r="A69" s="200"/>
    </row>
    <row r="70" spans="1:1">
      <c r="A70" s="200"/>
    </row>
    <row r="71" spans="1:1">
      <c r="A71" s="200"/>
    </row>
    <row r="72" spans="1:1">
      <c r="A72" s="200"/>
    </row>
    <row r="73" spans="1:1">
      <c r="A73" s="200"/>
    </row>
    <row r="74" spans="1:1">
      <c r="A74" s="200"/>
    </row>
    <row r="75" spans="1:1">
      <c r="A75" s="200"/>
    </row>
    <row r="76" spans="1:1">
      <c r="A76" s="200"/>
    </row>
    <row r="77" spans="1:1">
      <c r="A77" s="200"/>
    </row>
    <row r="78" spans="1:1">
      <c r="A78" s="200"/>
    </row>
    <row r="79" spans="1:1">
      <c r="A79" s="200"/>
    </row>
    <row r="80" spans="1:1">
      <c r="A80" s="200"/>
    </row>
    <row r="81" spans="1:1">
      <c r="A81" s="200"/>
    </row>
    <row r="82" spans="1:1">
      <c r="A82" s="200"/>
    </row>
    <row r="83" spans="1:1">
      <c r="A83" s="200"/>
    </row>
    <row r="84" spans="1:1">
      <c r="A84" s="200"/>
    </row>
    <row r="85" spans="1:1">
      <c r="A85" s="200"/>
    </row>
    <row r="86" spans="1:1">
      <c r="A86" s="200"/>
    </row>
    <row r="87" spans="1:1">
      <c r="A87" s="200"/>
    </row>
    <row r="88" spans="1:1">
      <c r="A88" s="200"/>
    </row>
    <row r="89" spans="1:1">
      <c r="A89" s="200"/>
    </row>
    <row r="90" spans="1:1">
      <c r="A90" s="200"/>
    </row>
    <row r="91" spans="1:1">
      <c r="A91" s="200"/>
    </row>
    <row r="92" spans="1:1">
      <c r="A92" s="200"/>
    </row>
    <row r="93" spans="1:1">
      <c r="A93" s="200"/>
    </row>
    <row r="94" spans="1:1">
      <c r="A94" s="200"/>
    </row>
    <row r="95" spans="1:1">
      <c r="A95" s="200"/>
    </row>
    <row r="96" spans="1:1">
      <c r="A96" s="200"/>
    </row>
    <row r="97" spans="1:1">
      <c r="A97" s="200"/>
    </row>
    <row r="98" spans="1:1">
      <c r="A98" s="200"/>
    </row>
    <row r="99" spans="1:1">
      <c r="A99" s="200"/>
    </row>
    <row r="100" spans="1:1">
      <c r="A100" s="200"/>
    </row>
    <row r="101" spans="1:1">
      <c r="A101" s="200"/>
    </row>
    <row r="102" spans="1:1">
      <c r="A102" s="200"/>
    </row>
    <row r="103" spans="1:1">
      <c r="A103" s="200"/>
    </row>
    <row r="104" spans="1:1">
      <c r="A104" s="200"/>
    </row>
    <row r="105" spans="1:1">
      <c r="A105" s="200"/>
    </row>
    <row r="106" spans="1:1">
      <c r="A106" s="200"/>
    </row>
    <row r="107" spans="1:1">
      <c r="A107" s="200"/>
    </row>
    <row r="108" spans="1:1">
      <c r="A108" s="200"/>
    </row>
    <row r="109" spans="1:1">
      <c r="A109" s="200"/>
    </row>
    <row r="110" spans="1:1">
      <c r="A110" s="200"/>
    </row>
    <row r="111" spans="1:1">
      <c r="A111" s="200"/>
    </row>
    <row r="112" spans="1:1">
      <c r="A112" s="200"/>
    </row>
    <row r="113" spans="1:1">
      <c r="A113" s="200"/>
    </row>
    <row r="114" spans="1:1">
      <c r="A114" s="200"/>
    </row>
    <row r="115" spans="1:1">
      <c r="A115" s="200"/>
    </row>
    <row r="116" spans="1:1">
      <c r="A116" s="200"/>
    </row>
    <row r="117" spans="1:1">
      <c r="A117" s="200"/>
    </row>
    <row r="118" spans="1:1">
      <c r="A118" s="200"/>
    </row>
    <row r="119" spans="1:1">
      <c r="A119" s="200"/>
    </row>
    <row r="120" spans="1:1">
      <c r="A120" s="200"/>
    </row>
    <row r="121" spans="1:1">
      <c r="A121" s="200"/>
    </row>
    <row r="122" spans="1:1">
      <c r="A122" s="200"/>
    </row>
    <row r="123" spans="1:1">
      <c r="A123" s="200"/>
    </row>
    <row r="124" spans="1:1">
      <c r="A124" s="200"/>
    </row>
    <row r="125" spans="1:1">
      <c r="A125" s="200"/>
    </row>
    <row r="126" spans="1:1">
      <c r="A126" s="200"/>
    </row>
    <row r="127" spans="1:1">
      <c r="A127" s="200"/>
    </row>
    <row r="128" spans="1:1">
      <c r="A128" s="200"/>
    </row>
    <row r="129" spans="1:1">
      <c r="A129" s="200"/>
    </row>
    <row r="130" spans="1:1">
      <c r="A130" s="200"/>
    </row>
    <row r="131" spans="1:1">
      <c r="A131" s="200"/>
    </row>
    <row r="132" spans="1:1">
      <c r="A132" s="200"/>
    </row>
    <row r="133" spans="1:1">
      <c r="A133" s="200"/>
    </row>
    <row r="134" spans="1:1">
      <c r="A134" s="200"/>
    </row>
    <row r="135" spans="1:1">
      <c r="A135" s="200"/>
    </row>
    <row r="136" spans="1:1">
      <c r="A136" s="200"/>
    </row>
    <row r="137" spans="1:1">
      <c r="A137" s="200"/>
    </row>
    <row r="138" spans="1:1">
      <c r="A138" s="200"/>
    </row>
    <row r="139" spans="1:1">
      <c r="A139" s="200"/>
    </row>
    <row r="140" spans="1:1">
      <c r="A140" s="200"/>
    </row>
    <row r="141" spans="1:1">
      <c r="A141" s="200"/>
    </row>
    <row r="142" spans="1:1">
      <c r="A142" s="200"/>
    </row>
    <row r="143" spans="1:1">
      <c r="A143" s="200"/>
    </row>
    <row r="144" spans="1:1">
      <c r="A144" s="200"/>
    </row>
    <row r="145" spans="1:1">
      <c r="A145" s="200"/>
    </row>
    <row r="146" spans="1:1">
      <c r="A146" s="200"/>
    </row>
    <row r="147" spans="1:1">
      <c r="A147" s="200"/>
    </row>
    <row r="148" spans="1:1">
      <c r="A148" s="200"/>
    </row>
    <row r="149" spans="1:1">
      <c r="A149" s="200"/>
    </row>
    <row r="150" spans="1:1">
      <c r="A150" s="200"/>
    </row>
    <row r="151" spans="1:1">
      <c r="A151" s="200"/>
    </row>
    <row r="152" spans="1:1">
      <c r="A152" s="200"/>
    </row>
    <row r="153" spans="1:1">
      <c r="A153" s="200"/>
    </row>
    <row r="154" spans="1:1">
      <c r="A154" s="200"/>
    </row>
    <row r="155" spans="1:1">
      <c r="A155" s="200"/>
    </row>
    <row r="156" spans="1:1">
      <c r="A156" s="200"/>
    </row>
    <row r="157" spans="1:1">
      <c r="A157" s="200"/>
    </row>
    <row r="158" spans="1:1">
      <c r="A158" s="200"/>
    </row>
    <row r="159" spans="1:1">
      <c r="A159" s="200"/>
    </row>
    <row r="160" spans="1:1">
      <c r="A160" s="200"/>
    </row>
    <row r="161" spans="1:1">
      <c r="A161" s="200"/>
    </row>
    <row r="162" spans="1:1">
      <c r="A162" s="200"/>
    </row>
    <row r="163" spans="1:1">
      <c r="A163" s="200"/>
    </row>
    <row r="164" spans="1:1">
      <c r="A164" s="200"/>
    </row>
    <row r="165" spans="1:1">
      <c r="A165" s="200"/>
    </row>
    <row r="166" spans="1:1">
      <c r="A166" s="200"/>
    </row>
    <row r="167" spans="1:1">
      <c r="A167" s="200"/>
    </row>
    <row r="168" spans="1:1">
      <c r="A168" s="200"/>
    </row>
    <row r="169" spans="1:1">
      <c r="A169" s="200"/>
    </row>
    <row r="170" spans="1:1">
      <c r="A170" s="200"/>
    </row>
    <row r="171" spans="1:1">
      <c r="A171" s="200"/>
    </row>
    <row r="172" spans="1:1">
      <c r="A172" s="200"/>
    </row>
    <row r="173" spans="1:1">
      <c r="A173" s="200"/>
    </row>
    <row r="174" spans="1:1">
      <c r="A174" s="200"/>
    </row>
    <row r="175" spans="1:1">
      <c r="A175" s="200"/>
    </row>
    <row r="176" spans="1:1">
      <c r="A176" s="200"/>
    </row>
    <row r="177" spans="1:1">
      <c r="A177" s="200"/>
    </row>
    <row r="178" spans="1:1">
      <c r="A178" s="200"/>
    </row>
    <row r="179" spans="1:1">
      <c r="A179" s="200"/>
    </row>
    <row r="180" spans="1:1">
      <c r="A180" s="200"/>
    </row>
    <row r="181" spans="1:1">
      <c r="A181" s="200"/>
    </row>
    <row r="182" spans="1:1">
      <c r="A182" s="200"/>
    </row>
    <row r="183" spans="1:1">
      <c r="A183" s="200"/>
    </row>
    <row r="184" spans="1:1">
      <c r="A184" s="200"/>
    </row>
    <row r="185" spans="1:1">
      <c r="A185" s="200"/>
    </row>
    <row r="186" spans="1:1">
      <c r="A186" s="200"/>
    </row>
    <row r="187" spans="1:1">
      <c r="A187" s="200"/>
    </row>
    <row r="188" spans="1:1">
      <c r="A188" s="200"/>
    </row>
    <row r="189" spans="1:1">
      <c r="A189" s="200"/>
    </row>
    <row r="190" spans="1:1">
      <c r="A190" s="200"/>
    </row>
    <row r="191" spans="1:1">
      <c r="A191" s="200"/>
    </row>
    <row r="192" spans="1:1">
      <c r="A192" s="200"/>
    </row>
    <row r="193" spans="1:1">
      <c r="A193" s="200"/>
    </row>
    <row r="194" spans="1:1">
      <c r="A194" s="200"/>
    </row>
    <row r="195" spans="1:1">
      <c r="A195" s="200"/>
    </row>
    <row r="196" spans="1:1">
      <c r="A196" s="200"/>
    </row>
    <row r="197" spans="1:1">
      <c r="A197" s="200"/>
    </row>
    <row r="198" spans="1:1">
      <c r="A198" s="200"/>
    </row>
    <row r="199" spans="1:1">
      <c r="A199" s="200"/>
    </row>
    <row r="200" spans="1:1">
      <c r="A200" s="200"/>
    </row>
    <row r="201" spans="1:1">
      <c r="A201" s="200"/>
    </row>
    <row r="202" spans="1:1">
      <c r="A202" s="200"/>
    </row>
    <row r="203" spans="1:1">
      <c r="A203" s="200"/>
    </row>
    <row r="204" spans="1:1">
      <c r="A204" s="200"/>
    </row>
    <row r="205" spans="1:1">
      <c r="A205" s="200"/>
    </row>
    <row r="206" spans="1:1">
      <c r="A206" s="200"/>
    </row>
    <row r="207" spans="1:1">
      <c r="A207" s="200"/>
    </row>
    <row r="208" spans="1:1">
      <c r="A208" s="200"/>
    </row>
    <row r="209" spans="1:1">
      <c r="A209" s="200"/>
    </row>
    <row r="210" spans="1:1">
      <c r="A210" s="200"/>
    </row>
    <row r="211" spans="1:1">
      <c r="A211" s="200"/>
    </row>
    <row r="212" spans="1:1">
      <c r="A212" s="200"/>
    </row>
    <row r="213" spans="1:1">
      <c r="A213" s="200"/>
    </row>
    <row r="214" spans="1:1">
      <c r="A214" s="200"/>
    </row>
    <row r="215" spans="1:1">
      <c r="A215" s="200"/>
    </row>
    <row r="216" spans="1:1">
      <c r="A216" s="200"/>
    </row>
    <row r="217" spans="1:1">
      <c r="A217" s="200"/>
    </row>
    <row r="218" spans="1:1">
      <c r="A218" s="200"/>
    </row>
    <row r="219" spans="1:1">
      <c r="A219" s="200"/>
    </row>
    <row r="220" spans="1:1">
      <c r="A220" s="200"/>
    </row>
    <row r="221" spans="1:1">
      <c r="A221" s="200"/>
    </row>
    <row r="222" spans="1:1">
      <c r="A222" s="200"/>
    </row>
    <row r="223" spans="1:1">
      <c r="A223" s="200"/>
    </row>
    <row r="224" spans="1:1">
      <c r="A224" s="200"/>
    </row>
    <row r="225" spans="1:1">
      <c r="A225" s="200"/>
    </row>
    <row r="226" spans="1:1">
      <c r="A226" s="200"/>
    </row>
    <row r="227" spans="1:1">
      <c r="A227" s="200"/>
    </row>
    <row r="228" spans="1:1">
      <c r="A228" s="200"/>
    </row>
    <row r="229" spans="1:1">
      <c r="A229" s="200"/>
    </row>
    <row r="230" spans="1:1">
      <c r="A230" s="200"/>
    </row>
    <row r="231" spans="1:1">
      <c r="A231" s="200"/>
    </row>
    <row r="232" spans="1:1">
      <c r="A232" s="200"/>
    </row>
    <row r="233" spans="1:1">
      <c r="A233" s="200"/>
    </row>
    <row r="234" spans="1:1">
      <c r="A234" s="200"/>
    </row>
    <row r="235" spans="1:1">
      <c r="A235" s="200"/>
    </row>
    <row r="236" spans="1:1">
      <c r="A236" s="200"/>
    </row>
    <row r="237" spans="1:1">
      <c r="A237" s="200"/>
    </row>
    <row r="238" spans="1:1">
      <c r="A238" s="200"/>
    </row>
    <row r="239" spans="1:1">
      <c r="A239" s="200"/>
    </row>
    <row r="240" spans="1:1">
      <c r="A240" s="200"/>
    </row>
    <row r="241" spans="1:1">
      <c r="A241" s="200"/>
    </row>
    <row r="242" spans="1:1">
      <c r="A242" s="200"/>
    </row>
    <row r="243" spans="1:1">
      <c r="A243" s="200"/>
    </row>
    <row r="244" spans="1:1">
      <c r="A244" s="200"/>
    </row>
    <row r="245" spans="1:1">
      <c r="A245" s="200"/>
    </row>
    <row r="246" spans="1:1">
      <c r="A246" s="200"/>
    </row>
    <row r="247" spans="1:1">
      <c r="A247" s="200"/>
    </row>
    <row r="248" spans="1:1">
      <c r="A248" s="200"/>
    </row>
    <row r="249" spans="1:1">
      <c r="A249" s="200"/>
    </row>
    <row r="250" spans="1:1">
      <c r="A250" s="200"/>
    </row>
    <row r="251" spans="1:1">
      <c r="A251" s="200"/>
    </row>
    <row r="252" spans="1:1">
      <c r="A252" s="200"/>
    </row>
    <row r="253" spans="1:1">
      <c r="A253" s="200"/>
    </row>
    <row r="254" spans="1:1">
      <c r="A254" s="200"/>
    </row>
    <row r="255" spans="1:1">
      <c r="A255" s="200"/>
    </row>
    <row r="256" spans="1:1">
      <c r="A256" s="200"/>
    </row>
    <row r="257" spans="1:1">
      <c r="A257" s="200"/>
    </row>
    <row r="258" spans="1:1">
      <c r="A258" s="200"/>
    </row>
    <row r="259" spans="1:1">
      <c r="A259" s="200"/>
    </row>
    <row r="260" spans="1:1">
      <c r="A260" s="200"/>
    </row>
    <row r="261" spans="1:1">
      <c r="A261" s="200"/>
    </row>
    <row r="262" spans="1:1">
      <c r="A262" s="200"/>
    </row>
    <row r="263" spans="1:1">
      <c r="A263" s="200"/>
    </row>
    <row r="264" spans="1:1">
      <c r="A264" s="200"/>
    </row>
    <row r="265" spans="1:1">
      <c r="A265" s="200"/>
    </row>
    <row r="266" spans="1:1">
      <c r="A266" s="200"/>
    </row>
    <row r="267" spans="1:1">
      <c r="A267" s="200"/>
    </row>
    <row r="268" spans="1:1">
      <c r="A268" s="200"/>
    </row>
    <row r="269" spans="1:1">
      <c r="A269" s="200"/>
    </row>
    <row r="270" spans="1:1">
      <c r="A270" s="200"/>
    </row>
    <row r="271" spans="1:1">
      <c r="A271" s="200"/>
    </row>
    <row r="272" spans="1:1">
      <c r="A272" s="200"/>
    </row>
    <row r="273" spans="1:1">
      <c r="A273" s="200"/>
    </row>
    <row r="274" spans="1:1">
      <c r="A274" s="200"/>
    </row>
    <row r="275" spans="1:1">
      <c r="A275" s="200"/>
    </row>
    <row r="276" spans="1:1">
      <c r="A276" s="200"/>
    </row>
    <row r="277" spans="1:1">
      <c r="A277" s="200"/>
    </row>
    <row r="278" spans="1:1">
      <c r="A278" s="200"/>
    </row>
    <row r="279" spans="1:1">
      <c r="A279" s="200"/>
    </row>
    <row r="280" spans="1:1">
      <c r="A280" s="200"/>
    </row>
    <row r="281" spans="1:1">
      <c r="A281" s="200"/>
    </row>
    <row r="282" spans="1:1">
      <c r="A282" s="200"/>
    </row>
    <row r="283" spans="1:1">
      <c r="A283" s="200"/>
    </row>
    <row r="284" spans="1:1">
      <c r="A284" s="200"/>
    </row>
    <row r="285" spans="1:1">
      <c r="A285" s="200"/>
    </row>
    <row r="286" spans="1:1">
      <c r="A286" s="200"/>
    </row>
    <row r="287" spans="1:1">
      <c r="A287" s="200"/>
    </row>
    <row r="288" spans="1:1">
      <c r="A288" s="200"/>
    </row>
    <row r="289" spans="1:1">
      <c r="A289" s="200"/>
    </row>
    <row r="290" spans="1:1">
      <c r="A290" s="200"/>
    </row>
    <row r="291" spans="1:1">
      <c r="A291" s="200"/>
    </row>
    <row r="292" spans="1:1">
      <c r="A292" s="200"/>
    </row>
    <row r="293" spans="1:1">
      <c r="A293" s="200"/>
    </row>
    <row r="294" spans="1:1">
      <c r="A294" s="200"/>
    </row>
    <row r="295" spans="1:1">
      <c r="A295" s="200"/>
    </row>
    <row r="296" spans="1:1">
      <c r="A296" s="200"/>
    </row>
    <row r="297" spans="1:1">
      <c r="A297" s="200"/>
    </row>
    <row r="298" spans="1:1">
      <c r="A298" s="200"/>
    </row>
    <row r="299" spans="1:1">
      <c r="A299" s="200"/>
    </row>
    <row r="300" spans="1:1">
      <c r="A300" s="200"/>
    </row>
    <row r="301" spans="1:1">
      <c r="A301" s="200"/>
    </row>
    <row r="302" spans="1:1">
      <c r="A302" s="200"/>
    </row>
    <row r="303" spans="1:1">
      <c r="A303" s="200"/>
    </row>
    <row r="304" spans="1:1">
      <c r="A304" s="200"/>
    </row>
    <row r="305" spans="1:1">
      <c r="A305" s="200"/>
    </row>
    <row r="306" spans="1:1">
      <c r="A306" s="200"/>
    </row>
    <row r="307" spans="1:1">
      <c r="A307" s="200"/>
    </row>
    <row r="308" spans="1:1">
      <c r="A308" s="200"/>
    </row>
    <row r="309" spans="1:1">
      <c r="A309" s="200"/>
    </row>
    <row r="310" spans="1:1">
      <c r="A310" s="200"/>
    </row>
    <row r="311" spans="1:1">
      <c r="A311" s="200"/>
    </row>
    <row r="312" spans="1:1">
      <c r="A312" s="200"/>
    </row>
    <row r="313" spans="1:1">
      <c r="A313" s="200"/>
    </row>
    <row r="314" spans="1:1">
      <c r="A314" s="200"/>
    </row>
    <row r="315" spans="1:1">
      <c r="A315" s="200"/>
    </row>
    <row r="316" spans="1:1">
      <c r="A316" s="200"/>
    </row>
    <row r="317" spans="1:1">
      <c r="A317" s="200"/>
    </row>
    <row r="318" spans="1:1">
      <c r="A318" s="200"/>
    </row>
    <row r="319" spans="1:1">
      <c r="A319" s="200"/>
    </row>
    <row r="320" spans="1:1">
      <c r="A320" s="200"/>
    </row>
    <row r="321" spans="1:1">
      <c r="A321" s="200"/>
    </row>
    <row r="322" spans="1:1">
      <c r="A322" s="200"/>
    </row>
    <row r="323" spans="1:1">
      <c r="A323" s="200"/>
    </row>
    <row r="324" spans="1:1">
      <c r="A324" s="200"/>
    </row>
    <row r="325" spans="1:1">
      <c r="A325" s="200"/>
    </row>
    <row r="326" spans="1:1">
      <c r="A326" s="200"/>
    </row>
    <row r="327" spans="1:1">
      <c r="A327" s="200"/>
    </row>
    <row r="328" spans="1:1">
      <c r="A328" s="200"/>
    </row>
    <row r="329" spans="1:1">
      <c r="A329" s="200"/>
    </row>
    <row r="330" spans="1:1">
      <c r="A330" s="200"/>
    </row>
    <row r="331" spans="1:1">
      <c r="A331" s="200"/>
    </row>
    <row r="332" spans="1:1">
      <c r="A332" s="200"/>
    </row>
    <row r="333" spans="1:1">
      <c r="A333" s="200"/>
    </row>
    <row r="334" spans="1:1">
      <c r="A334" s="200"/>
    </row>
    <row r="335" spans="1:1">
      <c r="A335" s="200"/>
    </row>
    <row r="336" spans="1:1">
      <c r="A336" s="200"/>
    </row>
    <row r="337" spans="1:1">
      <c r="A337" s="200"/>
    </row>
    <row r="338" spans="1:1">
      <c r="A338" s="200"/>
    </row>
    <row r="339" spans="1:1">
      <c r="A339" s="200"/>
    </row>
    <row r="340" spans="1:1">
      <c r="A340" s="200"/>
    </row>
    <row r="341" spans="1:1">
      <c r="A341" s="200"/>
    </row>
    <row r="342" spans="1:1">
      <c r="A342" s="200"/>
    </row>
    <row r="343" spans="1:1">
      <c r="A343" s="200"/>
    </row>
    <row r="344" spans="1:1">
      <c r="A344" s="200"/>
    </row>
    <row r="345" spans="1:1">
      <c r="A345" s="200"/>
    </row>
    <row r="346" spans="1:1">
      <c r="A346" s="200"/>
    </row>
    <row r="347" spans="1:1">
      <c r="A347" s="200"/>
    </row>
    <row r="348" spans="1:1">
      <c r="A348" s="200"/>
    </row>
    <row r="349" spans="1:1">
      <c r="A349" s="200"/>
    </row>
    <row r="350" spans="1:1">
      <c r="A350" s="200"/>
    </row>
    <row r="351" spans="1:1">
      <c r="A351" s="200"/>
    </row>
    <row r="352" spans="1:1">
      <c r="A352" s="200"/>
    </row>
    <row r="353" spans="1:1">
      <c r="A353" s="200"/>
    </row>
    <row r="354" spans="1:1">
      <c r="A354" s="200"/>
    </row>
    <row r="355" spans="1:1">
      <c r="A355" s="200"/>
    </row>
    <row r="356" spans="1:1">
      <c r="A356" s="200"/>
    </row>
    <row r="357" spans="1:1">
      <c r="A357" s="200"/>
    </row>
    <row r="358" spans="1:1">
      <c r="A358" s="200"/>
    </row>
    <row r="359" spans="1:1">
      <c r="A359" s="200"/>
    </row>
    <row r="360" spans="1:1">
      <c r="A360" s="200"/>
    </row>
    <row r="361" spans="1:1">
      <c r="A361" s="200"/>
    </row>
    <row r="362" spans="1:1">
      <c r="A362" s="200"/>
    </row>
    <row r="363" spans="1:1">
      <c r="A363" s="200"/>
    </row>
    <row r="364" spans="1:1">
      <c r="A364" s="200"/>
    </row>
    <row r="365" spans="1:1">
      <c r="A365" s="200"/>
    </row>
    <row r="366" spans="1:1">
      <c r="A366" s="200"/>
    </row>
    <row r="367" spans="1:1">
      <c r="A367" s="200"/>
    </row>
    <row r="368" spans="1:1">
      <c r="A368" s="200"/>
    </row>
    <row r="369" spans="1:1">
      <c r="A369" s="200"/>
    </row>
    <row r="370" spans="1:1">
      <c r="A370" s="200"/>
    </row>
    <row r="371" spans="1:1">
      <c r="A371" s="200"/>
    </row>
    <row r="372" spans="1:1">
      <c r="A372" s="200"/>
    </row>
    <row r="373" spans="1:1">
      <c r="A373" s="200"/>
    </row>
    <row r="374" spans="1:1">
      <c r="A374" s="200"/>
    </row>
    <row r="375" spans="1:1">
      <c r="A375" s="200"/>
    </row>
    <row r="376" spans="1:1">
      <c r="A376" s="200"/>
    </row>
    <row r="377" spans="1:1">
      <c r="A377" s="200"/>
    </row>
    <row r="378" spans="1:1">
      <c r="A378" s="200"/>
    </row>
    <row r="379" spans="1:1">
      <c r="A379" s="200"/>
    </row>
    <row r="380" spans="1:1">
      <c r="A380" s="200"/>
    </row>
    <row r="381" spans="1:1">
      <c r="A381" s="200"/>
    </row>
    <row r="382" spans="1:1">
      <c r="A382" s="200"/>
    </row>
    <row r="383" spans="1:1">
      <c r="A383" s="200"/>
    </row>
    <row r="384" spans="1:1">
      <c r="A384" s="200"/>
    </row>
    <row r="385" spans="1:1">
      <c r="A385" s="200"/>
    </row>
    <row r="386" spans="1:1">
      <c r="A386" s="200"/>
    </row>
    <row r="387" spans="1:1">
      <c r="A387" s="200"/>
    </row>
    <row r="388" spans="1:1">
      <c r="A388" s="200"/>
    </row>
    <row r="389" spans="1:1">
      <c r="A389" s="200"/>
    </row>
    <row r="390" spans="1:1">
      <c r="A390" s="200"/>
    </row>
    <row r="391" spans="1:1">
      <c r="A391" s="200"/>
    </row>
    <row r="392" spans="1:1">
      <c r="A392" s="200"/>
    </row>
    <row r="393" spans="1:1">
      <c r="A393" s="200"/>
    </row>
    <row r="394" spans="1:1">
      <c r="A394" s="200"/>
    </row>
    <row r="395" spans="1:1">
      <c r="A395" s="200"/>
    </row>
    <row r="396" spans="1:1">
      <c r="A396" s="200"/>
    </row>
    <row r="397" spans="1:1">
      <c r="A397" s="200"/>
    </row>
    <row r="398" spans="1:1">
      <c r="A398" s="200"/>
    </row>
    <row r="399" spans="1:1">
      <c r="A399" s="200"/>
    </row>
    <row r="400" spans="1:1">
      <c r="A400" s="200"/>
    </row>
    <row r="401" spans="1:1">
      <c r="A401" s="200"/>
    </row>
    <row r="402" spans="1:1">
      <c r="A402" s="200"/>
    </row>
    <row r="403" spans="1:1">
      <c r="A403" s="200"/>
    </row>
    <row r="404" spans="1:1">
      <c r="A404" s="200"/>
    </row>
    <row r="405" spans="1:1">
      <c r="A405" s="200"/>
    </row>
    <row r="406" spans="1:1">
      <c r="A406" s="200"/>
    </row>
    <row r="407" spans="1:1">
      <c r="A407" s="200"/>
    </row>
    <row r="408" spans="1:1">
      <c r="A408" s="200"/>
    </row>
    <row r="409" spans="1:1">
      <c r="A409" s="200"/>
    </row>
    <row r="410" spans="1:1">
      <c r="A410" s="200"/>
    </row>
    <row r="411" spans="1:1">
      <c r="A411" s="200"/>
    </row>
    <row r="412" spans="1:1">
      <c r="A412" s="200"/>
    </row>
    <row r="413" spans="1:1">
      <c r="A413" s="200"/>
    </row>
    <row r="414" spans="1:1">
      <c r="A414" s="200"/>
    </row>
    <row r="415" spans="1:1">
      <c r="A415" s="200"/>
    </row>
    <row r="416" spans="1:1">
      <c r="A416" s="200"/>
    </row>
    <row r="417" spans="1:1">
      <c r="A417" s="200"/>
    </row>
    <row r="418" spans="1:1">
      <c r="A418" s="200"/>
    </row>
    <row r="419" spans="1:1">
      <c r="A419" s="200"/>
    </row>
    <row r="420" spans="1:1">
      <c r="A420" s="200"/>
    </row>
    <row r="421" spans="1:1">
      <c r="A421" s="200"/>
    </row>
    <row r="422" spans="1:1">
      <c r="A422" s="200"/>
    </row>
    <row r="423" spans="1:1">
      <c r="A423" s="200"/>
    </row>
    <row r="424" spans="1:1">
      <c r="A424" s="200"/>
    </row>
    <row r="425" spans="1:1">
      <c r="A425" s="200"/>
    </row>
    <row r="426" spans="1:1">
      <c r="A426" s="200"/>
    </row>
    <row r="427" spans="1:1">
      <c r="A427" s="200"/>
    </row>
    <row r="428" spans="1:1">
      <c r="A428" s="200"/>
    </row>
    <row r="429" spans="1:1">
      <c r="A429" s="200"/>
    </row>
    <row r="430" spans="1:1">
      <c r="A430" s="200"/>
    </row>
    <row r="431" spans="1:1">
      <c r="A431" s="200"/>
    </row>
    <row r="432" spans="1:1">
      <c r="A432" s="200"/>
    </row>
    <row r="433" spans="1:1">
      <c r="A433" s="200"/>
    </row>
    <row r="434" spans="1:1">
      <c r="A434" s="200"/>
    </row>
    <row r="435" spans="1:1">
      <c r="A435" s="200"/>
    </row>
    <row r="436" spans="1:1">
      <c r="A436" s="200"/>
    </row>
    <row r="437" spans="1:1">
      <c r="A437" s="200"/>
    </row>
    <row r="438" spans="1:1">
      <c r="A438" s="200"/>
    </row>
    <row r="439" spans="1:1">
      <c r="A439" s="200"/>
    </row>
    <row r="440" spans="1:1">
      <c r="A440" s="200"/>
    </row>
    <row r="441" spans="1:1">
      <c r="A441" s="200"/>
    </row>
    <row r="442" spans="1:1">
      <c r="A442" s="200"/>
    </row>
    <row r="443" spans="1:1">
      <c r="A443" s="200"/>
    </row>
    <row r="444" spans="1:1">
      <c r="A444" s="200"/>
    </row>
    <row r="445" spans="1:1">
      <c r="A445" s="200"/>
    </row>
    <row r="446" spans="1:1">
      <c r="A446" s="200"/>
    </row>
    <row r="447" spans="1:1">
      <c r="A447" s="200"/>
    </row>
    <row r="448" spans="1:1">
      <c r="A448" s="200"/>
    </row>
    <row r="449" spans="1:1">
      <c r="A449" s="200"/>
    </row>
    <row r="450" spans="1:1">
      <c r="A450" s="200"/>
    </row>
    <row r="451" spans="1:1">
      <c r="A451" s="200"/>
    </row>
    <row r="452" spans="1:1">
      <c r="A452" s="200"/>
    </row>
    <row r="453" spans="1:1">
      <c r="A453" s="200"/>
    </row>
    <row r="454" spans="1:1">
      <c r="A454" s="200"/>
    </row>
    <row r="455" spans="1:1">
      <c r="A455" s="200"/>
    </row>
    <row r="456" spans="1:1">
      <c r="A456" s="200"/>
    </row>
    <row r="457" spans="1:1">
      <c r="A457" s="200"/>
    </row>
    <row r="458" spans="1:1">
      <c r="A458" s="200"/>
    </row>
    <row r="459" spans="1:1">
      <c r="A459" s="200"/>
    </row>
    <row r="460" spans="1:1">
      <c r="A460" s="200"/>
    </row>
    <row r="461" spans="1:1">
      <c r="A461" s="200"/>
    </row>
    <row r="462" spans="1:1">
      <c r="A462" s="200"/>
    </row>
    <row r="463" spans="1:1">
      <c r="A463" s="200"/>
    </row>
    <row r="464" spans="1:1">
      <c r="A464" s="200"/>
    </row>
    <row r="465" spans="1:1">
      <c r="A465" s="200"/>
    </row>
    <row r="466" spans="1:1">
      <c r="A466" s="200"/>
    </row>
    <row r="467" spans="1:1">
      <c r="A467" s="200"/>
    </row>
    <row r="468" spans="1:1">
      <c r="A468" s="200"/>
    </row>
    <row r="469" spans="1:1">
      <c r="A469" s="200"/>
    </row>
    <row r="470" spans="1:1">
      <c r="A470" s="200"/>
    </row>
    <row r="471" spans="1:1">
      <c r="A471" s="200"/>
    </row>
    <row r="472" spans="1:1">
      <c r="A472" s="200"/>
    </row>
    <row r="473" spans="1:1">
      <c r="A473" s="200"/>
    </row>
    <row r="474" spans="1:1">
      <c r="A474" s="200"/>
    </row>
    <row r="475" spans="1:1">
      <c r="A475" s="200"/>
    </row>
    <row r="476" spans="1:1">
      <c r="A476" s="200"/>
    </row>
    <row r="477" spans="1:1">
      <c r="A477" s="200"/>
    </row>
    <row r="478" spans="1:1">
      <c r="A478" s="200"/>
    </row>
    <row r="479" spans="1:1">
      <c r="A479" s="200"/>
    </row>
    <row r="480" spans="1:1">
      <c r="A480" s="200"/>
    </row>
    <row r="481" spans="1:1">
      <c r="A481" s="200"/>
    </row>
    <row r="482" spans="1:1">
      <c r="A482" s="200"/>
    </row>
    <row r="483" spans="1:1">
      <c r="A483" s="200"/>
    </row>
    <row r="484" spans="1:1">
      <c r="A484" s="200"/>
    </row>
    <row r="485" spans="1:1">
      <c r="A485" s="200"/>
    </row>
    <row r="486" spans="1:1">
      <c r="A486" s="200"/>
    </row>
    <row r="487" spans="1:1">
      <c r="A487" s="200"/>
    </row>
    <row r="488" spans="1:1">
      <c r="A488" s="200"/>
    </row>
    <row r="489" spans="1:1">
      <c r="A489" s="200"/>
    </row>
    <row r="490" spans="1:1">
      <c r="A490" s="200"/>
    </row>
    <row r="491" spans="1:1">
      <c r="A491" s="200"/>
    </row>
    <row r="492" spans="1:1">
      <c r="A492" s="200"/>
    </row>
    <row r="493" spans="1:1">
      <c r="A493" s="200"/>
    </row>
    <row r="494" spans="1:1">
      <c r="A494" s="200"/>
    </row>
    <row r="495" spans="1:1">
      <c r="A495" s="200"/>
    </row>
    <row r="496" spans="1:1">
      <c r="A496" s="200"/>
    </row>
    <row r="497" spans="1:1">
      <c r="A497" s="200"/>
    </row>
    <row r="498" spans="1:1">
      <c r="A498" s="200"/>
    </row>
    <row r="499" spans="1:1">
      <c r="A499" s="200"/>
    </row>
    <row r="500" spans="1:1">
      <c r="A500" s="200"/>
    </row>
    <row r="501" spans="1:1">
      <c r="A501" s="200"/>
    </row>
    <row r="502" spans="1:1">
      <c r="A502" s="200"/>
    </row>
    <row r="503" spans="1:1">
      <c r="A503" s="200"/>
    </row>
    <row r="504" spans="1:1">
      <c r="A504" s="200"/>
    </row>
    <row r="505" spans="1:1">
      <c r="A505" s="200"/>
    </row>
    <row r="506" spans="1:1">
      <c r="A506" s="200"/>
    </row>
    <row r="507" spans="1:1">
      <c r="A507" s="200"/>
    </row>
    <row r="508" spans="1:1">
      <c r="A508" s="200"/>
    </row>
    <row r="509" spans="1:1">
      <c r="A509" s="200"/>
    </row>
    <row r="510" spans="1:1">
      <c r="A510" s="200"/>
    </row>
    <row r="511" spans="1:1">
      <c r="A511" s="200"/>
    </row>
    <row r="512" spans="1:1">
      <c r="A512" s="200"/>
    </row>
    <row r="513" spans="1:1">
      <c r="A513" s="200"/>
    </row>
    <row r="514" spans="1:1">
      <c r="A514" s="200"/>
    </row>
    <row r="515" spans="1:1">
      <c r="A515" s="200"/>
    </row>
    <row r="516" spans="1:1">
      <c r="A516" s="200"/>
    </row>
    <row r="517" spans="1:1">
      <c r="A517" s="200"/>
    </row>
    <row r="518" spans="1:1">
      <c r="A518" s="200"/>
    </row>
    <row r="519" spans="1:1">
      <c r="A519" s="200"/>
    </row>
    <row r="520" spans="1:1">
      <c r="A520" s="200"/>
    </row>
    <row r="521" spans="1:1">
      <c r="A521" s="200"/>
    </row>
    <row r="522" spans="1:1">
      <c r="A522" s="200"/>
    </row>
    <row r="523" spans="1:1">
      <c r="A523" s="200"/>
    </row>
    <row r="524" spans="1:1">
      <c r="A524" s="200"/>
    </row>
    <row r="525" spans="1:1">
      <c r="A525" s="200"/>
    </row>
    <row r="526" spans="1:1">
      <c r="A526" s="200"/>
    </row>
    <row r="527" spans="1:1">
      <c r="A527" s="200"/>
    </row>
    <row r="528" spans="1:1">
      <c r="A528" s="200"/>
    </row>
    <row r="529" spans="1:1">
      <c r="A529" s="200"/>
    </row>
    <row r="530" spans="1:1">
      <c r="A530" s="200"/>
    </row>
    <row r="531" spans="1:1">
      <c r="A531" s="200"/>
    </row>
    <row r="532" spans="1:1">
      <c r="A532" s="200"/>
    </row>
    <row r="533" spans="1:1">
      <c r="A533" s="200"/>
    </row>
    <row r="534" spans="1:1">
      <c r="A534" s="200"/>
    </row>
    <row r="535" spans="1:1">
      <c r="A535" s="200"/>
    </row>
    <row r="536" spans="1:1">
      <c r="A536" s="200"/>
    </row>
    <row r="537" spans="1:1">
      <c r="A537" s="200"/>
    </row>
    <row r="538" spans="1:1">
      <c r="A538" s="200"/>
    </row>
    <row r="539" spans="1:1">
      <c r="A539" s="200"/>
    </row>
    <row r="540" spans="1:1">
      <c r="A540" s="200"/>
    </row>
    <row r="541" spans="1:1">
      <c r="A541" s="200"/>
    </row>
    <row r="542" spans="1:1">
      <c r="A542" s="200"/>
    </row>
    <row r="543" spans="1:1">
      <c r="A543" s="200"/>
    </row>
    <row r="544" spans="1:1">
      <c r="A544" s="200"/>
    </row>
    <row r="545" spans="1:1">
      <c r="A545" s="200"/>
    </row>
    <row r="546" spans="1:1">
      <c r="A546" s="200"/>
    </row>
    <row r="547" spans="1:1">
      <c r="A547" s="200"/>
    </row>
    <row r="548" spans="1:1">
      <c r="A548" s="200"/>
    </row>
    <row r="549" spans="1:1">
      <c r="A549" s="200"/>
    </row>
    <row r="550" spans="1:1">
      <c r="A550" s="200"/>
    </row>
    <row r="551" spans="1:1">
      <c r="A551" s="200"/>
    </row>
    <row r="552" spans="1:1">
      <c r="A552" s="200"/>
    </row>
    <row r="553" spans="1:1">
      <c r="A553" s="200"/>
    </row>
    <row r="554" spans="1:1">
      <c r="A554" s="200"/>
    </row>
    <row r="555" spans="1:1">
      <c r="A555" s="200"/>
    </row>
    <row r="556" spans="1:1">
      <c r="A556" s="200"/>
    </row>
    <row r="557" spans="1:1">
      <c r="A557" s="200"/>
    </row>
    <row r="558" spans="1:1">
      <c r="A558" s="200"/>
    </row>
    <row r="559" spans="1:1">
      <c r="A559" s="200"/>
    </row>
    <row r="560" spans="1:1">
      <c r="A560" s="200"/>
    </row>
    <row r="561" spans="1:1">
      <c r="A561" s="200"/>
    </row>
    <row r="562" spans="1:1">
      <c r="A562" s="200"/>
    </row>
    <row r="563" spans="1:1">
      <c r="A563" s="200"/>
    </row>
    <row r="564" spans="1:1">
      <c r="A564" s="200"/>
    </row>
    <row r="565" spans="1:1">
      <c r="A565" s="200"/>
    </row>
    <row r="566" spans="1:1">
      <c r="A566" s="200"/>
    </row>
    <row r="567" spans="1:1">
      <c r="A567" s="200"/>
    </row>
    <row r="568" spans="1:1">
      <c r="A568" s="200"/>
    </row>
    <row r="569" spans="1:1">
      <c r="A569" s="200"/>
    </row>
    <row r="570" spans="1:1">
      <c r="A570" s="200"/>
    </row>
    <row r="571" spans="1:1">
      <c r="A571" s="200"/>
    </row>
    <row r="572" spans="1:1">
      <c r="A572" s="200"/>
    </row>
    <row r="573" spans="1:1">
      <c r="A573" s="200"/>
    </row>
    <row r="574" spans="1:1">
      <c r="A574" s="200"/>
    </row>
    <row r="575" spans="1:1">
      <c r="A575" s="200"/>
    </row>
    <row r="576" spans="1:1">
      <c r="A576" s="200"/>
    </row>
    <row r="577" spans="1:1">
      <c r="A577" s="200"/>
    </row>
    <row r="578" spans="1:1">
      <c r="A578" s="200"/>
    </row>
    <row r="579" spans="1:1">
      <c r="A579" s="200"/>
    </row>
    <row r="580" spans="1:1">
      <c r="A580" s="200"/>
    </row>
    <row r="581" spans="1:1">
      <c r="A581" s="200"/>
    </row>
    <row r="582" spans="1:1">
      <c r="A582" s="200"/>
    </row>
    <row r="583" spans="1:1">
      <c r="A583" s="200"/>
    </row>
    <row r="584" spans="1:1">
      <c r="A584" s="200"/>
    </row>
    <row r="585" spans="1:1">
      <c r="A585" s="200"/>
    </row>
    <row r="586" spans="1:1">
      <c r="A586" s="200"/>
    </row>
    <row r="587" spans="1:1">
      <c r="A587" s="200"/>
    </row>
    <row r="588" spans="1:1">
      <c r="A588" s="200"/>
    </row>
    <row r="589" spans="1:1">
      <c r="A589" s="200"/>
    </row>
    <row r="590" spans="1:1">
      <c r="A590" s="200"/>
    </row>
    <row r="591" spans="1:1">
      <c r="A591" s="200"/>
    </row>
    <row r="592" spans="1:1">
      <c r="A592" s="200"/>
    </row>
    <row r="593" spans="1:1">
      <c r="A593" s="200"/>
    </row>
    <row r="594" spans="1:1">
      <c r="A594" s="200"/>
    </row>
    <row r="595" spans="1:1">
      <c r="A595" s="200"/>
    </row>
    <row r="596" spans="1:1">
      <c r="A596" s="200"/>
    </row>
    <row r="597" spans="1:1">
      <c r="A597" s="200"/>
    </row>
    <row r="598" spans="1:1">
      <c r="A598" s="200"/>
    </row>
    <row r="599" spans="1:1">
      <c r="A599" s="200"/>
    </row>
    <row r="600" spans="1:1">
      <c r="A600" s="200"/>
    </row>
    <row r="601" spans="1:1">
      <c r="A601" s="200"/>
    </row>
    <row r="602" spans="1:1">
      <c r="A602" s="200"/>
    </row>
    <row r="603" spans="1:1">
      <c r="A603" s="200"/>
    </row>
    <row r="604" spans="1:1">
      <c r="A604" s="200"/>
    </row>
    <row r="605" spans="1:1">
      <c r="A605" s="200"/>
    </row>
    <row r="606" spans="1:1">
      <c r="A606" s="200"/>
    </row>
    <row r="607" spans="1:1">
      <c r="A607" s="200"/>
    </row>
    <row r="608" spans="1:1">
      <c r="A608" s="200"/>
    </row>
    <row r="609" spans="1:1">
      <c r="A609" s="200"/>
    </row>
    <row r="610" spans="1:1">
      <c r="A610" s="200"/>
    </row>
    <row r="611" spans="1:1">
      <c r="A611" s="200"/>
    </row>
    <row r="612" spans="1:1">
      <c r="A612" s="200"/>
    </row>
    <row r="613" spans="1:1">
      <c r="A613" s="200"/>
    </row>
    <row r="614" spans="1:1">
      <c r="A614" s="200"/>
    </row>
    <row r="615" spans="1:1">
      <c r="A615" s="200"/>
    </row>
    <row r="616" spans="1:1">
      <c r="A616" s="200"/>
    </row>
    <row r="617" spans="1:1">
      <c r="A617" s="200"/>
    </row>
    <row r="618" spans="1:1">
      <c r="A618" s="200"/>
    </row>
    <row r="619" spans="1:1">
      <c r="A619" s="200"/>
    </row>
    <row r="620" spans="1:1">
      <c r="A620" s="200"/>
    </row>
    <row r="621" spans="1:1">
      <c r="A621" s="200"/>
    </row>
    <row r="622" spans="1:1">
      <c r="A622" s="200"/>
    </row>
    <row r="623" spans="1:1">
      <c r="A623" s="200"/>
    </row>
    <row r="624" spans="1:1">
      <c r="A624" s="200"/>
    </row>
    <row r="625" spans="1:1">
      <c r="A625" s="200"/>
    </row>
    <row r="626" spans="1:1">
      <c r="A626" s="200"/>
    </row>
    <row r="627" spans="1:1">
      <c r="A627" s="200"/>
    </row>
    <row r="628" spans="1:1">
      <c r="A628" s="200"/>
    </row>
    <row r="629" spans="1:1">
      <c r="A629" s="200"/>
    </row>
    <row r="630" spans="1:1">
      <c r="A630" s="200"/>
    </row>
    <row r="631" spans="1:1">
      <c r="A631" s="200"/>
    </row>
    <row r="632" spans="1:1">
      <c r="A632" s="200"/>
    </row>
    <row r="633" spans="1:1">
      <c r="A633" s="200"/>
    </row>
    <row r="634" spans="1:1">
      <c r="A634" s="200"/>
    </row>
    <row r="635" spans="1:1">
      <c r="A635" s="200"/>
    </row>
    <row r="636" spans="1:1">
      <c r="A636" s="200"/>
    </row>
    <row r="637" spans="1:1">
      <c r="A637" s="200"/>
    </row>
    <row r="638" spans="1:1">
      <c r="A638" s="200"/>
    </row>
    <row r="639" spans="1:1">
      <c r="A639" s="200"/>
    </row>
    <row r="640" spans="1:1">
      <c r="A640" s="200"/>
    </row>
    <row r="641" spans="1:1">
      <c r="A641" s="200"/>
    </row>
    <row r="642" spans="1:1">
      <c r="A642" s="200"/>
    </row>
    <row r="643" spans="1:1">
      <c r="A643" s="200"/>
    </row>
    <row r="644" spans="1:1">
      <c r="A644" s="200"/>
    </row>
    <row r="645" spans="1:1">
      <c r="A645" s="200"/>
    </row>
    <row r="646" spans="1:1">
      <c r="A646" s="200"/>
    </row>
    <row r="647" spans="1:1">
      <c r="A647" s="200"/>
    </row>
    <row r="648" spans="1:1">
      <c r="A648" s="200"/>
    </row>
    <row r="649" spans="1:1">
      <c r="A649" s="200"/>
    </row>
    <row r="650" spans="1:1">
      <c r="A650" s="200"/>
    </row>
    <row r="651" spans="1:1">
      <c r="A651" s="200"/>
    </row>
    <row r="652" spans="1:1">
      <c r="A652" s="200"/>
    </row>
    <row r="653" spans="1:1">
      <c r="A653" s="200"/>
    </row>
    <row r="654" spans="1:1">
      <c r="A654" s="200"/>
    </row>
    <row r="655" spans="1:1">
      <c r="A655" s="200"/>
    </row>
    <row r="656" spans="1:1">
      <c r="A656" s="200"/>
    </row>
    <row r="657" spans="1:1">
      <c r="A657" s="200"/>
    </row>
    <row r="658" spans="1:1">
      <c r="A658" s="200"/>
    </row>
    <row r="659" spans="1:1">
      <c r="A659" s="200"/>
    </row>
    <row r="660" spans="1:1">
      <c r="A660" s="200"/>
    </row>
    <row r="661" spans="1:1">
      <c r="A661" s="200"/>
    </row>
    <row r="662" spans="1:1">
      <c r="A662" s="200"/>
    </row>
    <row r="663" spans="1:1">
      <c r="A663" s="200"/>
    </row>
    <row r="664" spans="1:1">
      <c r="A664" s="200"/>
    </row>
    <row r="665" spans="1:1">
      <c r="A665" s="200"/>
    </row>
    <row r="666" spans="1:1">
      <c r="A666" s="200"/>
    </row>
    <row r="667" spans="1:1">
      <c r="A667" s="200"/>
    </row>
    <row r="668" spans="1:1">
      <c r="A668" s="200"/>
    </row>
    <row r="669" spans="1:1">
      <c r="A669" s="200"/>
    </row>
    <row r="670" spans="1:1">
      <c r="A670" s="200"/>
    </row>
    <row r="671" spans="1:1">
      <c r="A671" s="200"/>
    </row>
    <row r="672" spans="1:1">
      <c r="A672" s="200"/>
    </row>
    <row r="673" spans="1:1">
      <c r="A673" s="200"/>
    </row>
    <row r="674" spans="1:1">
      <c r="A674" s="200"/>
    </row>
    <row r="675" spans="1:1">
      <c r="A675" s="200"/>
    </row>
    <row r="676" spans="1:1">
      <c r="A676" s="200"/>
    </row>
    <row r="677" spans="1:1">
      <c r="A677" s="200"/>
    </row>
    <row r="678" spans="1:1">
      <c r="A678" s="200"/>
    </row>
    <row r="679" spans="1:1">
      <c r="A679" s="200"/>
    </row>
    <row r="680" spans="1:1">
      <c r="A680" s="200"/>
    </row>
    <row r="681" spans="1:1">
      <c r="A681" s="200"/>
    </row>
    <row r="682" spans="1:1">
      <c r="A682" s="200"/>
    </row>
    <row r="683" spans="1:1">
      <c r="A683" s="200"/>
    </row>
    <row r="684" spans="1:1">
      <c r="A684" s="200"/>
    </row>
    <row r="685" spans="1:1">
      <c r="A685" s="200"/>
    </row>
    <row r="686" spans="1:1">
      <c r="A686" s="200"/>
    </row>
    <row r="687" spans="1:1">
      <c r="A687" s="200"/>
    </row>
    <row r="688" spans="1:1">
      <c r="A688" s="200"/>
    </row>
    <row r="689" spans="1:1">
      <c r="A689" s="200"/>
    </row>
    <row r="690" spans="1:1">
      <c r="A690" s="200"/>
    </row>
    <row r="691" spans="1:1">
      <c r="A691" s="200"/>
    </row>
    <row r="692" spans="1:1">
      <c r="A692" s="200"/>
    </row>
    <row r="693" spans="1:1">
      <c r="A693" s="200"/>
    </row>
    <row r="694" spans="1:1">
      <c r="A694" s="200"/>
    </row>
    <row r="695" spans="1:1">
      <c r="A695" s="200"/>
    </row>
    <row r="696" spans="1:1">
      <c r="A696" s="200"/>
    </row>
    <row r="697" spans="1:1">
      <c r="A697" s="200"/>
    </row>
    <row r="698" spans="1:1">
      <c r="A698" s="200"/>
    </row>
    <row r="699" spans="1:1">
      <c r="A699" s="200"/>
    </row>
    <row r="700" spans="1:1">
      <c r="A700" s="200"/>
    </row>
    <row r="701" spans="1:1">
      <c r="A701" s="200"/>
    </row>
    <row r="702" spans="1:1">
      <c r="A702" s="200"/>
    </row>
    <row r="703" spans="1:1">
      <c r="A703" s="200"/>
    </row>
    <row r="704" spans="1:1">
      <c r="A704" s="200"/>
    </row>
    <row r="705" spans="1:1">
      <c r="A705" s="200"/>
    </row>
    <row r="706" spans="1:1">
      <c r="A706" s="200"/>
    </row>
    <row r="707" spans="1:1">
      <c r="A707" s="200"/>
    </row>
    <row r="708" spans="1:1">
      <c r="A708" s="200"/>
    </row>
    <row r="709" spans="1:1">
      <c r="A709" s="200"/>
    </row>
    <row r="710" spans="1:1">
      <c r="A710" s="200"/>
    </row>
    <row r="711" spans="1:1">
      <c r="A711" s="200"/>
    </row>
    <row r="712" spans="1:1">
      <c r="A712" s="200"/>
    </row>
    <row r="713" spans="1:1">
      <c r="A713" s="200"/>
    </row>
    <row r="714" spans="1:1">
      <c r="A714" s="200"/>
    </row>
    <row r="715" spans="1:1">
      <c r="A715" s="200"/>
    </row>
    <row r="716" spans="1:1">
      <c r="A716" s="200"/>
    </row>
    <row r="717" spans="1:1">
      <c r="A717" s="200"/>
    </row>
    <row r="718" spans="1:1">
      <c r="A718" s="200"/>
    </row>
    <row r="719" spans="1:1">
      <c r="A719" s="200"/>
    </row>
    <row r="720" spans="1:1">
      <c r="A720" s="200"/>
    </row>
    <row r="721" spans="1:1">
      <c r="A721" s="200"/>
    </row>
    <row r="722" spans="1:1">
      <c r="A722" s="200"/>
    </row>
    <row r="723" spans="1:1">
      <c r="A723" s="200"/>
    </row>
    <row r="724" spans="1:1">
      <c r="A724" s="200"/>
    </row>
    <row r="725" spans="1:1">
      <c r="A725" s="200"/>
    </row>
    <row r="726" spans="1:1">
      <c r="A726" s="200"/>
    </row>
    <row r="727" spans="1:1">
      <c r="A727" s="200"/>
    </row>
    <row r="728" spans="1:1">
      <c r="A728" s="200"/>
    </row>
    <row r="729" spans="1:1">
      <c r="A729" s="200"/>
    </row>
    <row r="730" spans="1:1">
      <c r="A730" s="200"/>
    </row>
    <row r="731" spans="1:1">
      <c r="A731" s="200"/>
    </row>
    <row r="732" spans="1:1">
      <c r="A732" s="200"/>
    </row>
    <row r="733" spans="1:1">
      <c r="A733" s="200"/>
    </row>
    <row r="734" spans="1:1">
      <c r="A734" s="200"/>
    </row>
    <row r="735" spans="1:1">
      <c r="A735" s="200"/>
    </row>
    <row r="736" spans="1:1">
      <c r="A736" s="200"/>
    </row>
    <row r="737" spans="1:1">
      <c r="A737" s="200"/>
    </row>
    <row r="738" spans="1:1">
      <c r="A738" s="200"/>
    </row>
    <row r="739" spans="1:1">
      <c r="A739" s="200"/>
    </row>
    <row r="740" spans="1:1">
      <c r="A740" s="200"/>
    </row>
    <row r="741" spans="1:1">
      <c r="A741" s="200"/>
    </row>
    <row r="742" spans="1:1">
      <c r="A742" s="200"/>
    </row>
    <row r="743" spans="1:1">
      <c r="A743" s="200"/>
    </row>
    <row r="744" spans="1:1">
      <c r="A744" s="200"/>
    </row>
    <row r="745" spans="1:1">
      <c r="A745" s="200"/>
    </row>
    <row r="746" spans="1:1">
      <c r="A746" s="200"/>
    </row>
    <row r="747" spans="1:1">
      <c r="A747" s="200"/>
    </row>
    <row r="748" spans="1:1">
      <c r="A748" s="200"/>
    </row>
    <row r="749" spans="1:1">
      <c r="A749" s="200"/>
    </row>
    <row r="750" spans="1:1">
      <c r="A750" s="200"/>
    </row>
    <row r="751" spans="1:1">
      <c r="A751" s="200"/>
    </row>
    <row r="752" spans="1:1">
      <c r="A752" s="200"/>
    </row>
    <row r="753" spans="1:1">
      <c r="A753" s="200"/>
    </row>
    <row r="754" spans="1:1">
      <c r="A754" s="200"/>
    </row>
    <row r="755" spans="1:1">
      <c r="A755" s="200"/>
    </row>
    <row r="756" spans="1:1">
      <c r="A756" s="200"/>
    </row>
    <row r="757" spans="1:1">
      <c r="A757" s="200"/>
    </row>
    <row r="758" spans="1:1">
      <c r="A758" s="200"/>
    </row>
    <row r="759" spans="1:1">
      <c r="A759" s="200"/>
    </row>
    <row r="760" spans="1:1">
      <c r="A760" s="200"/>
    </row>
    <row r="761" spans="1:1">
      <c r="A761" s="200"/>
    </row>
    <row r="762" spans="1:1">
      <c r="A762" s="200"/>
    </row>
    <row r="763" spans="1:1">
      <c r="A763" s="200"/>
    </row>
    <row r="764" spans="1:1">
      <c r="A764" s="200"/>
    </row>
    <row r="765" spans="1:1">
      <c r="A765" s="200"/>
    </row>
    <row r="766" spans="1:1">
      <c r="A766" s="200"/>
    </row>
    <row r="767" spans="1:1">
      <c r="A767" s="200"/>
    </row>
    <row r="768" spans="1:1">
      <c r="A768" s="200"/>
    </row>
    <row r="769" spans="1:1">
      <c r="A769" s="200"/>
    </row>
    <row r="770" spans="1:1">
      <c r="A770" s="200"/>
    </row>
    <row r="771" spans="1:1">
      <c r="A771" s="200"/>
    </row>
    <row r="772" spans="1:1">
      <c r="A772" s="200"/>
    </row>
    <row r="773" spans="1:1">
      <c r="A773" s="200"/>
    </row>
    <row r="774" spans="1:1">
      <c r="A774" s="200"/>
    </row>
    <row r="775" spans="1:1">
      <c r="A775" s="200"/>
    </row>
    <row r="776" spans="1:1">
      <c r="A776" s="200"/>
    </row>
    <row r="777" spans="1:1">
      <c r="A777" s="200"/>
    </row>
    <row r="778" spans="1:1">
      <c r="A778" s="200"/>
    </row>
    <row r="779" spans="1:1">
      <c r="A779" s="200"/>
    </row>
    <row r="780" spans="1:1">
      <c r="A780" s="200"/>
    </row>
    <row r="781" spans="1:1">
      <c r="A781" s="200"/>
    </row>
    <row r="782" spans="1:1">
      <c r="A782" s="200"/>
    </row>
    <row r="783" spans="1:1">
      <c r="A783" s="200"/>
    </row>
    <row r="784" spans="1:1">
      <c r="A784" s="200"/>
    </row>
    <row r="785" spans="1:1">
      <c r="A785" s="200"/>
    </row>
    <row r="786" spans="1:1">
      <c r="A786" s="200"/>
    </row>
    <row r="787" spans="1:1">
      <c r="A787" s="200"/>
    </row>
    <row r="788" spans="1:1">
      <c r="A788" s="200"/>
    </row>
    <row r="789" spans="1:1">
      <c r="A789" s="200"/>
    </row>
    <row r="790" spans="1:1">
      <c r="A790" s="200"/>
    </row>
    <row r="791" spans="1:1">
      <c r="A791" s="200"/>
    </row>
    <row r="792" spans="1:1">
      <c r="A792" s="200"/>
    </row>
    <row r="793" spans="1:1">
      <c r="A793" s="200"/>
    </row>
    <row r="794" spans="1:1">
      <c r="A794" s="200"/>
    </row>
    <row r="795" spans="1:1">
      <c r="A795" s="200"/>
    </row>
    <row r="796" spans="1:1">
      <c r="A796" s="200"/>
    </row>
    <row r="797" spans="1:1">
      <c r="A797" s="200"/>
    </row>
    <row r="798" spans="1:1">
      <c r="A798" s="200"/>
    </row>
    <row r="799" spans="1:1">
      <c r="A799" s="200"/>
    </row>
    <row r="800" spans="1:1">
      <c r="A800" s="200"/>
    </row>
    <row r="801" spans="1:1">
      <c r="A801" s="200"/>
    </row>
    <row r="802" spans="1:1">
      <c r="A802" s="200"/>
    </row>
    <row r="803" spans="1:1">
      <c r="A803" s="200"/>
    </row>
    <row r="804" spans="1:1">
      <c r="A804" s="200"/>
    </row>
    <row r="805" spans="1:1">
      <c r="A805" s="200"/>
    </row>
    <row r="806" spans="1:1">
      <c r="A806" s="200"/>
    </row>
    <row r="807" spans="1:1">
      <c r="A807" s="200"/>
    </row>
    <row r="808" spans="1:1">
      <c r="A808" s="200"/>
    </row>
    <row r="809" spans="1:1">
      <c r="A809" s="200"/>
    </row>
    <row r="810" spans="1:1">
      <c r="A810" s="200"/>
    </row>
    <row r="811" spans="1:1">
      <c r="A811" s="200"/>
    </row>
    <row r="812" spans="1:1">
      <c r="A812" s="200"/>
    </row>
    <row r="813" spans="1:1">
      <c r="A813" s="200"/>
    </row>
    <row r="814" spans="1:1">
      <c r="A814" s="200"/>
    </row>
    <row r="815" spans="1:1">
      <c r="A815" s="200"/>
    </row>
    <row r="816" spans="1:1">
      <c r="A816" s="200"/>
    </row>
    <row r="817" spans="1:1">
      <c r="A817" s="200"/>
    </row>
    <row r="818" spans="1:1">
      <c r="A818" s="200"/>
    </row>
    <row r="819" spans="1:1">
      <c r="A819" s="200"/>
    </row>
    <row r="820" spans="1:1">
      <c r="A820" s="200"/>
    </row>
    <row r="821" spans="1:1">
      <c r="A821" s="200"/>
    </row>
    <row r="822" spans="1:1">
      <c r="A822" s="200"/>
    </row>
    <row r="823" spans="1:1">
      <c r="A823" s="200"/>
    </row>
    <row r="824" spans="1:1">
      <c r="A824" s="200"/>
    </row>
    <row r="825" spans="1:1">
      <c r="A825" s="200"/>
    </row>
    <row r="826" spans="1:1">
      <c r="A826" s="200"/>
    </row>
    <row r="827" spans="1:1">
      <c r="A827" s="200"/>
    </row>
    <row r="828" spans="1:1">
      <c r="A828" s="200"/>
    </row>
    <row r="829" spans="1:1">
      <c r="A829" s="200"/>
    </row>
    <row r="830" spans="1:1">
      <c r="A830" s="200"/>
    </row>
    <row r="831" spans="1:1">
      <c r="A831" s="200"/>
    </row>
    <row r="832" spans="1:1">
      <c r="A832" s="200"/>
    </row>
    <row r="833" spans="1:1">
      <c r="A833" s="200"/>
    </row>
    <row r="834" spans="1:1">
      <c r="A834" s="200"/>
    </row>
    <row r="835" spans="1:1">
      <c r="A835" s="200"/>
    </row>
    <row r="836" spans="1:1">
      <c r="A836" s="200"/>
    </row>
    <row r="837" spans="1:1">
      <c r="A837" s="200"/>
    </row>
    <row r="838" spans="1:1">
      <c r="A838" s="200"/>
    </row>
    <row r="839" spans="1:1">
      <c r="A839" s="200"/>
    </row>
    <row r="840" spans="1:1">
      <c r="A840" s="200"/>
    </row>
    <row r="841" spans="1:1">
      <c r="A841" s="200"/>
    </row>
    <row r="842" spans="1:1">
      <c r="A842" s="200"/>
    </row>
    <row r="843" spans="1:1">
      <c r="A843" s="200"/>
    </row>
    <row r="844" spans="1:1">
      <c r="A844" s="200"/>
    </row>
    <row r="845" spans="1:1">
      <c r="A845" s="200"/>
    </row>
    <row r="846" spans="1:1">
      <c r="A846" s="200"/>
    </row>
    <row r="847" spans="1:1">
      <c r="A847" s="200"/>
    </row>
    <row r="848" spans="1:1">
      <c r="A848" s="200"/>
    </row>
    <row r="849" spans="1:1">
      <c r="A849" s="200"/>
    </row>
    <row r="850" spans="1:1">
      <c r="A850" s="200"/>
    </row>
    <row r="851" spans="1:1">
      <c r="A851" s="200"/>
    </row>
    <row r="852" spans="1:1">
      <c r="A852" s="200"/>
    </row>
    <row r="853" spans="1:1">
      <c r="A853" s="200"/>
    </row>
    <row r="854" spans="1:1">
      <c r="A854" s="200"/>
    </row>
    <row r="855" spans="1:1">
      <c r="A855" s="200"/>
    </row>
    <row r="856" spans="1:1">
      <c r="A856" s="200"/>
    </row>
    <row r="857" spans="1:1">
      <c r="A857" s="200"/>
    </row>
    <row r="858" spans="1:1">
      <c r="A858" s="200"/>
    </row>
    <row r="859" spans="1:1">
      <c r="A859" s="200"/>
    </row>
    <row r="860" spans="1:1">
      <c r="A860" s="200"/>
    </row>
    <row r="861" spans="1:1">
      <c r="A861" s="200"/>
    </row>
    <row r="862" spans="1:1">
      <c r="A862" s="200"/>
    </row>
    <row r="863" spans="1:1">
      <c r="A863" s="200"/>
    </row>
    <row r="864" spans="1:1">
      <c r="A864" s="200"/>
    </row>
    <row r="865" spans="1:1">
      <c r="A865" s="200"/>
    </row>
    <row r="866" spans="1:1">
      <c r="A866" s="200"/>
    </row>
    <row r="867" spans="1:1">
      <c r="A867" s="200"/>
    </row>
    <row r="868" spans="1:1">
      <c r="A868" s="200"/>
    </row>
    <row r="869" spans="1:1">
      <c r="A869" s="200"/>
    </row>
    <row r="870" spans="1:1">
      <c r="A870" s="200"/>
    </row>
    <row r="871" spans="1:1">
      <c r="A871" s="200"/>
    </row>
    <row r="872" spans="1:1">
      <c r="A872" s="200"/>
    </row>
    <row r="873" spans="1:1">
      <c r="A873" s="200"/>
    </row>
    <row r="874" spans="1:1">
      <c r="A874" s="200"/>
    </row>
    <row r="875" spans="1:1">
      <c r="A875" s="200"/>
    </row>
    <row r="876" spans="1:1">
      <c r="A876" s="200"/>
    </row>
    <row r="877" spans="1:1">
      <c r="A877" s="200"/>
    </row>
    <row r="878" spans="1:1">
      <c r="A878" s="200"/>
    </row>
    <row r="879" spans="1:1">
      <c r="A879" s="200"/>
    </row>
    <row r="880" spans="1:1">
      <c r="A880" s="200"/>
    </row>
    <row r="881" spans="1:1">
      <c r="A881" s="200"/>
    </row>
    <row r="882" spans="1:1">
      <c r="A882" s="200"/>
    </row>
    <row r="883" spans="1:1">
      <c r="A883" s="200"/>
    </row>
    <row r="884" spans="1:1">
      <c r="A884" s="200"/>
    </row>
    <row r="885" spans="1:1">
      <c r="A885" s="200"/>
    </row>
    <row r="886" spans="1:1">
      <c r="A886" s="200"/>
    </row>
    <row r="887" spans="1:1">
      <c r="A887" s="200"/>
    </row>
    <row r="888" spans="1:1">
      <c r="A888" s="200"/>
    </row>
    <row r="889" spans="1:1">
      <c r="A889" s="200"/>
    </row>
    <row r="890" spans="1:1">
      <c r="A890" s="200"/>
    </row>
    <row r="891" spans="1:1">
      <c r="A891" s="200"/>
    </row>
    <row r="892" spans="1:1">
      <c r="A892" s="200"/>
    </row>
    <row r="893" spans="1:1">
      <c r="A893" s="200"/>
    </row>
    <row r="894" spans="1:1">
      <c r="A894" s="200"/>
    </row>
    <row r="895" spans="1:1">
      <c r="A895" s="200"/>
    </row>
    <row r="896" spans="1:1">
      <c r="A896" s="200"/>
    </row>
    <row r="897" spans="1:1">
      <c r="A897" s="200"/>
    </row>
    <row r="898" spans="1:1">
      <c r="A898" s="200"/>
    </row>
    <row r="899" spans="1:1">
      <c r="A899" s="200"/>
    </row>
    <row r="900" spans="1:1">
      <c r="A900" s="200"/>
    </row>
    <row r="901" spans="1:1">
      <c r="A901" s="200"/>
    </row>
    <row r="902" spans="1:1">
      <c r="A902" s="200"/>
    </row>
    <row r="903" spans="1:1">
      <c r="A903" s="200"/>
    </row>
    <row r="904" spans="1:1">
      <c r="A904" s="200"/>
    </row>
    <row r="905" spans="1:1">
      <c r="A905" s="200"/>
    </row>
    <row r="906" spans="1:1">
      <c r="A906" s="200"/>
    </row>
    <row r="907" spans="1:1">
      <c r="A907" s="200"/>
    </row>
    <row r="908" spans="1:1">
      <c r="A908" s="200"/>
    </row>
    <row r="909" spans="1:1">
      <c r="A909" s="200"/>
    </row>
    <row r="910" spans="1:1">
      <c r="A910" s="200"/>
    </row>
    <row r="911" spans="1:1">
      <c r="A911" s="200"/>
    </row>
    <row r="912" spans="1:1">
      <c r="A912" s="200"/>
    </row>
    <row r="913" spans="1:1">
      <c r="A913" s="200"/>
    </row>
    <row r="914" spans="1:1">
      <c r="A914" s="200"/>
    </row>
    <row r="915" spans="1:1">
      <c r="A915" s="200"/>
    </row>
    <row r="916" spans="1:1">
      <c r="A916" s="200"/>
    </row>
    <row r="917" spans="1:1">
      <c r="A917" s="200"/>
    </row>
    <row r="918" spans="1:1">
      <c r="A918" s="200"/>
    </row>
    <row r="919" spans="1:1">
      <c r="A919" s="200"/>
    </row>
    <row r="920" spans="1:1">
      <c r="A920" s="200"/>
    </row>
    <row r="921" spans="1:1">
      <c r="A921" s="200"/>
    </row>
    <row r="922" spans="1:1">
      <c r="A922" s="200"/>
    </row>
    <row r="923" spans="1:1">
      <c r="A923" s="200"/>
    </row>
    <row r="924" spans="1:1">
      <c r="A924" s="200"/>
    </row>
    <row r="925" spans="1:1">
      <c r="A925" s="200"/>
    </row>
    <row r="926" spans="1:1">
      <c r="A926" s="200"/>
    </row>
    <row r="927" spans="1:1">
      <c r="A927" s="200"/>
    </row>
    <row r="928" spans="1:1">
      <c r="A928" s="200"/>
    </row>
    <row r="929" spans="1:1">
      <c r="A929" s="200"/>
    </row>
    <row r="930" spans="1:1">
      <c r="A930" s="200"/>
    </row>
    <row r="931" spans="1:1">
      <c r="A931" s="200"/>
    </row>
    <row r="932" spans="1:1">
      <c r="A932" s="200"/>
    </row>
    <row r="933" spans="1:1">
      <c r="A933" s="200"/>
    </row>
    <row r="934" spans="1:1">
      <c r="A934" s="200"/>
    </row>
    <row r="935" spans="1:1">
      <c r="A935" s="200"/>
    </row>
    <row r="936" spans="1:1">
      <c r="A936" s="200"/>
    </row>
    <row r="937" spans="1:1">
      <c r="A937" s="200"/>
    </row>
    <row r="938" spans="1:1">
      <c r="A938" s="200"/>
    </row>
    <row r="939" spans="1:1">
      <c r="A939" s="200"/>
    </row>
    <row r="940" spans="1:1">
      <c r="A940" s="200"/>
    </row>
    <row r="941" spans="1:1">
      <c r="A941" s="200"/>
    </row>
    <row r="942" spans="1:1">
      <c r="A942" s="200"/>
    </row>
    <row r="943" spans="1:1">
      <c r="A943" s="200"/>
    </row>
    <row r="944" spans="1:1">
      <c r="A944" s="200"/>
    </row>
    <row r="945" spans="1:1">
      <c r="A945" s="200"/>
    </row>
    <row r="946" spans="1:1">
      <c r="A946" s="200"/>
    </row>
    <row r="947" spans="1:1">
      <c r="A947" s="200"/>
    </row>
    <row r="948" spans="1:1">
      <c r="A948" s="200"/>
    </row>
    <row r="949" spans="1:1">
      <c r="A949" s="200"/>
    </row>
    <row r="950" spans="1:1">
      <c r="A950" s="200"/>
    </row>
    <row r="951" spans="1:1">
      <c r="A951" s="200"/>
    </row>
    <row r="952" spans="1:1">
      <c r="A952" s="200"/>
    </row>
    <row r="953" spans="1:1">
      <c r="A953" s="200"/>
    </row>
    <row r="954" spans="1:1">
      <c r="A954" s="200"/>
    </row>
    <row r="955" spans="1:1">
      <c r="A955" s="200"/>
    </row>
    <row r="956" spans="1:1">
      <c r="A956" s="200"/>
    </row>
    <row r="957" spans="1:1">
      <c r="A957" s="200"/>
    </row>
    <row r="958" spans="1:1">
      <c r="A958" s="200"/>
    </row>
    <row r="959" spans="1:1">
      <c r="A959" s="200"/>
    </row>
    <row r="960" spans="1:1">
      <c r="A960" s="200"/>
    </row>
    <row r="961" spans="1:1">
      <c r="A961" s="200"/>
    </row>
    <row r="962" spans="1:1">
      <c r="A962" s="200"/>
    </row>
    <row r="963" spans="1:1">
      <c r="A963" s="200"/>
    </row>
    <row r="964" spans="1:1">
      <c r="A964" s="200"/>
    </row>
    <row r="965" spans="1:1">
      <c r="A965" s="200"/>
    </row>
    <row r="966" spans="1:1">
      <c r="A966" s="200"/>
    </row>
    <row r="967" spans="1:1">
      <c r="A967" s="200"/>
    </row>
    <row r="968" spans="1:1">
      <c r="A968" s="200"/>
    </row>
    <row r="969" spans="1:1">
      <c r="A969" s="200"/>
    </row>
    <row r="970" spans="1:1">
      <c r="A970" s="200"/>
    </row>
    <row r="971" spans="1:1">
      <c r="A971" s="200"/>
    </row>
    <row r="972" spans="1:1">
      <c r="A972" s="200"/>
    </row>
    <row r="973" spans="1:1">
      <c r="A973" s="200"/>
    </row>
    <row r="974" spans="1:1">
      <c r="A974" s="200"/>
    </row>
    <row r="975" spans="1:1">
      <c r="A975" s="200"/>
    </row>
    <row r="976" spans="1:1">
      <c r="A976" s="200"/>
    </row>
    <row r="977" spans="1:1">
      <c r="A977" s="200"/>
    </row>
    <row r="978" spans="1:1">
      <c r="A978" s="200"/>
    </row>
    <row r="979" spans="1:1">
      <c r="A979" s="200"/>
    </row>
    <row r="980" spans="1:1">
      <c r="A980" s="200"/>
    </row>
    <row r="981" spans="1:1">
      <c r="A981" s="200"/>
    </row>
    <row r="982" spans="1:1">
      <c r="A982" s="200"/>
    </row>
    <row r="983" spans="1:1">
      <c r="A983" s="200"/>
    </row>
    <row r="984" spans="1:1">
      <c r="A984" s="200"/>
    </row>
    <row r="985" spans="1:1">
      <c r="A985" s="200"/>
    </row>
    <row r="986" spans="1:1">
      <c r="A986" s="200"/>
    </row>
    <row r="987" spans="1:1">
      <c r="A987" s="200"/>
    </row>
    <row r="988" spans="1:1">
      <c r="A988" s="200"/>
    </row>
    <row r="989" spans="1:1">
      <c r="A989" s="200"/>
    </row>
    <row r="990" spans="1:1">
      <c r="A990" s="200"/>
    </row>
    <row r="991" spans="1:1">
      <c r="A991" s="200"/>
    </row>
    <row r="992" spans="1:1">
      <c r="A992" s="200"/>
    </row>
    <row r="993" spans="1:1">
      <c r="A993" s="200"/>
    </row>
    <row r="994" spans="1:1">
      <c r="A994" s="200"/>
    </row>
    <row r="995" spans="1:1">
      <c r="A995" s="200"/>
    </row>
    <row r="996" spans="1:1">
      <c r="A996" s="200"/>
    </row>
    <row r="997" spans="1:1">
      <c r="A997" s="200"/>
    </row>
    <row r="998" spans="1:1">
      <c r="A998" s="200"/>
    </row>
    <row r="999" spans="1:1">
      <c r="A999" s="200"/>
    </row>
    <row r="1000" spans="1:1">
      <c r="A1000" s="2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55"/>
  <sheetViews>
    <sheetView workbookViewId="0"/>
  </sheetViews>
  <sheetFormatPr defaultColWidth="12.6640625" defaultRowHeight="15.75" customHeight="1"/>
  <cols>
    <col min="1" max="1" width="28.77734375" customWidth="1"/>
    <col min="2" max="2" width="9.33203125" customWidth="1"/>
    <col min="3" max="3" width="26.77734375" customWidth="1"/>
    <col min="4" max="5" width="11.6640625" customWidth="1"/>
    <col min="6" max="6" width="12" customWidth="1"/>
    <col min="7" max="7" width="12.77734375" customWidth="1"/>
    <col min="8" max="8" width="12.109375" customWidth="1"/>
    <col min="9" max="9" width="13.88671875" customWidth="1"/>
    <col min="10" max="11" width="12.44140625" customWidth="1"/>
    <col min="12" max="12" width="11.88671875" customWidth="1"/>
    <col min="13" max="14" width="12.44140625" customWidth="1"/>
    <col min="15" max="15" width="13.33203125" customWidth="1"/>
    <col min="16" max="16" width="13.77734375" customWidth="1"/>
    <col min="17" max="17" width="14.33203125" customWidth="1"/>
  </cols>
  <sheetData>
    <row r="1" spans="1:23">
      <c r="A1" s="241" t="s">
        <v>2445</v>
      </c>
      <c r="B1" s="242" t="s">
        <v>2446</v>
      </c>
      <c r="C1" s="243" t="s">
        <v>2447</v>
      </c>
      <c r="D1" s="242" t="s">
        <v>2448</v>
      </c>
      <c r="E1" s="242" t="s">
        <v>2449</v>
      </c>
      <c r="F1" s="244" t="s">
        <v>2450</v>
      </c>
      <c r="G1" s="245" t="s">
        <v>2451</v>
      </c>
      <c r="H1" s="245" t="s">
        <v>2452</v>
      </c>
      <c r="I1" s="246" t="s">
        <v>2453</v>
      </c>
      <c r="J1" s="247" t="s">
        <v>2454</v>
      </c>
      <c r="K1" s="247" t="s">
        <v>2455</v>
      </c>
      <c r="L1" s="248" t="s">
        <v>2456</v>
      </c>
      <c r="M1" s="249" t="s">
        <v>2457</v>
      </c>
      <c r="N1" s="249" t="s">
        <v>2458</v>
      </c>
      <c r="O1" s="250" t="s">
        <v>2459</v>
      </c>
      <c r="P1" s="251" t="s">
        <v>2460</v>
      </c>
      <c r="Q1" s="251" t="s">
        <v>2461</v>
      </c>
      <c r="R1" s="243" t="s">
        <v>2462</v>
      </c>
      <c r="S1" s="242" t="s">
        <v>2463</v>
      </c>
      <c r="T1" s="252" t="s">
        <v>2464</v>
      </c>
      <c r="U1" s="252" t="s">
        <v>2465</v>
      </c>
      <c r="V1" s="252" t="s">
        <v>2466</v>
      </c>
      <c r="W1" s="252" t="s">
        <v>2467</v>
      </c>
    </row>
    <row r="2" spans="1:23" ht="15.75" customHeight="1">
      <c r="A2" s="196" t="s">
        <v>36</v>
      </c>
      <c r="B2" s="17">
        <v>5.87</v>
      </c>
      <c r="C2" s="17" t="s">
        <v>2425</v>
      </c>
      <c r="D2" s="17" t="s">
        <v>2468</v>
      </c>
      <c r="E2" s="17">
        <v>60</v>
      </c>
      <c r="F2" s="17">
        <v>2</v>
      </c>
      <c r="G2" s="17">
        <v>19</v>
      </c>
      <c r="H2" s="17">
        <v>42</v>
      </c>
      <c r="I2" s="17">
        <v>4</v>
      </c>
      <c r="J2" s="17">
        <v>26</v>
      </c>
      <c r="K2" s="17">
        <v>54</v>
      </c>
      <c r="L2" s="17">
        <v>3</v>
      </c>
      <c r="M2" s="17">
        <v>23</v>
      </c>
      <c r="N2" s="17">
        <v>48</v>
      </c>
      <c r="O2" s="17">
        <v>2</v>
      </c>
      <c r="P2" s="17">
        <v>16</v>
      </c>
      <c r="Q2" s="17">
        <v>36</v>
      </c>
      <c r="R2" s="17">
        <v>0.75</v>
      </c>
      <c r="S2" s="17">
        <v>0.35</v>
      </c>
      <c r="T2" s="17">
        <v>7</v>
      </c>
      <c r="U2" s="17">
        <v>10</v>
      </c>
      <c r="V2" s="17">
        <v>8</v>
      </c>
      <c r="W2" s="17">
        <v>6</v>
      </c>
    </row>
    <row r="3" spans="1:23" ht="15.75" customHeight="1">
      <c r="A3" s="204" t="s">
        <v>47</v>
      </c>
      <c r="B3" s="17">
        <v>3.71</v>
      </c>
      <c r="C3" s="17" t="s">
        <v>2425</v>
      </c>
      <c r="D3" s="17" t="s">
        <v>2468</v>
      </c>
      <c r="E3" s="17">
        <v>60</v>
      </c>
      <c r="F3" s="17">
        <v>2</v>
      </c>
      <c r="G3" s="17">
        <v>10</v>
      </c>
      <c r="H3" s="17">
        <v>25</v>
      </c>
      <c r="I3" s="17">
        <v>3</v>
      </c>
      <c r="J3" s="17">
        <v>14</v>
      </c>
      <c r="K3" s="17">
        <v>32</v>
      </c>
      <c r="L3" s="17">
        <v>3</v>
      </c>
      <c r="M3" s="17">
        <v>12</v>
      </c>
      <c r="N3" s="17">
        <v>28</v>
      </c>
      <c r="O3" s="17">
        <v>2</v>
      </c>
      <c r="P3" s="17">
        <v>8</v>
      </c>
      <c r="Q3" s="17">
        <v>21</v>
      </c>
      <c r="R3" s="17">
        <v>0.8</v>
      </c>
      <c r="S3" s="17">
        <v>0.4</v>
      </c>
      <c r="T3" s="17">
        <v>4</v>
      </c>
      <c r="U3" s="17">
        <v>6</v>
      </c>
      <c r="V3" s="17">
        <v>6</v>
      </c>
      <c r="W3" s="17">
        <v>4</v>
      </c>
    </row>
    <row r="4" spans="1:23" ht="15.75" customHeight="1">
      <c r="A4" s="205" t="s">
        <v>190</v>
      </c>
      <c r="B4" s="17">
        <v>0.64</v>
      </c>
      <c r="C4" s="17" t="s">
        <v>2425</v>
      </c>
      <c r="D4" s="17" t="s">
        <v>2469</v>
      </c>
      <c r="E4" s="17">
        <v>60</v>
      </c>
      <c r="F4" s="17">
        <v>2</v>
      </c>
      <c r="G4" s="17">
        <v>10</v>
      </c>
      <c r="H4" s="17">
        <v>25</v>
      </c>
      <c r="I4" s="17">
        <v>3</v>
      </c>
      <c r="J4" s="17">
        <v>14</v>
      </c>
      <c r="K4" s="17">
        <v>32</v>
      </c>
      <c r="L4" s="17">
        <v>3</v>
      </c>
      <c r="M4" s="17">
        <v>12</v>
      </c>
      <c r="N4" s="17">
        <v>28</v>
      </c>
      <c r="O4" s="17">
        <v>2</v>
      </c>
      <c r="P4" s="17">
        <v>8</v>
      </c>
      <c r="Q4" s="17">
        <v>21</v>
      </c>
      <c r="R4" s="17">
        <v>0.8</v>
      </c>
      <c r="S4" s="17">
        <v>0.4</v>
      </c>
      <c r="T4" s="17">
        <v>4</v>
      </c>
      <c r="U4" s="17">
        <v>6</v>
      </c>
      <c r="V4" s="17">
        <v>6</v>
      </c>
      <c r="W4" s="17">
        <v>4</v>
      </c>
    </row>
    <row r="5" spans="1:23" ht="15.75" customHeight="1">
      <c r="A5" s="207" t="s">
        <v>296</v>
      </c>
      <c r="B5" s="17">
        <v>5.53</v>
      </c>
      <c r="C5" s="17" t="s">
        <v>2425</v>
      </c>
      <c r="D5" s="17" t="s">
        <v>2468</v>
      </c>
      <c r="E5" s="17">
        <v>60</v>
      </c>
      <c r="F5" s="17">
        <v>2</v>
      </c>
      <c r="G5" s="17">
        <v>19</v>
      </c>
      <c r="H5" s="17">
        <v>42</v>
      </c>
      <c r="I5" s="17">
        <v>4</v>
      </c>
      <c r="J5" s="17">
        <v>26</v>
      </c>
      <c r="K5" s="17">
        <v>54</v>
      </c>
      <c r="L5" s="17">
        <v>3</v>
      </c>
      <c r="M5" s="17">
        <v>23</v>
      </c>
      <c r="N5" s="17">
        <v>48</v>
      </c>
      <c r="O5" s="17">
        <v>2</v>
      </c>
      <c r="P5" s="17">
        <v>16</v>
      </c>
      <c r="Q5" s="17">
        <v>36</v>
      </c>
      <c r="R5" s="17">
        <v>0.75</v>
      </c>
      <c r="S5" s="17">
        <v>0.35</v>
      </c>
      <c r="T5" s="17">
        <v>7</v>
      </c>
      <c r="U5" s="17">
        <v>10</v>
      </c>
      <c r="V5" s="17">
        <v>8</v>
      </c>
      <c r="W5" s="17">
        <v>6</v>
      </c>
    </row>
    <row r="6" spans="1:23" ht="15.75" customHeight="1">
      <c r="A6" s="208" t="s">
        <v>376</v>
      </c>
      <c r="B6" s="17">
        <v>0</v>
      </c>
      <c r="C6" s="17" t="s">
        <v>2425</v>
      </c>
      <c r="D6" s="17" t="s">
        <v>2469</v>
      </c>
      <c r="E6" s="17">
        <v>60</v>
      </c>
      <c r="F6" s="17">
        <v>2</v>
      </c>
      <c r="G6" s="17">
        <v>10</v>
      </c>
      <c r="H6" s="17">
        <v>25</v>
      </c>
      <c r="I6" s="17">
        <v>3</v>
      </c>
      <c r="J6" s="17">
        <v>14</v>
      </c>
      <c r="K6" s="17">
        <v>32</v>
      </c>
      <c r="L6" s="17">
        <v>3</v>
      </c>
      <c r="M6" s="17">
        <v>12</v>
      </c>
      <c r="N6" s="17">
        <v>28</v>
      </c>
      <c r="O6" s="17">
        <v>2</v>
      </c>
      <c r="P6" s="17">
        <v>8</v>
      </c>
      <c r="Q6" s="17">
        <v>21</v>
      </c>
      <c r="R6" s="17">
        <v>0.8</v>
      </c>
      <c r="S6" s="17">
        <v>0.4</v>
      </c>
      <c r="T6" s="17">
        <v>4</v>
      </c>
      <c r="U6" s="17">
        <v>6</v>
      </c>
      <c r="V6" s="17">
        <v>6</v>
      </c>
      <c r="W6" s="17">
        <v>4</v>
      </c>
    </row>
    <row r="7" spans="1:23" ht="15.75" customHeight="1">
      <c r="A7" s="210" t="s">
        <v>397</v>
      </c>
      <c r="B7" s="17">
        <v>1.61</v>
      </c>
      <c r="C7" s="17" t="s">
        <v>2425</v>
      </c>
      <c r="D7" s="17" t="s">
        <v>2468</v>
      </c>
      <c r="E7" s="17">
        <v>60</v>
      </c>
      <c r="F7" s="17">
        <v>2</v>
      </c>
      <c r="G7" s="17">
        <v>10</v>
      </c>
      <c r="H7" s="17">
        <v>25</v>
      </c>
      <c r="I7" s="17">
        <v>3</v>
      </c>
      <c r="J7" s="17">
        <v>14</v>
      </c>
      <c r="K7" s="17">
        <v>32</v>
      </c>
      <c r="L7" s="17">
        <v>3</v>
      </c>
      <c r="M7" s="17">
        <v>12</v>
      </c>
      <c r="N7" s="17">
        <v>28</v>
      </c>
      <c r="O7" s="17">
        <v>2</v>
      </c>
      <c r="P7" s="17">
        <v>8</v>
      </c>
      <c r="Q7" s="17">
        <v>21</v>
      </c>
      <c r="R7" s="17">
        <v>0.8</v>
      </c>
      <c r="S7" s="17">
        <v>0.4</v>
      </c>
      <c r="T7" s="17">
        <v>4</v>
      </c>
      <c r="U7" s="17">
        <v>6</v>
      </c>
      <c r="V7" s="17">
        <v>6</v>
      </c>
      <c r="W7" s="17">
        <v>4</v>
      </c>
    </row>
    <row r="8" spans="1:23" ht="15.75" customHeight="1">
      <c r="A8" s="211" t="s">
        <v>319</v>
      </c>
      <c r="B8" s="17">
        <v>1.84</v>
      </c>
      <c r="C8" s="17" t="s">
        <v>2425</v>
      </c>
      <c r="D8" s="17" t="s">
        <v>2468</v>
      </c>
      <c r="E8" s="17">
        <v>60</v>
      </c>
      <c r="F8" s="17">
        <v>2</v>
      </c>
      <c r="G8" s="17">
        <v>10</v>
      </c>
      <c r="H8" s="17">
        <v>25</v>
      </c>
      <c r="I8" s="17">
        <v>3</v>
      </c>
      <c r="J8" s="17">
        <v>14</v>
      </c>
      <c r="K8" s="17">
        <v>32</v>
      </c>
      <c r="L8" s="17">
        <v>3</v>
      </c>
      <c r="M8" s="17">
        <v>12</v>
      </c>
      <c r="N8" s="17">
        <v>28</v>
      </c>
      <c r="O8" s="17">
        <v>2</v>
      </c>
      <c r="P8" s="17">
        <v>8</v>
      </c>
      <c r="Q8" s="17">
        <v>21</v>
      </c>
      <c r="R8" s="17">
        <v>0.8</v>
      </c>
      <c r="S8" s="17">
        <v>0.4</v>
      </c>
      <c r="T8" s="17">
        <v>4</v>
      </c>
      <c r="U8" s="17">
        <v>6</v>
      </c>
      <c r="V8" s="17">
        <v>6</v>
      </c>
      <c r="W8" s="17">
        <v>4</v>
      </c>
    </row>
    <row r="9" spans="1:23" ht="15.75" customHeight="1">
      <c r="A9" s="212" t="s">
        <v>637</v>
      </c>
      <c r="B9" s="17">
        <v>1.45</v>
      </c>
      <c r="C9" s="17" t="s">
        <v>2425</v>
      </c>
      <c r="D9" s="17" t="s">
        <v>2468</v>
      </c>
      <c r="E9" s="17">
        <v>60</v>
      </c>
      <c r="F9" s="17">
        <v>2</v>
      </c>
      <c r="G9" s="17">
        <v>10</v>
      </c>
      <c r="H9" s="17">
        <v>25</v>
      </c>
      <c r="I9" s="17">
        <v>3</v>
      </c>
      <c r="J9" s="17">
        <v>14</v>
      </c>
      <c r="K9" s="17">
        <v>32</v>
      </c>
      <c r="L9" s="17">
        <v>3</v>
      </c>
      <c r="M9" s="17">
        <v>12</v>
      </c>
      <c r="N9" s="17">
        <v>28</v>
      </c>
      <c r="O9" s="17">
        <v>2</v>
      </c>
      <c r="P9" s="17">
        <v>8</v>
      </c>
      <c r="Q9" s="17">
        <v>21</v>
      </c>
      <c r="R9" s="17">
        <v>0.8</v>
      </c>
      <c r="S9" s="17">
        <v>0.4</v>
      </c>
      <c r="T9" s="17">
        <v>4</v>
      </c>
      <c r="U9" s="17">
        <v>6</v>
      </c>
      <c r="V9" s="17">
        <v>6</v>
      </c>
      <c r="W9" s="17">
        <v>4</v>
      </c>
    </row>
    <row r="10" spans="1:23" ht="15.75" customHeight="1">
      <c r="A10" s="214" t="s">
        <v>330</v>
      </c>
      <c r="B10" s="17">
        <v>0.47</v>
      </c>
      <c r="C10" s="17" t="s">
        <v>2425</v>
      </c>
      <c r="D10" s="17" t="s">
        <v>2468</v>
      </c>
      <c r="E10" s="17">
        <v>60</v>
      </c>
      <c r="F10" s="17">
        <v>2</v>
      </c>
      <c r="G10" s="17">
        <v>10</v>
      </c>
      <c r="H10" s="17">
        <v>25</v>
      </c>
      <c r="I10" s="17">
        <v>3</v>
      </c>
      <c r="J10" s="17">
        <v>14</v>
      </c>
      <c r="K10" s="17">
        <v>32</v>
      </c>
      <c r="L10" s="17">
        <v>3</v>
      </c>
      <c r="M10" s="17">
        <v>12</v>
      </c>
      <c r="N10" s="17">
        <v>28</v>
      </c>
      <c r="O10" s="17">
        <v>2</v>
      </c>
      <c r="P10" s="17">
        <v>8</v>
      </c>
      <c r="Q10" s="17">
        <v>21</v>
      </c>
      <c r="R10" s="17">
        <v>0.8</v>
      </c>
      <c r="S10" s="17">
        <v>0.4</v>
      </c>
      <c r="T10" s="17">
        <v>4</v>
      </c>
      <c r="U10" s="17">
        <v>6</v>
      </c>
      <c r="V10" s="17">
        <v>6</v>
      </c>
      <c r="W10" s="17">
        <v>4</v>
      </c>
    </row>
    <row r="11" spans="1:23" ht="15.75" customHeight="1">
      <c r="A11" s="215" t="s">
        <v>985</v>
      </c>
      <c r="B11" s="17">
        <v>4.25</v>
      </c>
      <c r="C11" s="17" t="s">
        <v>2425</v>
      </c>
      <c r="D11" s="17" t="s">
        <v>2468</v>
      </c>
      <c r="E11" s="17">
        <v>60</v>
      </c>
      <c r="F11" s="17">
        <v>2</v>
      </c>
      <c r="G11" s="17">
        <v>19</v>
      </c>
      <c r="H11" s="17">
        <v>42</v>
      </c>
      <c r="I11" s="17">
        <v>4</v>
      </c>
      <c r="J11" s="17">
        <v>26</v>
      </c>
      <c r="K11" s="17">
        <v>54</v>
      </c>
      <c r="L11" s="17">
        <v>3</v>
      </c>
      <c r="M11" s="17">
        <v>23</v>
      </c>
      <c r="N11" s="17">
        <v>48</v>
      </c>
      <c r="O11" s="17">
        <v>2</v>
      </c>
      <c r="P11" s="17">
        <v>16</v>
      </c>
      <c r="Q11" s="17">
        <v>36</v>
      </c>
      <c r="R11" s="17">
        <v>0.75</v>
      </c>
      <c r="S11" s="17">
        <v>0.35</v>
      </c>
      <c r="T11" s="17">
        <v>7</v>
      </c>
      <c r="U11" s="17">
        <v>10</v>
      </c>
      <c r="V11" s="17">
        <v>8</v>
      </c>
      <c r="W11" s="17">
        <v>6</v>
      </c>
    </row>
    <row r="12" spans="1:23" ht="15.75" customHeight="1">
      <c r="A12" s="216" t="s">
        <v>790</v>
      </c>
      <c r="B12" s="17">
        <v>0.72</v>
      </c>
      <c r="C12" s="17" t="s">
        <v>2425</v>
      </c>
      <c r="D12" s="17" t="s">
        <v>2468</v>
      </c>
      <c r="E12" s="17">
        <v>60</v>
      </c>
      <c r="F12" s="17">
        <v>2</v>
      </c>
      <c r="G12" s="17">
        <v>10</v>
      </c>
      <c r="H12" s="17">
        <v>25</v>
      </c>
      <c r="I12" s="17">
        <v>3</v>
      </c>
      <c r="J12" s="17">
        <v>14</v>
      </c>
      <c r="K12" s="17">
        <v>32</v>
      </c>
      <c r="L12" s="17">
        <v>3</v>
      </c>
      <c r="M12" s="17">
        <v>12</v>
      </c>
      <c r="N12" s="17">
        <v>28</v>
      </c>
      <c r="O12" s="17">
        <v>2</v>
      </c>
      <c r="P12" s="17">
        <v>8</v>
      </c>
      <c r="Q12" s="17">
        <v>21</v>
      </c>
      <c r="R12" s="17">
        <v>0.8</v>
      </c>
      <c r="S12" s="17">
        <v>0.4</v>
      </c>
      <c r="T12" s="17">
        <v>4</v>
      </c>
      <c r="U12" s="17">
        <v>6</v>
      </c>
      <c r="V12" s="17">
        <v>6</v>
      </c>
      <c r="W12" s="17">
        <v>4</v>
      </c>
    </row>
    <row r="13" spans="1:23" ht="15.75" customHeight="1">
      <c r="A13" s="217" t="s">
        <v>60</v>
      </c>
      <c r="B13" s="17">
        <v>7.72</v>
      </c>
      <c r="C13" s="17" t="s">
        <v>2425</v>
      </c>
      <c r="D13" s="17" t="s">
        <v>2468</v>
      </c>
      <c r="E13" s="17">
        <v>60</v>
      </c>
      <c r="F13" s="17">
        <v>2</v>
      </c>
      <c r="G13" s="17">
        <v>19</v>
      </c>
      <c r="H13" s="17">
        <v>42</v>
      </c>
      <c r="I13" s="17">
        <v>4</v>
      </c>
      <c r="J13" s="17">
        <v>26</v>
      </c>
      <c r="K13" s="17">
        <v>54</v>
      </c>
      <c r="L13" s="17">
        <v>3</v>
      </c>
      <c r="M13" s="17">
        <v>23</v>
      </c>
      <c r="N13" s="17">
        <v>48</v>
      </c>
      <c r="O13" s="17">
        <v>2</v>
      </c>
      <c r="P13" s="17">
        <v>16</v>
      </c>
      <c r="Q13" s="17">
        <v>36</v>
      </c>
      <c r="R13" s="17">
        <v>0.75</v>
      </c>
      <c r="S13" s="17">
        <v>0.35</v>
      </c>
      <c r="T13" s="17">
        <v>7</v>
      </c>
      <c r="U13" s="17">
        <v>10</v>
      </c>
      <c r="V13" s="17">
        <v>8</v>
      </c>
      <c r="W13" s="17">
        <v>6</v>
      </c>
    </row>
    <row r="14" spans="1:23" ht="15.75" customHeight="1">
      <c r="A14" s="218" t="s">
        <v>73</v>
      </c>
      <c r="B14" s="17">
        <v>6.78</v>
      </c>
      <c r="C14" s="17" t="s">
        <v>2425</v>
      </c>
      <c r="D14" s="17" t="s">
        <v>2469</v>
      </c>
      <c r="E14" s="17">
        <v>60</v>
      </c>
      <c r="F14" s="17">
        <v>2</v>
      </c>
      <c r="G14" s="17">
        <v>19</v>
      </c>
      <c r="H14" s="17">
        <v>42</v>
      </c>
      <c r="I14" s="17">
        <v>4</v>
      </c>
      <c r="J14" s="17">
        <v>26</v>
      </c>
      <c r="K14" s="17">
        <v>54</v>
      </c>
      <c r="L14" s="17">
        <v>3</v>
      </c>
      <c r="M14" s="17">
        <v>23</v>
      </c>
      <c r="N14" s="17">
        <v>48</v>
      </c>
      <c r="O14" s="17">
        <v>2</v>
      </c>
      <c r="P14" s="17">
        <v>16</v>
      </c>
      <c r="Q14" s="17">
        <v>36</v>
      </c>
      <c r="R14" s="17">
        <v>0.75</v>
      </c>
      <c r="S14" s="17">
        <v>0.35</v>
      </c>
      <c r="T14" s="17">
        <v>7</v>
      </c>
      <c r="U14" s="17">
        <v>10</v>
      </c>
      <c r="V14" s="17">
        <v>8</v>
      </c>
      <c r="W14" s="17">
        <v>6</v>
      </c>
    </row>
    <row r="15" spans="1:23" ht="15.75" customHeight="1">
      <c r="A15" s="219" t="s">
        <v>307</v>
      </c>
      <c r="B15" s="17">
        <v>0.3</v>
      </c>
      <c r="C15" s="17" t="s">
        <v>2425</v>
      </c>
      <c r="D15" s="17" t="s">
        <v>2469</v>
      </c>
      <c r="E15" s="17">
        <v>60</v>
      </c>
      <c r="F15" s="17">
        <v>2</v>
      </c>
      <c r="G15" s="17">
        <v>10</v>
      </c>
      <c r="H15" s="17">
        <v>25</v>
      </c>
      <c r="I15" s="17">
        <v>3</v>
      </c>
      <c r="J15" s="17">
        <v>14</v>
      </c>
      <c r="K15" s="17">
        <v>32</v>
      </c>
      <c r="L15" s="17">
        <v>3</v>
      </c>
      <c r="M15" s="17">
        <v>12</v>
      </c>
      <c r="N15" s="17">
        <v>28</v>
      </c>
      <c r="O15" s="17">
        <v>2</v>
      </c>
      <c r="P15" s="17">
        <v>8</v>
      </c>
      <c r="Q15" s="17">
        <v>21</v>
      </c>
      <c r="R15" s="17">
        <v>0.8</v>
      </c>
      <c r="S15" s="17">
        <v>0.4</v>
      </c>
      <c r="T15" s="17">
        <v>4</v>
      </c>
      <c r="U15" s="17">
        <v>6</v>
      </c>
      <c r="V15" s="17">
        <v>6</v>
      </c>
      <c r="W15" s="17">
        <v>4</v>
      </c>
    </row>
    <row r="16" spans="1:23" ht="15.75" customHeight="1">
      <c r="A16" s="220" t="s">
        <v>1542</v>
      </c>
      <c r="B16" s="17">
        <v>0.43</v>
      </c>
      <c r="C16" s="17" t="s">
        <v>2425</v>
      </c>
      <c r="D16" s="17" t="s">
        <v>2468</v>
      </c>
      <c r="E16" s="17">
        <v>60</v>
      </c>
      <c r="F16" s="17">
        <v>2</v>
      </c>
      <c r="G16" s="17">
        <v>10</v>
      </c>
      <c r="H16" s="17">
        <v>25</v>
      </c>
      <c r="I16" s="17">
        <v>3</v>
      </c>
      <c r="J16" s="17">
        <v>14</v>
      </c>
      <c r="K16" s="17">
        <v>32</v>
      </c>
      <c r="L16" s="17">
        <v>3</v>
      </c>
      <c r="M16" s="17">
        <v>12</v>
      </c>
      <c r="N16" s="17">
        <v>28</v>
      </c>
      <c r="O16" s="17">
        <v>2</v>
      </c>
      <c r="P16" s="17">
        <v>8</v>
      </c>
      <c r="Q16" s="17">
        <v>21</v>
      </c>
      <c r="R16" s="17">
        <v>0.8</v>
      </c>
      <c r="S16" s="17">
        <v>0.4</v>
      </c>
      <c r="T16" s="17">
        <v>4</v>
      </c>
      <c r="U16" s="17">
        <v>6</v>
      </c>
      <c r="V16" s="17">
        <v>6</v>
      </c>
      <c r="W16" s="17">
        <v>4</v>
      </c>
    </row>
    <row r="17" spans="1:23" ht="15.75" customHeight="1">
      <c r="A17" s="223" t="s">
        <v>109</v>
      </c>
      <c r="B17" s="17">
        <v>1.89</v>
      </c>
      <c r="C17" s="17" t="s">
        <v>2434</v>
      </c>
      <c r="D17" s="17" t="s">
        <v>2469</v>
      </c>
      <c r="E17" s="17">
        <v>26</v>
      </c>
      <c r="F17" s="17">
        <v>2</v>
      </c>
      <c r="G17" s="17">
        <v>10</v>
      </c>
      <c r="H17" s="17">
        <v>18</v>
      </c>
      <c r="I17" s="17">
        <v>3</v>
      </c>
      <c r="J17" s="17">
        <v>14</v>
      </c>
      <c r="K17" s="17">
        <v>29</v>
      </c>
      <c r="L17" s="17">
        <v>3</v>
      </c>
      <c r="M17" s="17">
        <v>12</v>
      </c>
      <c r="N17" s="17">
        <v>25</v>
      </c>
      <c r="O17" s="17">
        <v>2</v>
      </c>
      <c r="P17" s="17">
        <v>8</v>
      </c>
      <c r="Q17" s="17">
        <v>16</v>
      </c>
      <c r="R17" s="17">
        <v>0.8</v>
      </c>
      <c r="S17" s="17">
        <v>0.4</v>
      </c>
      <c r="T17" s="17">
        <v>4</v>
      </c>
      <c r="U17" s="17">
        <v>6</v>
      </c>
      <c r="V17" s="17">
        <v>6</v>
      </c>
      <c r="W17" s="17">
        <v>4</v>
      </c>
    </row>
    <row r="18" spans="1:23" ht="15.75" customHeight="1">
      <c r="A18" s="224" t="s">
        <v>214</v>
      </c>
      <c r="B18" s="17">
        <v>1.23</v>
      </c>
      <c r="C18" s="17" t="s">
        <v>2434</v>
      </c>
      <c r="D18" s="17" t="s">
        <v>2469</v>
      </c>
      <c r="E18" s="17">
        <v>26</v>
      </c>
      <c r="F18" s="17">
        <v>2</v>
      </c>
      <c r="G18" s="17">
        <v>10</v>
      </c>
      <c r="H18" s="17">
        <v>18</v>
      </c>
      <c r="I18" s="17">
        <v>3</v>
      </c>
      <c r="J18" s="17">
        <v>14</v>
      </c>
      <c r="K18" s="17">
        <v>29</v>
      </c>
      <c r="L18" s="17">
        <v>3</v>
      </c>
      <c r="M18" s="17">
        <v>12</v>
      </c>
      <c r="N18" s="17">
        <v>25</v>
      </c>
      <c r="O18" s="17">
        <v>2</v>
      </c>
      <c r="P18" s="17">
        <v>8</v>
      </c>
      <c r="Q18" s="17">
        <v>16</v>
      </c>
      <c r="R18" s="17">
        <v>0.8</v>
      </c>
      <c r="S18" s="17">
        <v>0.4</v>
      </c>
      <c r="T18" s="17">
        <v>4</v>
      </c>
      <c r="U18" s="17">
        <v>6</v>
      </c>
      <c r="V18" s="17">
        <v>6</v>
      </c>
      <c r="W18" s="17">
        <v>4</v>
      </c>
    </row>
    <row r="19" spans="1:23" ht="15.75" customHeight="1">
      <c r="A19" s="196" t="s">
        <v>1779</v>
      </c>
      <c r="B19" s="17">
        <v>1.58</v>
      </c>
      <c r="C19" s="17" t="s">
        <v>2436</v>
      </c>
      <c r="D19" s="17" t="s">
        <v>2469</v>
      </c>
      <c r="E19" s="17">
        <v>60</v>
      </c>
      <c r="F19" s="17">
        <v>2</v>
      </c>
      <c r="G19" s="17">
        <v>12</v>
      </c>
      <c r="H19" s="17">
        <v>19</v>
      </c>
      <c r="I19" s="17">
        <v>3</v>
      </c>
      <c r="J19" s="17">
        <v>15</v>
      </c>
      <c r="K19" s="17">
        <v>24</v>
      </c>
      <c r="L19" s="17">
        <v>3</v>
      </c>
      <c r="M19" s="17">
        <v>13</v>
      </c>
      <c r="N19" s="17">
        <v>21</v>
      </c>
      <c r="O19" s="17">
        <v>2</v>
      </c>
      <c r="P19" s="17">
        <v>10</v>
      </c>
      <c r="Q19" s="17">
        <v>16</v>
      </c>
      <c r="R19" s="17">
        <v>0.8</v>
      </c>
      <c r="S19" s="17">
        <v>0.4</v>
      </c>
      <c r="T19" s="17">
        <v>5</v>
      </c>
      <c r="U19" s="17">
        <v>6</v>
      </c>
      <c r="V19" s="17">
        <v>6</v>
      </c>
      <c r="W19" s="17">
        <v>4</v>
      </c>
    </row>
    <row r="20" spans="1:23" ht="15.75" customHeight="1">
      <c r="A20" s="196" t="s">
        <v>888</v>
      </c>
      <c r="B20" s="17">
        <v>0.18</v>
      </c>
      <c r="C20" s="17" t="s">
        <v>2437</v>
      </c>
      <c r="D20" s="17" t="s">
        <v>2469</v>
      </c>
      <c r="E20" s="17">
        <v>0</v>
      </c>
      <c r="F20" s="17">
        <v>2</v>
      </c>
      <c r="G20" s="17">
        <v>8</v>
      </c>
      <c r="H20" s="17">
        <v>18</v>
      </c>
      <c r="I20" s="17">
        <v>3</v>
      </c>
      <c r="J20" s="17">
        <v>11</v>
      </c>
      <c r="K20" s="17">
        <v>29</v>
      </c>
      <c r="L20" s="17">
        <v>3</v>
      </c>
      <c r="M20" s="17">
        <v>10</v>
      </c>
      <c r="N20" s="17">
        <v>25</v>
      </c>
      <c r="O20" s="17">
        <v>2</v>
      </c>
      <c r="P20" s="17">
        <v>7</v>
      </c>
      <c r="Q20" s="17">
        <v>16</v>
      </c>
      <c r="R20" s="17">
        <v>0.8</v>
      </c>
      <c r="S20" s="17">
        <v>0.4</v>
      </c>
      <c r="T20" s="17">
        <v>4</v>
      </c>
      <c r="U20" s="17">
        <v>5</v>
      </c>
      <c r="V20" s="17">
        <v>5</v>
      </c>
      <c r="W20" s="17">
        <v>4</v>
      </c>
    </row>
    <row r="21" spans="1:23" ht="15.75" customHeight="1">
      <c r="A21" s="227" t="s">
        <v>873</v>
      </c>
      <c r="B21" s="17">
        <v>0</v>
      </c>
      <c r="C21" s="17" t="s">
        <v>2437</v>
      </c>
      <c r="D21" s="17" t="s">
        <v>2469</v>
      </c>
      <c r="E21" s="17">
        <v>0</v>
      </c>
      <c r="F21" s="17">
        <v>2</v>
      </c>
      <c r="G21" s="17">
        <v>8</v>
      </c>
      <c r="H21" s="17">
        <v>18</v>
      </c>
      <c r="I21" s="17">
        <v>3</v>
      </c>
      <c r="J21" s="17">
        <v>11</v>
      </c>
      <c r="K21" s="17">
        <v>29</v>
      </c>
      <c r="L21" s="17">
        <v>3</v>
      </c>
      <c r="M21" s="17">
        <v>10</v>
      </c>
      <c r="N21" s="17">
        <v>25</v>
      </c>
      <c r="O21" s="17">
        <v>2</v>
      </c>
      <c r="P21" s="17">
        <v>7</v>
      </c>
      <c r="Q21" s="17">
        <v>16</v>
      </c>
      <c r="R21" s="17">
        <v>0.8</v>
      </c>
      <c r="S21" s="17">
        <v>0.4</v>
      </c>
      <c r="T21" s="17">
        <v>4</v>
      </c>
      <c r="U21" s="17">
        <v>5</v>
      </c>
      <c r="V21" s="17">
        <v>5</v>
      </c>
      <c r="W21" s="17">
        <v>4</v>
      </c>
    </row>
    <row r="22" spans="1:23" ht="15.75" customHeight="1">
      <c r="A22" s="228" t="s">
        <v>859</v>
      </c>
      <c r="B22" s="17">
        <v>0.08</v>
      </c>
      <c r="C22" s="17" t="s">
        <v>2437</v>
      </c>
      <c r="D22" s="17" t="s">
        <v>2469</v>
      </c>
      <c r="E22" s="17">
        <v>0</v>
      </c>
      <c r="F22" s="17">
        <v>2</v>
      </c>
      <c r="G22" s="17">
        <v>8</v>
      </c>
      <c r="H22" s="17">
        <v>18</v>
      </c>
      <c r="I22" s="17">
        <v>3</v>
      </c>
      <c r="J22" s="17">
        <v>11</v>
      </c>
      <c r="K22" s="17">
        <v>29</v>
      </c>
      <c r="L22" s="17">
        <v>3</v>
      </c>
      <c r="M22" s="17">
        <v>10</v>
      </c>
      <c r="N22" s="17">
        <v>25</v>
      </c>
      <c r="O22" s="17">
        <v>2</v>
      </c>
      <c r="P22" s="17">
        <v>7</v>
      </c>
      <c r="Q22" s="17">
        <v>16</v>
      </c>
      <c r="R22" s="17">
        <v>0.8</v>
      </c>
      <c r="S22" s="17">
        <v>0.4</v>
      </c>
      <c r="T22" s="17">
        <v>4</v>
      </c>
      <c r="U22" s="17">
        <v>5</v>
      </c>
      <c r="V22" s="17">
        <v>5</v>
      </c>
      <c r="W22" s="17">
        <v>4</v>
      </c>
    </row>
    <row r="23" spans="1:23" ht="15.75" customHeight="1">
      <c r="A23" s="196" t="s">
        <v>1190</v>
      </c>
      <c r="B23" s="17">
        <v>0</v>
      </c>
      <c r="C23" s="17" t="s">
        <v>2438</v>
      </c>
      <c r="D23" s="17" t="s">
        <v>2469</v>
      </c>
      <c r="E23" s="17">
        <v>0</v>
      </c>
      <c r="F23" s="17">
        <v>1</v>
      </c>
      <c r="G23" s="17" t="s">
        <v>2470</v>
      </c>
      <c r="H23" s="17" t="s">
        <v>2470</v>
      </c>
      <c r="I23" s="17">
        <v>2</v>
      </c>
      <c r="J23" s="17" t="s">
        <v>2470</v>
      </c>
      <c r="K23" s="17" t="s">
        <v>2470</v>
      </c>
      <c r="L23" s="17">
        <v>2</v>
      </c>
      <c r="M23" s="17" t="s">
        <v>2470</v>
      </c>
      <c r="N23" s="17" t="s">
        <v>2470</v>
      </c>
      <c r="O23" s="17">
        <v>1</v>
      </c>
      <c r="P23" s="17" t="s">
        <v>2470</v>
      </c>
      <c r="Q23" s="17" t="s">
        <v>2470</v>
      </c>
      <c r="R23" s="17">
        <v>0.75</v>
      </c>
      <c r="S23" s="17">
        <v>0.5</v>
      </c>
      <c r="T23" s="17">
        <v>3</v>
      </c>
      <c r="U23" s="17">
        <v>5</v>
      </c>
      <c r="V23" s="17">
        <v>4</v>
      </c>
      <c r="W23" s="17">
        <v>3</v>
      </c>
    </row>
    <row r="24" spans="1:23" ht="15.75" customHeight="1">
      <c r="A24" s="230" t="s">
        <v>1182</v>
      </c>
      <c r="B24" s="17">
        <v>0</v>
      </c>
      <c r="C24" s="17" t="s">
        <v>2438</v>
      </c>
      <c r="D24" s="17" t="s">
        <v>2469</v>
      </c>
      <c r="E24" s="17">
        <v>0</v>
      </c>
      <c r="F24" s="17">
        <v>1</v>
      </c>
      <c r="G24" s="17" t="s">
        <v>2470</v>
      </c>
      <c r="H24" s="17" t="s">
        <v>2470</v>
      </c>
      <c r="I24" s="17">
        <v>2</v>
      </c>
      <c r="J24" s="17" t="s">
        <v>2470</v>
      </c>
      <c r="K24" s="17" t="s">
        <v>2470</v>
      </c>
      <c r="L24" s="17">
        <v>2</v>
      </c>
      <c r="M24" s="17" t="s">
        <v>2470</v>
      </c>
      <c r="N24" s="17" t="s">
        <v>2470</v>
      </c>
      <c r="O24" s="17">
        <v>1</v>
      </c>
      <c r="P24" s="17" t="s">
        <v>2470</v>
      </c>
      <c r="Q24" s="17" t="s">
        <v>2470</v>
      </c>
      <c r="R24" s="17">
        <v>0.75</v>
      </c>
      <c r="S24" s="17">
        <v>0.5</v>
      </c>
      <c r="T24" s="17">
        <v>3</v>
      </c>
      <c r="U24" s="17">
        <v>5</v>
      </c>
      <c r="V24" s="17">
        <v>4</v>
      </c>
      <c r="W24" s="17">
        <v>3</v>
      </c>
    </row>
    <row r="25" spans="1:23" ht="15.75" customHeight="1">
      <c r="A25" s="221" t="s">
        <v>1553</v>
      </c>
      <c r="B25" s="17">
        <v>0.48</v>
      </c>
      <c r="C25" s="17" t="s">
        <v>2425</v>
      </c>
      <c r="D25" s="17" t="s">
        <v>2469</v>
      </c>
      <c r="E25" s="17">
        <v>60</v>
      </c>
      <c r="F25" s="17">
        <v>2</v>
      </c>
      <c r="G25" s="17">
        <v>10</v>
      </c>
      <c r="H25" s="17">
        <v>25</v>
      </c>
      <c r="I25" s="17">
        <v>3</v>
      </c>
      <c r="J25" s="17">
        <v>14</v>
      </c>
      <c r="K25" s="17">
        <v>32</v>
      </c>
      <c r="L25" s="17">
        <v>3</v>
      </c>
      <c r="M25" s="17">
        <v>12</v>
      </c>
      <c r="N25" s="17">
        <v>28</v>
      </c>
      <c r="O25" s="17">
        <v>2</v>
      </c>
      <c r="P25" s="17">
        <v>8</v>
      </c>
      <c r="Q25" s="17">
        <v>21</v>
      </c>
      <c r="R25" s="17">
        <v>0.8</v>
      </c>
      <c r="S25" s="17">
        <v>0.4</v>
      </c>
      <c r="T25" s="17">
        <v>4</v>
      </c>
      <c r="U25" s="17">
        <v>6</v>
      </c>
      <c r="V25" s="17">
        <v>6</v>
      </c>
      <c r="W25" s="17">
        <v>4</v>
      </c>
    </row>
    <row r="26" spans="1:23" ht="15.75" customHeight="1">
      <c r="A26" s="231" t="s">
        <v>1209</v>
      </c>
      <c r="B26" s="17">
        <v>0</v>
      </c>
      <c r="C26" s="17" t="s">
        <v>2439</v>
      </c>
      <c r="D26" s="17" t="s">
        <v>2469</v>
      </c>
      <c r="E26" s="17">
        <v>0</v>
      </c>
      <c r="F26" s="17">
        <v>1</v>
      </c>
      <c r="G26" s="17" t="s">
        <v>2470</v>
      </c>
      <c r="H26" s="17" t="s">
        <v>2470</v>
      </c>
      <c r="I26" s="17">
        <v>2</v>
      </c>
      <c r="J26" s="17" t="s">
        <v>2470</v>
      </c>
      <c r="K26" s="17" t="s">
        <v>2470</v>
      </c>
      <c r="L26" s="17">
        <v>2</v>
      </c>
      <c r="M26" s="17" t="s">
        <v>2470</v>
      </c>
      <c r="N26" s="17" t="s">
        <v>2470</v>
      </c>
      <c r="O26" s="17">
        <v>1</v>
      </c>
      <c r="P26" s="17" t="s">
        <v>2470</v>
      </c>
      <c r="Q26" s="17" t="s">
        <v>2470</v>
      </c>
      <c r="R26" s="17">
        <v>0.75</v>
      </c>
      <c r="S26" s="17">
        <v>0.5</v>
      </c>
      <c r="T26" s="17">
        <v>3</v>
      </c>
      <c r="U26" s="17">
        <v>5</v>
      </c>
      <c r="V26" s="17">
        <v>4</v>
      </c>
      <c r="W26" s="17">
        <v>3</v>
      </c>
    </row>
    <row r="27" spans="1:23" ht="15.75" customHeight="1">
      <c r="A27" s="232" t="s">
        <v>1222</v>
      </c>
      <c r="B27" s="17">
        <v>0</v>
      </c>
      <c r="C27" s="17" t="s">
        <v>2439</v>
      </c>
      <c r="D27" s="17" t="s">
        <v>2469</v>
      </c>
      <c r="E27" s="17">
        <v>0</v>
      </c>
      <c r="F27" s="17">
        <v>1</v>
      </c>
      <c r="G27" s="17" t="s">
        <v>2470</v>
      </c>
      <c r="H27" s="17" t="s">
        <v>2470</v>
      </c>
      <c r="I27" s="17">
        <v>2</v>
      </c>
      <c r="J27" s="17" t="s">
        <v>2470</v>
      </c>
      <c r="K27" s="17" t="s">
        <v>2470</v>
      </c>
      <c r="L27" s="17">
        <v>2</v>
      </c>
      <c r="M27" s="17" t="s">
        <v>2470</v>
      </c>
      <c r="N27" s="17" t="s">
        <v>2470</v>
      </c>
      <c r="O27" s="17">
        <v>1</v>
      </c>
      <c r="P27" s="17" t="s">
        <v>2470</v>
      </c>
      <c r="Q27" s="17" t="s">
        <v>2470</v>
      </c>
      <c r="R27" s="17">
        <v>0.75</v>
      </c>
      <c r="S27" s="17">
        <v>0.5</v>
      </c>
      <c r="T27" s="17">
        <v>3</v>
      </c>
      <c r="U27" s="17">
        <v>5</v>
      </c>
      <c r="V27" s="17">
        <v>4</v>
      </c>
      <c r="W27" s="17">
        <v>3</v>
      </c>
    </row>
    <row r="28" spans="1:23" ht="16.8">
      <c r="A28" s="233" t="s">
        <v>1234</v>
      </c>
      <c r="B28" s="17">
        <v>0</v>
      </c>
      <c r="C28" s="17" t="s">
        <v>2440</v>
      </c>
      <c r="D28" s="17" t="s">
        <v>2469</v>
      </c>
      <c r="E28" s="17">
        <v>0</v>
      </c>
      <c r="F28" s="17">
        <v>1</v>
      </c>
      <c r="G28" s="17" t="s">
        <v>2470</v>
      </c>
      <c r="H28" s="17" t="s">
        <v>2470</v>
      </c>
      <c r="I28" s="17">
        <v>2</v>
      </c>
      <c r="J28" s="17" t="s">
        <v>2470</v>
      </c>
      <c r="K28" s="17" t="s">
        <v>2470</v>
      </c>
      <c r="L28" s="17">
        <v>2</v>
      </c>
      <c r="M28" s="17" t="s">
        <v>2470</v>
      </c>
      <c r="N28" s="17" t="s">
        <v>2470</v>
      </c>
      <c r="O28" s="17">
        <v>1</v>
      </c>
      <c r="P28" s="17" t="s">
        <v>2470</v>
      </c>
      <c r="Q28" s="17" t="s">
        <v>2470</v>
      </c>
      <c r="R28" s="17">
        <v>0.75</v>
      </c>
      <c r="S28" s="17">
        <v>0.5</v>
      </c>
      <c r="T28" s="17">
        <v>3</v>
      </c>
      <c r="U28" s="17">
        <v>5</v>
      </c>
      <c r="V28" s="17">
        <v>4</v>
      </c>
      <c r="W28" s="17">
        <v>3</v>
      </c>
    </row>
    <row r="29" spans="1:23" ht="16.8">
      <c r="A29" s="234" t="s">
        <v>1247</v>
      </c>
      <c r="B29" s="17">
        <v>0</v>
      </c>
      <c r="C29" s="17" t="s">
        <v>2440</v>
      </c>
      <c r="D29" s="17" t="s">
        <v>2469</v>
      </c>
      <c r="E29" s="17">
        <v>0</v>
      </c>
      <c r="F29" s="17">
        <v>1</v>
      </c>
      <c r="G29" s="17" t="s">
        <v>2470</v>
      </c>
      <c r="H29" s="17" t="s">
        <v>2470</v>
      </c>
      <c r="I29" s="17">
        <v>2</v>
      </c>
      <c r="J29" s="17" t="s">
        <v>2470</v>
      </c>
      <c r="K29" s="17" t="s">
        <v>2470</v>
      </c>
      <c r="L29" s="17">
        <v>2</v>
      </c>
      <c r="M29" s="17" t="s">
        <v>2470</v>
      </c>
      <c r="N29" s="17" t="s">
        <v>2470</v>
      </c>
      <c r="O29" s="17">
        <v>1</v>
      </c>
      <c r="P29" s="17" t="s">
        <v>2470</v>
      </c>
      <c r="Q29" s="17" t="s">
        <v>2470</v>
      </c>
      <c r="R29" s="17">
        <v>0.75</v>
      </c>
      <c r="S29" s="17">
        <v>0.5</v>
      </c>
      <c r="T29" s="17">
        <v>3</v>
      </c>
      <c r="U29" s="17">
        <v>5</v>
      </c>
      <c r="V29" s="17">
        <v>4</v>
      </c>
      <c r="W29" s="17">
        <v>3</v>
      </c>
    </row>
    <row r="30" spans="1:23" ht="16.8">
      <c r="A30" s="235" t="s">
        <v>1260</v>
      </c>
      <c r="B30" s="17">
        <v>0</v>
      </c>
      <c r="C30" s="17" t="s">
        <v>2439</v>
      </c>
      <c r="D30" s="17" t="s">
        <v>2469</v>
      </c>
      <c r="E30" s="17">
        <v>0</v>
      </c>
      <c r="F30" s="17">
        <v>1</v>
      </c>
      <c r="G30" s="17" t="s">
        <v>2470</v>
      </c>
      <c r="H30" s="17" t="s">
        <v>2470</v>
      </c>
      <c r="I30" s="17">
        <v>2</v>
      </c>
      <c r="J30" s="17" t="s">
        <v>2470</v>
      </c>
      <c r="K30" s="17" t="s">
        <v>2470</v>
      </c>
      <c r="L30" s="17">
        <v>2</v>
      </c>
      <c r="M30" s="17" t="s">
        <v>2470</v>
      </c>
      <c r="N30" s="17" t="s">
        <v>2470</v>
      </c>
      <c r="O30" s="17">
        <v>1</v>
      </c>
      <c r="P30" s="17" t="s">
        <v>2470</v>
      </c>
      <c r="Q30" s="17" t="s">
        <v>2470</v>
      </c>
      <c r="R30" s="17">
        <v>0.75</v>
      </c>
      <c r="S30" s="17">
        <v>0.5</v>
      </c>
      <c r="T30" s="17">
        <v>3</v>
      </c>
      <c r="U30" s="17">
        <v>5</v>
      </c>
      <c r="V30" s="17">
        <v>4</v>
      </c>
      <c r="W30" s="17">
        <v>3</v>
      </c>
    </row>
    <row r="31" spans="1:23" ht="16.8">
      <c r="A31" s="236" t="s">
        <v>1267</v>
      </c>
      <c r="B31" s="17">
        <v>0</v>
      </c>
      <c r="C31" s="17" t="s">
        <v>2439</v>
      </c>
      <c r="D31" s="17" t="s">
        <v>2469</v>
      </c>
      <c r="E31" s="17">
        <v>0</v>
      </c>
      <c r="F31" s="17">
        <v>1</v>
      </c>
      <c r="G31" s="17" t="s">
        <v>2470</v>
      </c>
      <c r="H31" s="17" t="s">
        <v>2470</v>
      </c>
      <c r="I31" s="17">
        <v>2</v>
      </c>
      <c r="J31" s="17" t="s">
        <v>2470</v>
      </c>
      <c r="K31" s="17" t="s">
        <v>2470</v>
      </c>
      <c r="L31" s="17">
        <v>2</v>
      </c>
      <c r="M31" s="17" t="s">
        <v>2470</v>
      </c>
      <c r="N31" s="17" t="s">
        <v>2470</v>
      </c>
      <c r="O31" s="17">
        <v>1</v>
      </c>
      <c r="P31" s="17" t="s">
        <v>2470</v>
      </c>
      <c r="Q31" s="17" t="s">
        <v>2470</v>
      </c>
      <c r="R31" s="17">
        <v>0.75</v>
      </c>
      <c r="S31" s="17">
        <v>0.5</v>
      </c>
      <c r="T31" s="17">
        <v>3</v>
      </c>
      <c r="U31" s="17">
        <v>5</v>
      </c>
      <c r="V31" s="17">
        <v>4</v>
      </c>
      <c r="W31" s="17">
        <v>3</v>
      </c>
    </row>
    <row r="32" spans="1:23" ht="16.8">
      <c r="A32" s="196" t="s">
        <v>1275</v>
      </c>
      <c r="B32" s="17">
        <v>0</v>
      </c>
      <c r="C32" s="17" t="s">
        <v>2439</v>
      </c>
      <c r="D32" s="17" t="s">
        <v>2469</v>
      </c>
      <c r="E32" s="17">
        <v>0</v>
      </c>
      <c r="F32" s="17">
        <v>1</v>
      </c>
      <c r="G32" s="17" t="s">
        <v>2470</v>
      </c>
      <c r="H32" s="17" t="s">
        <v>2470</v>
      </c>
      <c r="I32" s="17">
        <v>2</v>
      </c>
      <c r="J32" s="17" t="s">
        <v>2470</v>
      </c>
      <c r="K32" s="17" t="s">
        <v>2470</v>
      </c>
      <c r="L32" s="17">
        <v>2</v>
      </c>
      <c r="M32" s="17" t="s">
        <v>2470</v>
      </c>
      <c r="N32" s="17" t="s">
        <v>2470</v>
      </c>
      <c r="O32" s="17">
        <v>1</v>
      </c>
      <c r="P32" s="17" t="s">
        <v>2470</v>
      </c>
      <c r="Q32" s="17" t="s">
        <v>2470</v>
      </c>
      <c r="R32" s="17">
        <v>0.75</v>
      </c>
      <c r="S32" s="17">
        <v>0.5</v>
      </c>
      <c r="T32" s="17">
        <v>3</v>
      </c>
      <c r="U32" s="17">
        <v>5</v>
      </c>
      <c r="V32" s="17">
        <v>4</v>
      </c>
      <c r="W32" s="17">
        <v>3</v>
      </c>
    </row>
    <row r="33" spans="1:23" ht="16.8">
      <c r="A33" s="225" t="s">
        <v>1449</v>
      </c>
      <c r="B33" s="17">
        <v>0.24</v>
      </c>
      <c r="C33" s="17" t="s">
        <v>2434</v>
      </c>
      <c r="D33" s="17" t="s">
        <v>2469</v>
      </c>
      <c r="E33" s="17">
        <v>26</v>
      </c>
      <c r="F33" s="17">
        <v>2</v>
      </c>
      <c r="G33" s="17">
        <v>10</v>
      </c>
      <c r="H33" s="17">
        <v>18</v>
      </c>
      <c r="I33" s="17">
        <v>3</v>
      </c>
      <c r="J33" s="17">
        <v>14</v>
      </c>
      <c r="K33" s="17">
        <v>29</v>
      </c>
      <c r="L33" s="17">
        <v>3</v>
      </c>
      <c r="M33" s="17">
        <v>12</v>
      </c>
      <c r="N33" s="17">
        <v>25</v>
      </c>
      <c r="O33" s="17">
        <v>2</v>
      </c>
      <c r="P33" s="17">
        <v>8</v>
      </c>
      <c r="Q33" s="17">
        <v>16</v>
      </c>
      <c r="R33" s="17">
        <v>0.8</v>
      </c>
      <c r="S33" s="17">
        <v>0.4</v>
      </c>
      <c r="T33" s="17">
        <v>4</v>
      </c>
      <c r="U33" s="17">
        <v>6</v>
      </c>
      <c r="V33" s="17">
        <v>6</v>
      </c>
      <c r="W33" s="17">
        <v>4</v>
      </c>
    </row>
    <row r="34" spans="1:23" ht="17.399999999999999">
      <c r="A34" s="222" t="s">
        <v>86</v>
      </c>
      <c r="B34" s="17">
        <v>0</v>
      </c>
      <c r="C34" s="17" t="s">
        <v>2434</v>
      </c>
      <c r="D34" s="17" t="s">
        <v>2469</v>
      </c>
      <c r="E34" s="17">
        <v>26</v>
      </c>
      <c r="F34" s="17">
        <v>2</v>
      </c>
      <c r="G34" s="17">
        <v>10</v>
      </c>
      <c r="H34" s="17">
        <v>18</v>
      </c>
      <c r="I34" s="17">
        <v>3</v>
      </c>
      <c r="J34" s="17">
        <v>14</v>
      </c>
      <c r="K34" s="17">
        <v>29</v>
      </c>
      <c r="L34" s="17">
        <v>3</v>
      </c>
      <c r="M34" s="17">
        <v>12</v>
      </c>
      <c r="N34" s="17">
        <v>25</v>
      </c>
      <c r="O34" s="17">
        <v>2</v>
      </c>
      <c r="P34" s="17">
        <v>8</v>
      </c>
      <c r="Q34" s="17">
        <v>16</v>
      </c>
      <c r="R34" s="17">
        <v>0.8</v>
      </c>
      <c r="S34" s="17">
        <v>0.4</v>
      </c>
      <c r="T34" s="17">
        <v>4</v>
      </c>
      <c r="U34" s="17">
        <v>6</v>
      </c>
      <c r="V34" s="17">
        <v>6</v>
      </c>
      <c r="W34" s="17">
        <v>4</v>
      </c>
    </row>
    <row r="35" spans="1:23" ht="14.4">
      <c r="A35" s="253" t="s">
        <v>1493</v>
      </c>
      <c r="B35" s="17">
        <v>0.11</v>
      </c>
      <c r="C35" s="17" t="s">
        <v>2441</v>
      </c>
      <c r="D35" s="17" t="s">
        <v>2469</v>
      </c>
      <c r="E35" s="17">
        <v>0</v>
      </c>
      <c r="F35" s="17">
        <v>1</v>
      </c>
      <c r="G35" s="17" t="s">
        <v>2470</v>
      </c>
      <c r="H35" s="17" t="s">
        <v>2470</v>
      </c>
      <c r="I35" s="17">
        <v>2</v>
      </c>
      <c r="J35" s="17" t="s">
        <v>2470</v>
      </c>
      <c r="K35" s="17" t="s">
        <v>2470</v>
      </c>
      <c r="L35" s="17">
        <v>2</v>
      </c>
      <c r="M35" s="17" t="s">
        <v>2470</v>
      </c>
      <c r="N35" s="17" t="s">
        <v>2470</v>
      </c>
      <c r="O35" s="17">
        <v>1</v>
      </c>
      <c r="P35" s="17" t="s">
        <v>2470</v>
      </c>
      <c r="Q35" s="17" t="s">
        <v>2470</v>
      </c>
      <c r="R35" s="17">
        <v>0.75</v>
      </c>
      <c r="S35" s="17">
        <v>0.5</v>
      </c>
      <c r="T35" s="17">
        <v>3</v>
      </c>
      <c r="U35" s="17">
        <v>5</v>
      </c>
      <c r="V35" s="17">
        <v>4</v>
      </c>
      <c r="W35" s="17">
        <v>3</v>
      </c>
    </row>
    <row r="36" spans="1:23" ht="13.2">
      <c r="A36" s="201" t="s">
        <v>830</v>
      </c>
      <c r="B36" s="17">
        <v>0</v>
      </c>
      <c r="C36" s="17" t="s">
        <v>2441</v>
      </c>
      <c r="D36" s="17" t="s">
        <v>2469</v>
      </c>
      <c r="E36" s="17">
        <v>0</v>
      </c>
      <c r="F36" s="17">
        <v>1</v>
      </c>
      <c r="G36" s="17" t="s">
        <v>2470</v>
      </c>
      <c r="H36" s="17" t="s">
        <v>2470</v>
      </c>
      <c r="I36" s="17">
        <v>2</v>
      </c>
      <c r="J36" s="17" t="s">
        <v>2470</v>
      </c>
      <c r="K36" s="17" t="s">
        <v>2470</v>
      </c>
      <c r="L36" s="17">
        <v>2</v>
      </c>
      <c r="M36" s="17" t="s">
        <v>2470</v>
      </c>
      <c r="N36" s="17" t="s">
        <v>2470</v>
      </c>
      <c r="O36" s="17">
        <v>1</v>
      </c>
      <c r="P36" s="17" t="s">
        <v>2470</v>
      </c>
      <c r="Q36" s="17" t="s">
        <v>2470</v>
      </c>
      <c r="R36" s="17">
        <v>0.75</v>
      </c>
      <c r="S36" s="17">
        <v>0.5</v>
      </c>
      <c r="T36" s="17">
        <v>3</v>
      </c>
      <c r="U36" s="17">
        <v>5</v>
      </c>
      <c r="V36" s="17">
        <v>4</v>
      </c>
      <c r="W36" s="17">
        <v>3</v>
      </c>
    </row>
    <row r="37" spans="1:23" ht="13.2">
      <c r="A37" s="201" t="s">
        <v>1518</v>
      </c>
      <c r="B37" s="17">
        <v>0.56000000000000005</v>
      </c>
      <c r="C37" s="17" t="s">
        <v>2435</v>
      </c>
      <c r="D37" s="17" t="s">
        <v>2469</v>
      </c>
      <c r="E37" s="17">
        <v>0</v>
      </c>
      <c r="F37" s="17">
        <v>2</v>
      </c>
      <c r="G37" s="17">
        <v>12</v>
      </c>
      <c r="H37" s="17">
        <v>23</v>
      </c>
      <c r="I37" s="17">
        <v>3</v>
      </c>
      <c r="J37" s="17">
        <v>15</v>
      </c>
      <c r="K37" s="17">
        <v>30</v>
      </c>
      <c r="L37" s="17">
        <v>3</v>
      </c>
      <c r="M37" s="17">
        <v>13</v>
      </c>
      <c r="N37" s="17">
        <v>27</v>
      </c>
      <c r="O37" s="17">
        <v>2</v>
      </c>
      <c r="P37" s="17">
        <v>10</v>
      </c>
      <c r="Q37" s="17">
        <v>19</v>
      </c>
      <c r="R37" s="17">
        <v>0.8</v>
      </c>
      <c r="S37" s="17">
        <v>0.4</v>
      </c>
      <c r="T37" s="17">
        <v>5</v>
      </c>
      <c r="U37" s="17">
        <v>6</v>
      </c>
      <c r="V37" s="17">
        <v>6</v>
      </c>
      <c r="W37" s="17">
        <v>4</v>
      </c>
    </row>
    <row r="38" spans="1:23" ht="13.2">
      <c r="A38" s="254" t="s">
        <v>1504</v>
      </c>
      <c r="B38" s="17">
        <v>0.15</v>
      </c>
      <c r="C38" s="17" t="s">
        <v>2439</v>
      </c>
      <c r="D38" s="17" t="s">
        <v>2469</v>
      </c>
      <c r="E38" s="17">
        <v>0</v>
      </c>
      <c r="F38" s="17">
        <v>1</v>
      </c>
      <c r="G38" s="17" t="s">
        <v>2470</v>
      </c>
      <c r="H38" s="17" t="s">
        <v>2470</v>
      </c>
      <c r="I38" s="17">
        <v>2</v>
      </c>
      <c r="J38" s="17" t="s">
        <v>2470</v>
      </c>
      <c r="K38" s="17" t="s">
        <v>2470</v>
      </c>
      <c r="L38" s="17">
        <v>2</v>
      </c>
      <c r="M38" s="17" t="s">
        <v>2470</v>
      </c>
      <c r="N38" s="17" t="s">
        <v>2470</v>
      </c>
      <c r="O38" s="17">
        <v>1</v>
      </c>
      <c r="P38" s="17" t="s">
        <v>2470</v>
      </c>
      <c r="Q38" s="17" t="s">
        <v>2470</v>
      </c>
      <c r="R38" s="17">
        <v>0.75</v>
      </c>
      <c r="S38" s="17">
        <v>0.5</v>
      </c>
      <c r="T38" s="17">
        <v>3</v>
      </c>
      <c r="U38" s="17">
        <v>5</v>
      </c>
      <c r="V38" s="17">
        <v>4</v>
      </c>
      <c r="W38" s="17">
        <v>3</v>
      </c>
    </row>
    <row r="39" spans="1:23" ht="17.399999999999999">
      <c r="A39" s="222" t="s">
        <v>1522</v>
      </c>
      <c r="B39" s="17">
        <v>0.98</v>
      </c>
      <c r="C39" s="17" t="s">
        <v>2425</v>
      </c>
      <c r="D39" s="17" t="s">
        <v>2469</v>
      </c>
      <c r="E39" s="17">
        <v>0</v>
      </c>
      <c r="F39" s="17">
        <v>2</v>
      </c>
      <c r="G39" s="17">
        <v>10</v>
      </c>
      <c r="H39" s="17">
        <v>25</v>
      </c>
      <c r="I39" s="17">
        <v>3</v>
      </c>
      <c r="J39" s="17">
        <v>14</v>
      </c>
      <c r="K39" s="17">
        <v>32</v>
      </c>
      <c r="L39" s="17">
        <v>3</v>
      </c>
      <c r="M39" s="17">
        <v>12</v>
      </c>
      <c r="N39" s="17">
        <v>28</v>
      </c>
      <c r="O39" s="17">
        <v>2</v>
      </c>
      <c r="P39" s="17">
        <v>8</v>
      </c>
      <c r="Q39" s="17">
        <v>21</v>
      </c>
      <c r="R39" s="17">
        <v>0.8</v>
      </c>
      <c r="S39" s="17">
        <v>0.4</v>
      </c>
      <c r="T39" s="17">
        <v>4</v>
      </c>
      <c r="U39" s="17">
        <v>6</v>
      </c>
      <c r="V39" s="17">
        <v>6</v>
      </c>
      <c r="W39" s="17">
        <v>4</v>
      </c>
    </row>
    <row r="40" spans="1:23" ht="13.2">
      <c r="A40" s="255" t="s">
        <v>1676</v>
      </c>
      <c r="B40" s="17">
        <v>0.42</v>
      </c>
      <c r="C40" s="194" t="s">
        <v>2439</v>
      </c>
      <c r="D40" s="17" t="s">
        <v>2469</v>
      </c>
      <c r="E40" s="17">
        <v>0</v>
      </c>
      <c r="F40" s="17">
        <v>1</v>
      </c>
      <c r="G40" s="17" t="s">
        <v>2470</v>
      </c>
      <c r="H40" s="17" t="s">
        <v>2470</v>
      </c>
      <c r="I40" s="17">
        <v>2</v>
      </c>
      <c r="J40" s="17" t="s">
        <v>2470</v>
      </c>
      <c r="K40" s="17" t="s">
        <v>2470</v>
      </c>
      <c r="L40" s="17">
        <v>2</v>
      </c>
      <c r="M40" s="17" t="s">
        <v>2470</v>
      </c>
      <c r="N40" s="17" t="s">
        <v>2470</v>
      </c>
      <c r="O40" s="17">
        <v>1</v>
      </c>
      <c r="P40" s="17" t="s">
        <v>2470</v>
      </c>
      <c r="Q40" s="17" t="s">
        <v>2470</v>
      </c>
      <c r="R40" s="17">
        <v>0.75</v>
      </c>
      <c r="S40" s="17">
        <v>0.5</v>
      </c>
      <c r="T40" s="17">
        <v>3</v>
      </c>
      <c r="U40" s="17">
        <v>5</v>
      </c>
      <c r="V40" s="17">
        <v>4</v>
      </c>
      <c r="W40" s="17">
        <v>3</v>
      </c>
    </row>
    <row r="41" spans="1:23" ht="16.8">
      <c r="A41" s="239" t="s">
        <v>2064</v>
      </c>
      <c r="B41" s="17">
        <v>0.18</v>
      </c>
      <c r="C41" s="194" t="s">
        <v>2439</v>
      </c>
      <c r="D41" s="17" t="s">
        <v>2469</v>
      </c>
      <c r="E41" s="17">
        <v>0</v>
      </c>
      <c r="F41" s="17">
        <v>1</v>
      </c>
      <c r="G41" s="17" t="s">
        <v>2470</v>
      </c>
      <c r="H41" s="17" t="s">
        <v>2470</v>
      </c>
      <c r="I41" s="17">
        <v>2</v>
      </c>
      <c r="J41" s="17" t="s">
        <v>2470</v>
      </c>
      <c r="K41" s="17" t="s">
        <v>2470</v>
      </c>
      <c r="L41" s="17">
        <v>2</v>
      </c>
      <c r="M41" s="17" t="s">
        <v>2470</v>
      </c>
      <c r="N41" s="17" t="s">
        <v>2470</v>
      </c>
      <c r="O41" s="17">
        <v>1</v>
      </c>
      <c r="P41" s="17" t="s">
        <v>2470</v>
      </c>
      <c r="Q41" s="17" t="s">
        <v>2470</v>
      </c>
      <c r="R41" s="17">
        <v>0.75</v>
      </c>
      <c r="S41" s="17">
        <v>0.5</v>
      </c>
      <c r="T41" s="17">
        <v>3</v>
      </c>
      <c r="U41" s="17">
        <v>5</v>
      </c>
      <c r="V41" s="17">
        <v>4</v>
      </c>
      <c r="W41" s="17">
        <v>3</v>
      </c>
    </row>
    <row r="42" spans="1:23" ht="16.8">
      <c r="A42" s="234" t="s">
        <v>2070</v>
      </c>
      <c r="B42" s="17">
        <v>0</v>
      </c>
      <c r="C42" s="194" t="s">
        <v>2439</v>
      </c>
      <c r="D42" s="17" t="s">
        <v>2469</v>
      </c>
      <c r="E42" s="17">
        <v>0</v>
      </c>
      <c r="F42" s="17">
        <v>1</v>
      </c>
      <c r="G42" s="17" t="s">
        <v>2470</v>
      </c>
      <c r="H42" s="17" t="s">
        <v>2470</v>
      </c>
      <c r="I42" s="17">
        <v>2</v>
      </c>
      <c r="J42" s="17" t="s">
        <v>2470</v>
      </c>
      <c r="K42" s="17" t="s">
        <v>2470</v>
      </c>
      <c r="L42" s="17">
        <v>2</v>
      </c>
      <c r="M42" s="17" t="s">
        <v>2470</v>
      </c>
      <c r="N42" s="17" t="s">
        <v>2470</v>
      </c>
      <c r="O42" s="17">
        <v>1</v>
      </c>
      <c r="P42" s="17" t="s">
        <v>2470</v>
      </c>
      <c r="Q42" s="17" t="s">
        <v>2470</v>
      </c>
      <c r="R42" s="17">
        <v>0.75</v>
      </c>
      <c r="S42" s="17">
        <v>0.5</v>
      </c>
      <c r="T42" s="17">
        <v>3</v>
      </c>
      <c r="U42" s="17">
        <v>5</v>
      </c>
      <c r="V42" s="17">
        <v>4</v>
      </c>
      <c r="W42" s="17">
        <v>3</v>
      </c>
    </row>
    <row r="43" spans="1:23" ht="16.8">
      <c r="A43" s="239" t="s">
        <v>1848</v>
      </c>
      <c r="B43" s="17">
        <v>0</v>
      </c>
      <c r="C43" s="17" t="s">
        <v>2425</v>
      </c>
      <c r="D43" s="17" t="s">
        <v>2469</v>
      </c>
      <c r="E43" s="17">
        <v>0</v>
      </c>
      <c r="F43" s="17">
        <v>2</v>
      </c>
      <c r="G43" s="17">
        <v>10</v>
      </c>
      <c r="H43" s="17">
        <v>25</v>
      </c>
      <c r="I43" s="17">
        <v>3</v>
      </c>
      <c r="J43" s="17">
        <v>14</v>
      </c>
      <c r="K43" s="17">
        <v>32</v>
      </c>
      <c r="L43" s="17">
        <v>3</v>
      </c>
      <c r="M43" s="17">
        <v>12</v>
      </c>
      <c r="N43" s="17">
        <v>28</v>
      </c>
      <c r="O43" s="17">
        <v>2</v>
      </c>
      <c r="P43" s="17">
        <v>8</v>
      </c>
      <c r="Q43" s="17">
        <v>21</v>
      </c>
      <c r="R43" s="17">
        <v>0.8</v>
      </c>
      <c r="S43" s="17">
        <v>0.4</v>
      </c>
      <c r="T43" s="17">
        <v>4</v>
      </c>
      <c r="U43" s="17">
        <v>6</v>
      </c>
      <c r="V43" s="17">
        <v>6</v>
      </c>
      <c r="W43" s="17">
        <v>4</v>
      </c>
    </row>
    <row r="55" spans="8:11" ht="13.2">
      <c r="H55" s="256"/>
      <c r="I55" s="256"/>
      <c r="J55" s="256"/>
      <c r="K55" s="2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7"/>
  <sheetViews>
    <sheetView workbookViewId="0"/>
  </sheetViews>
  <sheetFormatPr defaultColWidth="12.6640625" defaultRowHeight="15.75" customHeight="1"/>
  <cols>
    <col min="1" max="1" width="12.21875" customWidth="1"/>
    <col min="2" max="2" width="19.109375" customWidth="1"/>
    <col min="3" max="3" width="12.6640625" customWidth="1"/>
    <col min="4" max="4" width="11" customWidth="1"/>
    <col min="5" max="5" width="5.44140625" customWidth="1"/>
    <col min="6" max="6" width="6.109375" customWidth="1"/>
    <col min="7" max="7" width="8.109375" customWidth="1"/>
    <col min="8" max="8" width="16.77734375" customWidth="1"/>
    <col min="9" max="10" width="16.21875" customWidth="1"/>
    <col min="11" max="11" width="23" customWidth="1"/>
  </cols>
  <sheetData>
    <row r="1" spans="1:11">
      <c r="A1" s="201" t="s">
        <v>2414</v>
      </c>
      <c r="B1" s="201" t="s">
        <v>2415</v>
      </c>
      <c r="C1" s="201" t="s">
        <v>2416</v>
      </c>
      <c r="D1" s="201" t="s">
        <v>2417</v>
      </c>
      <c r="E1" s="201" t="s">
        <v>2418</v>
      </c>
      <c r="F1" s="201" t="s">
        <v>2419</v>
      </c>
      <c r="G1" s="201" t="s">
        <v>2420</v>
      </c>
      <c r="H1" s="201" t="s">
        <v>2421</v>
      </c>
      <c r="I1" s="201" t="s">
        <v>2422</v>
      </c>
      <c r="J1" s="201" t="s">
        <v>2423</v>
      </c>
      <c r="K1" s="201" t="s">
        <v>2424</v>
      </c>
    </row>
    <row r="2" spans="1:11">
      <c r="I2" s="257"/>
      <c r="J2" s="257"/>
    </row>
    <row r="3" spans="1:11">
      <c r="A3" s="200"/>
      <c r="I3" s="257"/>
      <c r="J3" s="257"/>
    </row>
    <row r="4" spans="1:11">
      <c r="H4" s="257"/>
      <c r="I4" s="257"/>
    </row>
    <row r="5" spans="1:11">
      <c r="H5" s="257"/>
      <c r="I5" s="257"/>
    </row>
    <row r="6" spans="1:11">
      <c r="H6" s="257"/>
      <c r="I6" s="257"/>
    </row>
    <row r="7" spans="1:11">
      <c r="H7" s="257"/>
      <c r="I7" s="25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"/>
  <sheetViews>
    <sheetView workbookViewId="0"/>
  </sheetViews>
  <sheetFormatPr defaultColWidth="12.6640625" defaultRowHeight="15.75" customHeight="1"/>
  <sheetData>
    <row r="1" spans="1:3">
      <c r="A1" s="17" t="s">
        <v>2471</v>
      </c>
      <c r="B1" s="17" t="s">
        <v>2472</v>
      </c>
      <c r="C1" s="17" t="s">
        <v>2473</v>
      </c>
    </row>
    <row r="2" spans="1:3">
      <c r="A2" s="258">
        <v>46302</v>
      </c>
      <c r="B2" s="258">
        <v>46307</v>
      </c>
      <c r="C2" s="17">
        <v>2</v>
      </c>
    </row>
    <row r="3" spans="1:3">
      <c r="A3" s="258">
        <v>46315</v>
      </c>
      <c r="B3" s="258">
        <v>46320</v>
      </c>
      <c r="C3" s="17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G1011"/>
  <sheetViews>
    <sheetView workbookViewId="0"/>
  </sheetViews>
  <sheetFormatPr defaultColWidth="12.6640625" defaultRowHeight="15.75" customHeight="1"/>
  <cols>
    <col min="4" max="4" width="23" customWidth="1"/>
    <col min="5" max="5" width="23.33203125" customWidth="1"/>
    <col min="6" max="6" width="37.33203125" customWidth="1"/>
    <col min="11" max="11" width="27.77734375" customWidth="1"/>
    <col min="12" max="12" width="5.44140625" customWidth="1"/>
    <col min="13" max="13" width="6" customWidth="1"/>
    <col min="14" max="15" width="5.44140625" customWidth="1"/>
    <col min="16" max="16" width="33.77734375" customWidth="1"/>
    <col min="28" max="28" width="48.21875" customWidth="1"/>
    <col min="31" max="32" width="12.6640625" hidden="1"/>
  </cols>
  <sheetData>
    <row r="1" spans="1:33" ht="21.75" customHeight="1">
      <c r="A1" s="17" t="s">
        <v>2474</v>
      </c>
      <c r="B1" s="17" t="s">
        <v>2475</v>
      </c>
      <c r="C1" s="17" t="s">
        <v>2445</v>
      </c>
      <c r="D1" s="17" t="s">
        <v>2476</v>
      </c>
      <c r="E1" s="17" t="s">
        <v>2477</v>
      </c>
      <c r="F1" s="259" t="s">
        <v>2478</v>
      </c>
      <c r="G1" s="17" t="s">
        <v>2479</v>
      </c>
      <c r="H1" s="17" t="s">
        <v>2480</v>
      </c>
      <c r="I1" s="17" t="s">
        <v>2481</v>
      </c>
      <c r="J1" s="17" t="s">
        <v>2482</v>
      </c>
      <c r="K1" s="259" t="s">
        <v>2483</v>
      </c>
      <c r="L1" s="17" t="s">
        <v>2484</v>
      </c>
      <c r="M1" s="17" t="s">
        <v>2485</v>
      </c>
      <c r="N1" s="17" t="s">
        <v>2486</v>
      </c>
      <c r="O1" s="17" t="s">
        <v>2487</v>
      </c>
      <c r="P1" s="259" t="s">
        <v>2488</v>
      </c>
      <c r="AB1" s="2" t="s">
        <v>1</v>
      </c>
      <c r="AC1" s="260" t="s">
        <v>6</v>
      </c>
      <c r="AD1" s="260" t="s">
        <v>6</v>
      </c>
      <c r="AE1" s="260" t="s">
        <v>6</v>
      </c>
      <c r="AF1" s="260" t="s">
        <v>6</v>
      </c>
      <c r="AG1" s="260" t="s">
        <v>6</v>
      </c>
    </row>
    <row r="2" spans="1:33" ht="21.75" customHeight="1">
      <c r="C2" s="17" t="s">
        <v>2489</v>
      </c>
      <c r="D2" s="17">
        <v>2</v>
      </c>
      <c r="E2" s="17">
        <v>60</v>
      </c>
      <c r="F2" s="17" t="s">
        <v>2490</v>
      </c>
      <c r="G2" s="17">
        <v>1</v>
      </c>
      <c r="H2" s="17">
        <v>2</v>
      </c>
      <c r="I2" s="17">
        <v>2</v>
      </c>
      <c r="J2" s="17">
        <v>1</v>
      </c>
      <c r="K2" s="17" t="s">
        <v>2490</v>
      </c>
      <c r="L2" s="17">
        <v>20</v>
      </c>
      <c r="M2" s="17">
        <v>40</v>
      </c>
      <c r="N2" s="17">
        <v>40</v>
      </c>
      <c r="O2" s="17">
        <v>20</v>
      </c>
      <c r="P2" s="17" t="s">
        <v>2490</v>
      </c>
      <c r="AB2" s="261" t="s">
        <v>32</v>
      </c>
      <c r="AC2" s="38">
        <v>1</v>
      </c>
      <c r="AD2" s="38">
        <v>3</v>
      </c>
      <c r="AE2" s="38">
        <v>1</v>
      </c>
      <c r="AF2" s="38">
        <v>2</v>
      </c>
      <c r="AG2" s="38">
        <v>2</v>
      </c>
    </row>
    <row r="3" spans="1:33" ht="21.75" customHeight="1">
      <c r="F3" s="262" t="s">
        <v>2491</v>
      </c>
      <c r="K3" s="262" t="s">
        <v>2492</v>
      </c>
      <c r="P3" s="262" t="s">
        <v>2493</v>
      </c>
      <c r="AB3" s="261" t="s">
        <v>45</v>
      </c>
      <c r="AC3" s="38">
        <v>1</v>
      </c>
      <c r="AD3" s="38">
        <v>2</v>
      </c>
      <c r="AE3" s="38">
        <v>1</v>
      </c>
      <c r="AF3" s="38">
        <v>1</v>
      </c>
      <c r="AG3" s="38">
        <v>2</v>
      </c>
    </row>
    <row r="4" spans="1:33" ht="21.75" customHeight="1">
      <c r="F4" s="262" t="s">
        <v>2494</v>
      </c>
      <c r="K4" s="262" t="s">
        <v>2495</v>
      </c>
      <c r="P4" s="262" t="s">
        <v>2496</v>
      </c>
      <c r="AB4" s="261" t="s">
        <v>57</v>
      </c>
      <c r="AC4" s="38">
        <v>1</v>
      </c>
      <c r="AD4" s="38">
        <v>2</v>
      </c>
      <c r="AE4" s="38">
        <v>1</v>
      </c>
      <c r="AF4" s="38">
        <v>2</v>
      </c>
      <c r="AG4" s="38">
        <v>2</v>
      </c>
    </row>
    <row r="5" spans="1:33" ht="21.75" customHeight="1">
      <c r="F5" s="262" t="s">
        <v>2497</v>
      </c>
      <c r="P5" s="262" t="s">
        <v>2498</v>
      </c>
      <c r="AB5" s="261" t="s">
        <v>70</v>
      </c>
      <c r="AC5" s="38">
        <v>4</v>
      </c>
      <c r="AD5" s="38">
        <v>12</v>
      </c>
      <c r="AE5" s="38">
        <v>5</v>
      </c>
      <c r="AF5" s="38">
        <v>5</v>
      </c>
      <c r="AG5" s="38">
        <v>7</v>
      </c>
    </row>
    <row r="6" spans="1:33" ht="21.75" customHeight="1">
      <c r="AB6" s="53" t="s">
        <v>97</v>
      </c>
      <c r="AC6" s="54">
        <v>1</v>
      </c>
      <c r="AD6" s="54">
        <v>2</v>
      </c>
      <c r="AE6" s="54">
        <v>1</v>
      </c>
      <c r="AF6" s="54">
        <v>1</v>
      </c>
      <c r="AG6" s="38">
        <v>1</v>
      </c>
    </row>
    <row r="7" spans="1:33" ht="21.75" customHeight="1">
      <c r="AB7" s="53" t="s">
        <v>106</v>
      </c>
      <c r="AC7" s="54">
        <v>1</v>
      </c>
      <c r="AD7" s="54">
        <v>6</v>
      </c>
      <c r="AE7" s="54">
        <v>1</v>
      </c>
      <c r="AF7" s="54">
        <v>1</v>
      </c>
      <c r="AG7" s="38">
        <v>2</v>
      </c>
    </row>
    <row r="8" spans="1:33" ht="21.75" customHeight="1">
      <c r="AB8" s="53" t="s">
        <v>118</v>
      </c>
      <c r="AC8" s="54">
        <v>1</v>
      </c>
      <c r="AD8" s="54">
        <v>6</v>
      </c>
      <c r="AE8" s="54">
        <v>2</v>
      </c>
      <c r="AF8" s="54">
        <v>2</v>
      </c>
      <c r="AG8" s="38">
        <v>3</v>
      </c>
    </row>
    <row r="9" spans="1:33" ht="21.75" customHeight="1">
      <c r="R9" s="17" t="s">
        <v>2415</v>
      </c>
      <c r="S9" s="17" t="s">
        <v>2416</v>
      </c>
      <c r="T9" s="17" t="s">
        <v>2417</v>
      </c>
      <c r="U9" s="17" t="s">
        <v>2418</v>
      </c>
      <c r="V9" s="17" t="s">
        <v>2499</v>
      </c>
      <c r="W9" s="17" t="s">
        <v>2419</v>
      </c>
      <c r="X9" s="17" t="s">
        <v>2420</v>
      </c>
      <c r="Y9" s="17" t="s">
        <v>2421</v>
      </c>
      <c r="Z9" s="17" t="s">
        <v>2422</v>
      </c>
      <c r="AA9" s="17" t="s">
        <v>2423</v>
      </c>
      <c r="AB9" s="53" t="s">
        <v>128</v>
      </c>
      <c r="AC9" s="54">
        <v>2</v>
      </c>
      <c r="AD9" s="54">
        <v>5</v>
      </c>
      <c r="AE9" s="54">
        <v>3</v>
      </c>
      <c r="AF9" s="54">
        <v>3</v>
      </c>
      <c r="AG9" s="38">
        <v>4</v>
      </c>
    </row>
    <row r="10" spans="1:33" ht="21.75" customHeight="1">
      <c r="R10" s="196" t="s">
        <v>36</v>
      </c>
      <c r="S10" s="17">
        <v>3</v>
      </c>
      <c r="T10" s="17">
        <v>2</v>
      </c>
      <c r="U10" s="17" t="s">
        <v>2500</v>
      </c>
      <c r="V10" s="17" t="s">
        <v>2501</v>
      </c>
      <c r="W10" s="17" t="s">
        <v>2502</v>
      </c>
      <c r="X10" s="17" t="s">
        <v>2503</v>
      </c>
      <c r="Y10" s="17" t="s">
        <v>2504</v>
      </c>
      <c r="Z10" s="263">
        <v>46250.097916666666</v>
      </c>
      <c r="AA10" s="263">
        <v>46250.097916666666</v>
      </c>
      <c r="AB10" s="53" t="s">
        <v>146</v>
      </c>
      <c r="AC10" s="54">
        <v>1</v>
      </c>
      <c r="AD10" s="54">
        <v>7</v>
      </c>
      <c r="AE10" s="54">
        <v>1</v>
      </c>
      <c r="AF10" s="54">
        <v>1</v>
      </c>
      <c r="AG10" s="38">
        <v>1</v>
      </c>
    </row>
    <row r="11" spans="1:33" ht="21.75" customHeight="1">
      <c r="R11" s="196" t="s">
        <v>36</v>
      </c>
      <c r="S11" s="17">
        <v>1</v>
      </c>
      <c r="T11" s="17">
        <v>1</v>
      </c>
      <c r="U11" s="17" t="s">
        <v>2500</v>
      </c>
      <c r="V11" s="17" t="s">
        <v>2501</v>
      </c>
      <c r="X11" s="17" t="s">
        <v>2503</v>
      </c>
      <c r="Y11" s="17" t="s">
        <v>2504</v>
      </c>
      <c r="Z11" s="263">
        <v>46250.181250000001</v>
      </c>
      <c r="AA11" s="263">
        <v>46250.181250000001</v>
      </c>
      <c r="AB11" s="53" t="s">
        <v>158</v>
      </c>
      <c r="AC11" s="54">
        <v>1</v>
      </c>
      <c r="AD11" s="54">
        <v>5</v>
      </c>
      <c r="AE11" s="54">
        <v>2</v>
      </c>
      <c r="AF11" s="54">
        <v>3</v>
      </c>
      <c r="AG11" s="38">
        <v>4</v>
      </c>
    </row>
    <row r="12" spans="1:33" ht="21.75" customHeight="1">
      <c r="E12" s="17" t="s">
        <v>2505</v>
      </c>
      <c r="F12" s="17" t="s">
        <v>2506</v>
      </c>
      <c r="AB12" s="53" t="s">
        <v>170</v>
      </c>
      <c r="AC12" s="54">
        <v>1</v>
      </c>
      <c r="AD12" s="54">
        <v>1</v>
      </c>
      <c r="AE12" s="54">
        <v>1</v>
      </c>
      <c r="AF12" s="54">
        <v>1</v>
      </c>
      <c r="AG12" s="38">
        <v>1</v>
      </c>
    </row>
    <row r="13" spans="1:33" ht="21.75" customHeight="1">
      <c r="E13" s="17" t="s">
        <v>2505</v>
      </c>
      <c r="F13" s="17" t="s">
        <v>2507</v>
      </c>
      <c r="V13" s="17" t="s">
        <v>2508</v>
      </c>
      <c r="AB13" s="53" t="s">
        <v>176</v>
      </c>
      <c r="AC13" s="54">
        <v>1</v>
      </c>
      <c r="AD13" s="54">
        <v>1</v>
      </c>
      <c r="AE13" s="54">
        <v>1</v>
      </c>
      <c r="AF13" s="54">
        <v>1</v>
      </c>
      <c r="AG13" s="38">
        <v>1</v>
      </c>
    </row>
    <row r="14" spans="1:33" ht="21.75" customHeight="1">
      <c r="E14" s="17" t="s">
        <v>2505</v>
      </c>
      <c r="F14" s="17" t="s">
        <v>2509</v>
      </c>
      <c r="AB14" s="53" t="s">
        <v>188</v>
      </c>
      <c r="AC14" s="54">
        <v>1</v>
      </c>
      <c r="AD14" s="54">
        <v>1</v>
      </c>
      <c r="AE14" s="54">
        <v>1</v>
      </c>
      <c r="AF14" s="54">
        <v>1</v>
      </c>
      <c r="AG14" s="38">
        <v>1</v>
      </c>
    </row>
    <row r="15" spans="1:33" ht="21.75" customHeight="1">
      <c r="AB15" s="53" t="s">
        <v>201</v>
      </c>
      <c r="AC15" s="54">
        <v>1</v>
      </c>
      <c r="AD15" s="54">
        <v>4</v>
      </c>
      <c r="AE15" s="54">
        <v>1</v>
      </c>
      <c r="AF15" s="54">
        <v>2</v>
      </c>
      <c r="AG15" s="38">
        <v>2</v>
      </c>
    </row>
    <row r="16" spans="1:33" ht="21.75" customHeight="1">
      <c r="E16" s="17" t="s">
        <v>2505</v>
      </c>
      <c r="F16" s="17" t="s">
        <v>2510</v>
      </c>
      <c r="R16" s="17" t="s">
        <v>2406</v>
      </c>
      <c r="S16" s="194" t="s">
        <v>25</v>
      </c>
      <c r="AB16" s="261" t="s">
        <v>219</v>
      </c>
      <c r="AC16" s="38">
        <v>1</v>
      </c>
      <c r="AD16" s="38">
        <v>2</v>
      </c>
      <c r="AE16" s="38">
        <v>1</v>
      </c>
      <c r="AF16" s="38">
        <v>2</v>
      </c>
      <c r="AG16" s="38">
        <v>2</v>
      </c>
    </row>
    <row r="17" spans="4:33" ht="21.75" customHeight="1">
      <c r="F17" s="17" t="s">
        <v>2514</v>
      </c>
      <c r="R17" s="196" t="s">
        <v>36</v>
      </c>
      <c r="S17" s="206">
        <v>27</v>
      </c>
      <c r="AB17" s="261" t="s">
        <v>232</v>
      </c>
      <c r="AC17" s="38">
        <v>1</v>
      </c>
      <c r="AD17" s="38">
        <v>1</v>
      </c>
      <c r="AE17" s="38">
        <v>1</v>
      </c>
      <c r="AF17" s="38">
        <v>1</v>
      </c>
      <c r="AG17" s="38">
        <v>1</v>
      </c>
    </row>
    <row r="18" spans="4:33" ht="21.75" customHeight="1">
      <c r="E18" s="17" t="s">
        <v>2505</v>
      </c>
      <c r="F18" s="17" t="s">
        <v>2515</v>
      </c>
      <c r="AB18" s="261" t="s">
        <v>238</v>
      </c>
      <c r="AC18" s="38">
        <v>1</v>
      </c>
      <c r="AD18" s="38">
        <v>1</v>
      </c>
      <c r="AE18" s="38">
        <v>1</v>
      </c>
      <c r="AF18" s="38">
        <v>1</v>
      </c>
      <c r="AG18" s="38">
        <v>1</v>
      </c>
    </row>
    <row r="19" spans="4:33" ht="21.75" customHeight="1">
      <c r="E19" s="17" t="s">
        <v>2505</v>
      </c>
      <c r="F19" s="17" t="s">
        <v>2516</v>
      </c>
      <c r="AB19" s="261" t="s">
        <v>257</v>
      </c>
      <c r="AC19" s="38">
        <v>-1</v>
      </c>
      <c r="AD19" s="38">
        <v>-1</v>
      </c>
      <c r="AE19" s="38">
        <v>-1</v>
      </c>
      <c r="AF19" s="38">
        <v>-1</v>
      </c>
      <c r="AG19" s="38">
        <v>-1</v>
      </c>
    </row>
    <row r="20" spans="4:33" ht="21.75" customHeight="1">
      <c r="E20" s="17" t="s">
        <v>2505</v>
      </c>
      <c r="F20" s="17" t="s">
        <v>2517</v>
      </c>
      <c r="AB20" s="261" t="s">
        <v>265</v>
      </c>
      <c r="AC20" s="38">
        <v>1</v>
      </c>
      <c r="AD20" s="38">
        <v>1</v>
      </c>
      <c r="AE20" s="38">
        <v>1</v>
      </c>
      <c r="AF20" s="38">
        <v>1</v>
      </c>
      <c r="AG20" s="38">
        <v>1</v>
      </c>
    </row>
    <row r="21" spans="4:33" ht="21.75" customHeight="1">
      <c r="E21" s="17" t="s">
        <v>2505</v>
      </c>
      <c r="F21" s="17" t="s">
        <v>2518</v>
      </c>
      <c r="AB21" s="261" t="s">
        <v>275</v>
      </c>
      <c r="AC21" s="38">
        <v>1</v>
      </c>
      <c r="AD21" s="38">
        <v>1</v>
      </c>
      <c r="AE21" s="38">
        <v>1</v>
      </c>
      <c r="AF21" s="38">
        <v>1</v>
      </c>
      <c r="AG21" s="38">
        <v>2</v>
      </c>
    </row>
    <row r="22" spans="4:33" ht="21.75" customHeight="1">
      <c r="E22" s="17" t="s">
        <v>2505</v>
      </c>
      <c r="F22" s="17" t="s">
        <v>2519</v>
      </c>
      <c r="K22" s="17" t="s">
        <v>2520</v>
      </c>
      <c r="AB22" s="261" t="s">
        <v>286</v>
      </c>
      <c r="AC22" s="38">
        <v>1</v>
      </c>
      <c r="AD22" s="38">
        <v>3</v>
      </c>
      <c r="AE22" s="38">
        <v>1</v>
      </c>
      <c r="AF22" s="38">
        <v>1</v>
      </c>
      <c r="AG22" s="38">
        <v>2</v>
      </c>
    </row>
    <row r="23" spans="4:33" ht="21.75" customHeight="1">
      <c r="E23" s="17" t="s">
        <v>2505</v>
      </c>
      <c r="F23" s="17" t="s">
        <v>2521</v>
      </c>
      <c r="K23" s="17" t="s">
        <v>2522</v>
      </c>
      <c r="AB23" s="261" t="s">
        <v>293</v>
      </c>
      <c r="AC23" s="38">
        <v>1</v>
      </c>
      <c r="AD23" s="38">
        <v>2</v>
      </c>
      <c r="AE23" s="38">
        <v>1</v>
      </c>
      <c r="AF23" s="38">
        <v>1</v>
      </c>
      <c r="AG23" s="38">
        <v>1</v>
      </c>
    </row>
    <row r="24" spans="4:33" ht="21.75" customHeight="1">
      <c r="E24" s="17" t="s">
        <v>2505</v>
      </c>
      <c r="F24" s="17" t="s">
        <v>2523</v>
      </c>
      <c r="AB24" s="261" t="s">
        <v>295</v>
      </c>
      <c r="AC24" s="38">
        <v>1</v>
      </c>
      <c r="AD24" s="38">
        <v>2</v>
      </c>
      <c r="AE24" s="38">
        <v>1</v>
      </c>
      <c r="AF24" s="38">
        <v>2</v>
      </c>
      <c r="AG24" s="38">
        <v>2</v>
      </c>
    </row>
    <row r="25" spans="4:33" ht="21.75" customHeight="1">
      <c r="E25" s="17" t="s">
        <v>2505</v>
      </c>
      <c r="F25" s="17" t="s">
        <v>2524</v>
      </c>
      <c r="AB25" s="261" t="s">
        <v>311</v>
      </c>
      <c r="AC25" s="38">
        <v>1</v>
      </c>
      <c r="AD25" s="38">
        <v>3</v>
      </c>
      <c r="AE25" s="38">
        <v>2</v>
      </c>
      <c r="AF25" s="38">
        <v>2</v>
      </c>
      <c r="AG25" s="38">
        <v>3</v>
      </c>
    </row>
    <row r="26" spans="4:33" ht="21.75" customHeight="1">
      <c r="E26" s="17" t="s">
        <v>2505</v>
      </c>
      <c r="F26" s="17" t="s">
        <v>2525</v>
      </c>
      <c r="AB26" s="261" t="s">
        <v>329</v>
      </c>
      <c r="AC26" s="38">
        <v>-1</v>
      </c>
      <c r="AD26" s="38">
        <v>-1</v>
      </c>
      <c r="AE26" s="38">
        <v>-1</v>
      </c>
      <c r="AF26" s="38">
        <v>-1</v>
      </c>
      <c r="AG26" s="38">
        <v>-1</v>
      </c>
    </row>
    <row r="27" spans="4:33" ht="21.75" customHeight="1">
      <c r="E27" s="17" t="s">
        <v>2505</v>
      </c>
      <c r="F27" s="17" t="s">
        <v>2526</v>
      </c>
      <c r="AB27" s="261" t="s">
        <v>349</v>
      </c>
      <c r="AC27" s="38">
        <v>1</v>
      </c>
      <c r="AD27" s="38">
        <v>2</v>
      </c>
      <c r="AE27" s="38">
        <v>1</v>
      </c>
      <c r="AF27" s="38">
        <v>2</v>
      </c>
      <c r="AG27" s="38">
        <v>2</v>
      </c>
    </row>
    <row r="28" spans="4:33" ht="21.75" customHeight="1">
      <c r="E28" s="17" t="s">
        <v>2505</v>
      </c>
      <c r="F28" s="17" t="s">
        <v>2527</v>
      </c>
      <c r="AB28" s="261" t="s">
        <v>357</v>
      </c>
      <c r="AC28" s="38">
        <v>1</v>
      </c>
      <c r="AD28" s="38">
        <v>4</v>
      </c>
      <c r="AE28" s="38">
        <v>1</v>
      </c>
      <c r="AF28" s="38">
        <v>1</v>
      </c>
      <c r="AG28" s="38">
        <v>1</v>
      </c>
    </row>
    <row r="29" spans="4:33" ht="21.75" customHeight="1">
      <c r="E29" s="17" t="s">
        <v>2505</v>
      </c>
      <c r="F29" s="17" t="s">
        <v>2528</v>
      </c>
      <c r="AB29" s="261" t="s">
        <v>361</v>
      </c>
      <c r="AC29" s="38">
        <v>1</v>
      </c>
      <c r="AD29" s="38">
        <v>9</v>
      </c>
      <c r="AE29" s="38">
        <v>1</v>
      </c>
      <c r="AF29" s="38">
        <v>2</v>
      </c>
      <c r="AG29" s="38">
        <v>2</v>
      </c>
    </row>
    <row r="30" spans="4:33" ht="19.5" customHeight="1">
      <c r="D30" s="17"/>
      <c r="E30" s="17" t="s">
        <v>2505</v>
      </c>
      <c r="F30" s="17" t="s">
        <v>2529</v>
      </c>
      <c r="AB30" s="261"/>
      <c r="AC30" s="38"/>
      <c r="AD30" s="38"/>
      <c r="AE30" s="38"/>
      <c r="AF30" s="38"/>
      <c r="AG30" s="38"/>
    </row>
    <row r="31" spans="4:33" ht="19.5" customHeight="1">
      <c r="D31" s="17"/>
      <c r="E31" s="17" t="s">
        <v>2505</v>
      </c>
      <c r="F31" s="17" t="s">
        <v>2530</v>
      </c>
      <c r="AB31" s="261" t="s">
        <v>367</v>
      </c>
      <c r="AC31" s="38">
        <v>1</v>
      </c>
      <c r="AD31" s="38">
        <v>8</v>
      </c>
      <c r="AE31" s="38">
        <v>1</v>
      </c>
      <c r="AF31" s="38">
        <v>2</v>
      </c>
      <c r="AG31" s="38">
        <v>2</v>
      </c>
    </row>
    <row r="32" spans="4:33" ht="19.5" customHeight="1">
      <c r="D32" s="17"/>
      <c r="AB32" s="261" t="s">
        <v>373</v>
      </c>
      <c r="AC32" s="38">
        <v>1</v>
      </c>
      <c r="AD32" s="38">
        <v>7</v>
      </c>
      <c r="AE32" s="38">
        <v>2</v>
      </c>
      <c r="AF32" s="38">
        <v>3</v>
      </c>
      <c r="AG32" s="38">
        <v>3</v>
      </c>
    </row>
    <row r="33" spans="4:33" ht="36" customHeight="1">
      <c r="D33" s="17"/>
      <c r="F33" s="17" t="s">
        <v>2531</v>
      </c>
      <c r="AB33" s="261"/>
      <c r="AC33" s="38"/>
      <c r="AD33" s="38"/>
      <c r="AE33" s="38"/>
      <c r="AF33" s="38"/>
      <c r="AG33" s="38"/>
    </row>
    <row r="34" spans="4:33" ht="192.75" customHeight="1">
      <c r="D34" s="17">
        <v>1</v>
      </c>
      <c r="F34" s="17" t="s">
        <v>2532</v>
      </c>
      <c r="AB34" s="261" t="s">
        <v>375</v>
      </c>
      <c r="AC34" s="38">
        <v>1</v>
      </c>
      <c r="AD34" s="38">
        <v>1</v>
      </c>
      <c r="AE34" s="38">
        <v>1</v>
      </c>
      <c r="AF34" s="38">
        <v>1</v>
      </c>
      <c r="AG34" s="38">
        <v>1</v>
      </c>
    </row>
    <row r="35" spans="4:33" ht="21.75" customHeight="1">
      <c r="D35" s="17">
        <v>1</v>
      </c>
      <c r="E35" s="17" t="s">
        <v>2505</v>
      </c>
      <c r="F35" s="17" t="s">
        <v>2533</v>
      </c>
      <c r="AB35" s="261" t="s">
        <v>378</v>
      </c>
      <c r="AC35" s="38">
        <v>1</v>
      </c>
      <c r="AD35" s="38">
        <v>1</v>
      </c>
      <c r="AE35" s="38">
        <v>1</v>
      </c>
      <c r="AF35" s="38">
        <v>1</v>
      </c>
      <c r="AG35" s="38">
        <v>1</v>
      </c>
    </row>
    <row r="36" spans="4:33" ht="21.75" customHeight="1">
      <c r="D36" s="17">
        <v>3</v>
      </c>
      <c r="E36" s="17" t="s">
        <v>2505</v>
      </c>
      <c r="F36" s="264" t="s">
        <v>2534</v>
      </c>
      <c r="AB36" s="261" t="s">
        <v>396</v>
      </c>
      <c r="AC36" s="38">
        <v>1</v>
      </c>
      <c r="AD36" s="38">
        <v>1</v>
      </c>
      <c r="AE36" s="38">
        <v>1</v>
      </c>
      <c r="AF36" s="38">
        <v>1</v>
      </c>
      <c r="AG36" s="38">
        <v>1</v>
      </c>
    </row>
    <row r="37" spans="4:33" ht="21.75" customHeight="1">
      <c r="D37" s="17">
        <v>3</v>
      </c>
      <c r="F37" s="264" t="s">
        <v>2535</v>
      </c>
      <c r="AB37" s="261" t="s">
        <v>415</v>
      </c>
      <c r="AC37" s="38">
        <v>1</v>
      </c>
      <c r="AD37" s="38">
        <v>1</v>
      </c>
      <c r="AE37" s="38">
        <v>1</v>
      </c>
      <c r="AF37" s="38">
        <v>1</v>
      </c>
      <c r="AG37" s="38">
        <v>1</v>
      </c>
    </row>
    <row r="38" spans="4:33" ht="21.75" customHeight="1">
      <c r="D38" s="17">
        <v>2</v>
      </c>
      <c r="F38" s="17" t="s">
        <v>2283</v>
      </c>
      <c r="G38" s="265" t="s">
        <v>2536</v>
      </c>
      <c r="AB38" s="261" t="s">
        <v>420</v>
      </c>
      <c r="AC38" s="38">
        <v>1</v>
      </c>
      <c r="AD38" s="38">
        <v>5</v>
      </c>
      <c r="AE38" s="38">
        <v>1</v>
      </c>
      <c r="AF38" s="38">
        <v>2</v>
      </c>
      <c r="AG38" s="38">
        <v>2</v>
      </c>
    </row>
    <row r="39" spans="4:33" ht="21.75" customHeight="1">
      <c r="D39" s="17">
        <v>3</v>
      </c>
      <c r="F39" s="17" t="s">
        <v>2537</v>
      </c>
      <c r="AB39" s="261" t="s">
        <v>428</v>
      </c>
      <c r="AC39" s="38">
        <v>1</v>
      </c>
      <c r="AD39" s="38">
        <v>3</v>
      </c>
      <c r="AE39" s="38">
        <v>1</v>
      </c>
      <c r="AF39" s="38">
        <v>2</v>
      </c>
      <c r="AG39" s="38">
        <v>2</v>
      </c>
    </row>
    <row r="40" spans="4:33" ht="21.75" customHeight="1">
      <c r="D40" s="17">
        <v>3</v>
      </c>
      <c r="F40" s="17" t="s">
        <v>2538</v>
      </c>
      <c r="AB40" s="261" t="s">
        <v>445</v>
      </c>
      <c r="AC40" s="38">
        <v>2</v>
      </c>
      <c r="AD40" s="38">
        <v>10</v>
      </c>
      <c r="AE40" s="38">
        <v>3</v>
      </c>
      <c r="AF40" s="38">
        <v>4</v>
      </c>
      <c r="AG40" s="38">
        <v>5</v>
      </c>
    </row>
    <row r="41" spans="4:33" ht="21.75" customHeight="1">
      <c r="F41" s="17" t="s">
        <v>2539</v>
      </c>
      <c r="AB41" s="261" t="s">
        <v>454</v>
      </c>
      <c r="AC41" s="38">
        <v>-1</v>
      </c>
      <c r="AD41" s="38">
        <v>-1</v>
      </c>
      <c r="AE41" s="38">
        <v>-1</v>
      </c>
      <c r="AF41" s="38">
        <v>-1</v>
      </c>
      <c r="AG41" s="38">
        <v>-1</v>
      </c>
    </row>
    <row r="42" spans="4:33" ht="21.75" customHeight="1">
      <c r="F42" s="17" t="s">
        <v>2540</v>
      </c>
      <c r="AB42" s="261" t="s">
        <v>469</v>
      </c>
      <c r="AC42" s="38">
        <v>1</v>
      </c>
      <c r="AD42" s="38">
        <v>1</v>
      </c>
      <c r="AE42" s="38">
        <v>1</v>
      </c>
      <c r="AF42" s="38">
        <v>1</v>
      </c>
      <c r="AG42" s="38">
        <v>1</v>
      </c>
    </row>
    <row r="43" spans="4:33" ht="21.75" customHeight="1">
      <c r="F43" s="17" t="s">
        <v>2541</v>
      </c>
      <c r="AB43" s="261" t="s">
        <v>478</v>
      </c>
      <c r="AC43" s="38">
        <v>1</v>
      </c>
      <c r="AD43" s="38">
        <v>1</v>
      </c>
      <c r="AE43" s="38">
        <v>1</v>
      </c>
      <c r="AF43" s="38">
        <v>1</v>
      </c>
      <c r="AG43" s="38">
        <v>2</v>
      </c>
    </row>
    <row r="44" spans="4:33" ht="21.75" customHeight="1">
      <c r="F44" s="17" t="s">
        <v>2542</v>
      </c>
      <c r="AB44" s="261" t="s">
        <v>487</v>
      </c>
      <c r="AC44" s="38">
        <v>1</v>
      </c>
      <c r="AD44" s="38">
        <v>4</v>
      </c>
      <c r="AE44" s="38">
        <v>1</v>
      </c>
      <c r="AF44" s="38">
        <v>1</v>
      </c>
      <c r="AG44" s="38">
        <v>2</v>
      </c>
    </row>
    <row r="45" spans="4:33" ht="21.75" customHeight="1">
      <c r="F45" s="17" t="s">
        <v>2543</v>
      </c>
      <c r="AB45" s="261" t="s">
        <v>496</v>
      </c>
      <c r="AC45" s="38">
        <v>1</v>
      </c>
      <c r="AD45" s="38">
        <v>1</v>
      </c>
      <c r="AE45" s="38">
        <v>1</v>
      </c>
      <c r="AF45" s="38">
        <v>1</v>
      </c>
      <c r="AG45" s="38">
        <v>1</v>
      </c>
    </row>
    <row r="46" spans="4:33" ht="21.75" customHeight="1">
      <c r="AB46" s="261" t="s">
        <v>501</v>
      </c>
      <c r="AC46" s="38">
        <v>1</v>
      </c>
      <c r="AD46" s="38">
        <v>1</v>
      </c>
      <c r="AE46" s="38">
        <v>1</v>
      </c>
      <c r="AF46" s="38">
        <v>1</v>
      </c>
      <c r="AG46" s="38">
        <v>1</v>
      </c>
    </row>
    <row r="47" spans="4:33" ht="21.75" customHeight="1">
      <c r="AB47" s="261" t="s">
        <v>510</v>
      </c>
      <c r="AC47" s="38">
        <v>1</v>
      </c>
      <c r="AD47" s="38">
        <v>1</v>
      </c>
      <c r="AE47" s="38">
        <v>1</v>
      </c>
      <c r="AF47" s="38">
        <v>1</v>
      </c>
      <c r="AG47" s="38">
        <v>1</v>
      </c>
    </row>
    <row r="48" spans="4:33" ht="21.75" customHeight="1">
      <c r="AB48" s="261" t="s">
        <v>511</v>
      </c>
      <c r="AC48" s="38">
        <v>1</v>
      </c>
      <c r="AD48" s="38">
        <v>5</v>
      </c>
      <c r="AE48" s="38">
        <v>2</v>
      </c>
      <c r="AF48" s="38">
        <v>2</v>
      </c>
      <c r="AG48" s="38">
        <v>3</v>
      </c>
    </row>
    <row r="49" spans="3:33" ht="21.75" customHeight="1">
      <c r="C49" s="17" t="s">
        <v>2544</v>
      </c>
      <c r="D49" s="17" t="s">
        <v>2545</v>
      </c>
      <c r="AB49" s="261" t="s">
        <v>513</v>
      </c>
      <c r="AC49" s="38">
        <v>1</v>
      </c>
      <c r="AD49" s="38">
        <v>1</v>
      </c>
      <c r="AE49" s="38">
        <v>1</v>
      </c>
      <c r="AF49" s="38">
        <v>1</v>
      </c>
      <c r="AG49" s="38">
        <v>1</v>
      </c>
    </row>
    <row r="50" spans="3:33" ht="21.75" customHeight="1">
      <c r="C50" s="17" t="s">
        <v>2546</v>
      </c>
      <c r="D50" s="17" t="s">
        <v>2547</v>
      </c>
      <c r="AB50" s="261" t="s">
        <v>518</v>
      </c>
      <c r="AC50" s="38">
        <v>1</v>
      </c>
      <c r="AD50" s="38">
        <v>1</v>
      </c>
      <c r="AE50" s="38">
        <v>1</v>
      </c>
      <c r="AF50" s="38">
        <v>1</v>
      </c>
      <c r="AG50" s="38">
        <v>1</v>
      </c>
    </row>
    <row r="51" spans="3:33" ht="21.75" customHeight="1">
      <c r="C51" s="17" t="s">
        <v>2544</v>
      </c>
      <c r="D51" s="17" t="s">
        <v>2548</v>
      </c>
      <c r="G51" s="17" t="s">
        <v>2549</v>
      </c>
      <c r="AB51" s="261" t="s">
        <v>524</v>
      </c>
      <c r="AC51" s="38">
        <v>1</v>
      </c>
      <c r="AD51" s="38">
        <v>4</v>
      </c>
      <c r="AE51" s="38">
        <v>2</v>
      </c>
      <c r="AF51" s="38">
        <v>2</v>
      </c>
      <c r="AG51" s="38">
        <v>3</v>
      </c>
    </row>
    <row r="52" spans="3:33" ht="21.75" customHeight="1">
      <c r="AB52" s="261" t="s">
        <v>531</v>
      </c>
      <c r="AC52" s="38">
        <v>1</v>
      </c>
      <c r="AD52" s="38">
        <v>6</v>
      </c>
      <c r="AE52" s="38">
        <v>1</v>
      </c>
      <c r="AF52" s="38">
        <v>2</v>
      </c>
      <c r="AG52" s="38">
        <v>2</v>
      </c>
    </row>
    <row r="53" spans="3:33" ht="21.75" customHeight="1">
      <c r="AB53" s="261" t="s">
        <v>536</v>
      </c>
      <c r="AC53" s="38">
        <v>1</v>
      </c>
      <c r="AD53" s="38">
        <v>6</v>
      </c>
      <c r="AE53" s="38">
        <v>1</v>
      </c>
      <c r="AF53" s="38">
        <v>2</v>
      </c>
      <c r="AG53" s="38">
        <v>3</v>
      </c>
    </row>
    <row r="54" spans="3:33" ht="21.75" customHeight="1">
      <c r="AB54" s="261" t="s">
        <v>538</v>
      </c>
      <c r="AC54" s="38">
        <v>1</v>
      </c>
      <c r="AD54" s="38">
        <v>1</v>
      </c>
      <c r="AE54" s="38">
        <v>1</v>
      </c>
      <c r="AF54" s="38">
        <v>2</v>
      </c>
      <c r="AG54" s="38">
        <v>2</v>
      </c>
    </row>
    <row r="55" spans="3:33" ht="21.75" customHeight="1">
      <c r="AB55" s="261" t="s">
        <v>545</v>
      </c>
      <c r="AC55" s="38">
        <v>1</v>
      </c>
      <c r="AD55" s="38">
        <v>1</v>
      </c>
      <c r="AE55" s="38">
        <v>1</v>
      </c>
      <c r="AF55" s="38">
        <v>1</v>
      </c>
      <c r="AG55" s="38">
        <v>1</v>
      </c>
    </row>
    <row r="56" spans="3:33" ht="21.75" customHeight="1">
      <c r="AB56" s="261" t="s">
        <v>548</v>
      </c>
      <c r="AC56" s="38">
        <v>1</v>
      </c>
      <c r="AD56" s="38">
        <v>2</v>
      </c>
      <c r="AE56" s="38">
        <v>2</v>
      </c>
      <c r="AF56" s="38">
        <v>3</v>
      </c>
      <c r="AG56" s="38">
        <v>3</v>
      </c>
    </row>
    <row r="57" spans="3:33" ht="21.75" customHeight="1">
      <c r="AB57" s="261" t="s">
        <v>551</v>
      </c>
      <c r="AC57" s="38">
        <v>1</v>
      </c>
      <c r="AD57" s="38">
        <v>1</v>
      </c>
      <c r="AE57" s="38">
        <v>1</v>
      </c>
      <c r="AF57" s="38">
        <v>1</v>
      </c>
      <c r="AG57" s="38">
        <v>1</v>
      </c>
    </row>
    <row r="58" spans="3:33" ht="21.75" customHeight="1">
      <c r="AB58" s="261" t="s">
        <v>557</v>
      </c>
      <c r="AC58" s="38">
        <v>1</v>
      </c>
      <c r="AD58" s="38">
        <v>1</v>
      </c>
      <c r="AE58" s="38">
        <v>1</v>
      </c>
      <c r="AF58" s="38">
        <v>1</v>
      </c>
      <c r="AG58" s="38">
        <v>1</v>
      </c>
    </row>
    <row r="59" spans="3:33" ht="21.75" customHeight="1">
      <c r="AB59" s="36" t="s">
        <v>561</v>
      </c>
      <c r="AC59" s="38">
        <v>1</v>
      </c>
      <c r="AD59" s="38">
        <v>6</v>
      </c>
      <c r="AE59" s="38">
        <v>1</v>
      </c>
      <c r="AF59" s="38">
        <v>2</v>
      </c>
      <c r="AG59" s="38">
        <v>2</v>
      </c>
    </row>
    <row r="60" spans="3:33" ht="21.75" customHeight="1">
      <c r="AB60" s="121" t="s">
        <v>571</v>
      </c>
      <c r="AC60" s="38">
        <v>1</v>
      </c>
      <c r="AD60" s="38">
        <v>3</v>
      </c>
      <c r="AE60" s="38">
        <v>2</v>
      </c>
      <c r="AF60" s="38">
        <v>2</v>
      </c>
      <c r="AG60" s="38">
        <v>3</v>
      </c>
    </row>
    <row r="61" spans="3:33" ht="21.75" customHeight="1">
      <c r="AB61" s="121" t="s">
        <v>577</v>
      </c>
      <c r="AC61" s="38">
        <v>1</v>
      </c>
      <c r="AD61" s="38">
        <v>2</v>
      </c>
      <c r="AE61" s="38">
        <v>1</v>
      </c>
      <c r="AF61" s="38">
        <v>1</v>
      </c>
      <c r="AG61" s="38">
        <v>2</v>
      </c>
    </row>
    <row r="62" spans="3:33" ht="21.75" customHeight="1">
      <c r="AB62" s="121" t="s">
        <v>586</v>
      </c>
      <c r="AC62" s="38">
        <v>1</v>
      </c>
      <c r="AD62" s="38">
        <v>2</v>
      </c>
      <c r="AE62" s="38">
        <v>1</v>
      </c>
      <c r="AF62" s="38">
        <v>1</v>
      </c>
      <c r="AG62" s="38">
        <v>2</v>
      </c>
    </row>
    <row r="63" spans="3:33" ht="21.75" customHeight="1">
      <c r="AB63" s="121" t="s">
        <v>600</v>
      </c>
      <c r="AC63" s="38">
        <v>1</v>
      </c>
      <c r="AD63" s="38">
        <v>7</v>
      </c>
      <c r="AE63" s="38">
        <v>1</v>
      </c>
      <c r="AF63" s="38">
        <v>1</v>
      </c>
      <c r="AG63" s="38">
        <v>2</v>
      </c>
    </row>
    <row r="64" spans="3:33" ht="21.75" customHeight="1">
      <c r="AB64" s="36" t="s">
        <v>604</v>
      </c>
      <c r="AC64" s="38">
        <v>1</v>
      </c>
      <c r="AD64" s="38">
        <v>7</v>
      </c>
      <c r="AE64" s="38">
        <v>1</v>
      </c>
      <c r="AF64" s="38">
        <v>2</v>
      </c>
      <c r="AG64" s="38">
        <v>2</v>
      </c>
    </row>
    <row r="65" spans="28:33" ht="21.75" customHeight="1">
      <c r="AB65" s="121" t="s">
        <v>614</v>
      </c>
      <c r="AC65" s="38">
        <v>1</v>
      </c>
      <c r="AD65" s="38">
        <v>2</v>
      </c>
      <c r="AE65" s="38">
        <v>2</v>
      </c>
      <c r="AF65" s="38">
        <v>2</v>
      </c>
      <c r="AG65" s="38">
        <v>3</v>
      </c>
    </row>
    <row r="66" spans="28:33" ht="21.75" customHeight="1">
      <c r="AB66" s="36" t="s">
        <v>619</v>
      </c>
      <c r="AC66" s="38">
        <v>-1</v>
      </c>
      <c r="AD66" s="38">
        <v>-1</v>
      </c>
      <c r="AE66" s="38">
        <v>-1</v>
      </c>
      <c r="AF66" s="38">
        <v>-1</v>
      </c>
      <c r="AG66" s="38">
        <v>-1</v>
      </c>
    </row>
    <row r="67" spans="28:33" ht="21.75" customHeight="1">
      <c r="AB67" s="36" t="s">
        <v>621</v>
      </c>
      <c r="AC67" s="38">
        <v>2</v>
      </c>
      <c r="AD67" s="38">
        <v>2</v>
      </c>
      <c r="AE67" s="38">
        <v>3</v>
      </c>
      <c r="AF67" s="38">
        <v>3</v>
      </c>
      <c r="AG67" s="38">
        <v>4</v>
      </c>
    </row>
    <row r="68" spans="28:33" ht="21.75" customHeight="1">
      <c r="AB68" s="36" t="s">
        <v>626</v>
      </c>
      <c r="AC68" s="38">
        <v>-1</v>
      </c>
      <c r="AD68" s="38">
        <v>-1</v>
      </c>
      <c r="AE68" s="38">
        <v>-1</v>
      </c>
      <c r="AF68" s="38">
        <v>-1</v>
      </c>
      <c r="AG68" s="38">
        <v>-1</v>
      </c>
    </row>
    <row r="69" spans="28:33" ht="21.75" customHeight="1">
      <c r="AB69" s="36" t="s">
        <v>630</v>
      </c>
      <c r="AC69" s="38">
        <v>1</v>
      </c>
      <c r="AD69" s="38">
        <v>6</v>
      </c>
      <c r="AE69" s="38">
        <v>2</v>
      </c>
      <c r="AF69" s="38">
        <v>3</v>
      </c>
      <c r="AG69" s="38">
        <v>4</v>
      </c>
    </row>
    <row r="70" spans="28:33" ht="21.75" customHeight="1">
      <c r="AB70" s="36" t="s">
        <v>635</v>
      </c>
      <c r="AC70" s="38">
        <v>1</v>
      </c>
      <c r="AD70" s="38">
        <v>1</v>
      </c>
      <c r="AE70" s="38">
        <v>1</v>
      </c>
      <c r="AF70" s="38">
        <v>1</v>
      </c>
      <c r="AG70" s="38">
        <v>1</v>
      </c>
    </row>
    <row r="71" spans="28:33" ht="21.75" customHeight="1">
      <c r="AB71" s="36" t="s">
        <v>643</v>
      </c>
      <c r="AC71" s="38">
        <v>1</v>
      </c>
      <c r="AD71" s="38">
        <v>1</v>
      </c>
      <c r="AE71" s="38">
        <v>1</v>
      </c>
      <c r="AF71" s="38">
        <v>1</v>
      </c>
      <c r="AG71" s="38">
        <v>1</v>
      </c>
    </row>
    <row r="72" spans="28:33" ht="21.75" customHeight="1">
      <c r="AB72" s="36" t="s">
        <v>650</v>
      </c>
      <c r="AC72" s="38">
        <v>1</v>
      </c>
      <c r="AD72" s="38">
        <v>1</v>
      </c>
      <c r="AE72" s="38">
        <v>1</v>
      </c>
      <c r="AF72" s="38">
        <v>1</v>
      </c>
      <c r="AG72" s="38">
        <v>1</v>
      </c>
    </row>
    <row r="73" spans="28:33" ht="21.75" customHeight="1">
      <c r="AB73" s="36" t="s">
        <v>657</v>
      </c>
      <c r="AC73" s="38">
        <v>1</v>
      </c>
      <c r="AD73" s="38">
        <v>1</v>
      </c>
      <c r="AE73" s="38">
        <v>1</v>
      </c>
      <c r="AF73" s="38">
        <v>1</v>
      </c>
      <c r="AG73" s="38">
        <v>1</v>
      </c>
    </row>
    <row r="74" spans="28:33" ht="21.75" customHeight="1">
      <c r="AB74" s="36" t="s">
        <v>662</v>
      </c>
      <c r="AC74" s="38">
        <v>1</v>
      </c>
      <c r="AD74" s="38">
        <v>1</v>
      </c>
      <c r="AE74" s="38">
        <v>1</v>
      </c>
      <c r="AF74" s="38">
        <v>1</v>
      </c>
      <c r="AG74" s="38">
        <v>1</v>
      </c>
    </row>
    <row r="75" spans="28:33" ht="21.75" customHeight="1">
      <c r="AB75" s="36" t="s">
        <v>663</v>
      </c>
      <c r="AC75" s="38">
        <v>1</v>
      </c>
      <c r="AD75" s="38">
        <v>1</v>
      </c>
      <c r="AE75" s="38">
        <v>1</v>
      </c>
      <c r="AF75" s="38">
        <v>1</v>
      </c>
      <c r="AG75" s="38">
        <v>1</v>
      </c>
    </row>
    <row r="76" spans="28:33" ht="21.75" customHeight="1">
      <c r="AB76" s="121" t="s">
        <v>669</v>
      </c>
      <c r="AC76" s="38">
        <v>1</v>
      </c>
      <c r="AD76" s="38">
        <v>8</v>
      </c>
      <c r="AE76" s="38">
        <v>1</v>
      </c>
      <c r="AF76" s="38">
        <v>1</v>
      </c>
      <c r="AG76" s="38">
        <v>1</v>
      </c>
    </row>
    <row r="77" spans="28:33" ht="21.75" customHeight="1">
      <c r="AB77" s="121" t="s">
        <v>674</v>
      </c>
      <c r="AC77" s="38">
        <v>1</v>
      </c>
      <c r="AD77" s="38">
        <v>2</v>
      </c>
      <c r="AE77" s="38">
        <v>1</v>
      </c>
      <c r="AF77" s="38">
        <v>1</v>
      </c>
      <c r="AG77" s="38">
        <v>1</v>
      </c>
    </row>
    <row r="78" spans="28:33" ht="21.75" customHeight="1">
      <c r="AB78" s="36" t="s">
        <v>677</v>
      </c>
      <c r="AC78" s="38">
        <v>1</v>
      </c>
      <c r="AD78" s="38">
        <v>1</v>
      </c>
      <c r="AE78" s="38">
        <v>1</v>
      </c>
      <c r="AF78" s="38">
        <v>1</v>
      </c>
      <c r="AG78" s="38">
        <v>1</v>
      </c>
    </row>
    <row r="79" spans="28:33" ht="21.75" customHeight="1">
      <c r="AB79" s="121" t="s">
        <v>684</v>
      </c>
      <c r="AC79" s="38">
        <v>5</v>
      </c>
      <c r="AD79" s="38">
        <v>12</v>
      </c>
      <c r="AE79" s="38">
        <v>6</v>
      </c>
      <c r="AF79" s="38">
        <v>6</v>
      </c>
      <c r="AG79" s="38">
        <v>8</v>
      </c>
    </row>
    <row r="80" spans="28:33" ht="21.75" customHeight="1">
      <c r="AB80" s="121" t="s">
        <v>686</v>
      </c>
      <c r="AC80" s="38">
        <v>1</v>
      </c>
      <c r="AD80" s="38">
        <v>2</v>
      </c>
      <c r="AE80" s="38">
        <v>1</v>
      </c>
      <c r="AF80" s="38">
        <v>1</v>
      </c>
      <c r="AG80" s="38">
        <v>1</v>
      </c>
    </row>
    <row r="81" spans="28:33" ht="21.75" customHeight="1">
      <c r="AB81" s="121" t="s">
        <v>688</v>
      </c>
      <c r="AC81" s="38">
        <v>1</v>
      </c>
      <c r="AD81" s="38">
        <v>4</v>
      </c>
      <c r="AE81" s="38">
        <v>1</v>
      </c>
      <c r="AF81" s="38">
        <v>1</v>
      </c>
      <c r="AG81" s="38">
        <v>1</v>
      </c>
    </row>
    <row r="82" spans="28:33" ht="21.75" customHeight="1">
      <c r="AB82" s="121" t="s">
        <v>689</v>
      </c>
      <c r="AC82" s="38">
        <v>2</v>
      </c>
      <c r="AD82" s="38">
        <v>10</v>
      </c>
      <c r="AE82" s="38">
        <v>3</v>
      </c>
      <c r="AF82" s="38">
        <v>4</v>
      </c>
      <c r="AG82" s="38">
        <v>5</v>
      </c>
    </row>
    <row r="83" spans="28:33" ht="21.75" customHeight="1">
      <c r="AB83" s="121" t="s">
        <v>695</v>
      </c>
      <c r="AC83" s="38">
        <v>1</v>
      </c>
      <c r="AD83" s="38">
        <v>1</v>
      </c>
      <c r="AE83" s="38">
        <v>1</v>
      </c>
      <c r="AF83" s="38">
        <v>1</v>
      </c>
      <c r="AG83" s="38">
        <v>1</v>
      </c>
    </row>
    <row r="84" spans="28:33" ht="21.75" customHeight="1">
      <c r="AB84" s="121" t="s">
        <v>699</v>
      </c>
      <c r="AC84" s="38">
        <v>1</v>
      </c>
      <c r="AD84" s="38">
        <v>1</v>
      </c>
      <c r="AE84" s="38">
        <v>1</v>
      </c>
      <c r="AF84" s="38">
        <v>1</v>
      </c>
      <c r="AG84" s="38">
        <v>1</v>
      </c>
    </row>
    <row r="85" spans="28:33" ht="21.75" customHeight="1">
      <c r="AB85" s="121" t="s">
        <v>701</v>
      </c>
      <c r="AC85" s="38">
        <v>1</v>
      </c>
      <c r="AD85" s="38">
        <v>1</v>
      </c>
      <c r="AE85" s="38">
        <v>1</v>
      </c>
      <c r="AF85" s="38">
        <v>1</v>
      </c>
      <c r="AG85" s="38">
        <v>1</v>
      </c>
    </row>
    <row r="86" spans="28:33" ht="21.75" customHeight="1">
      <c r="AB86" s="121" t="s">
        <v>704</v>
      </c>
      <c r="AC86" s="38">
        <v>1</v>
      </c>
      <c r="AD86" s="38">
        <v>2</v>
      </c>
      <c r="AE86" s="38">
        <v>1</v>
      </c>
      <c r="AF86" s="38">
        <v>1</v>
      </c>
      <c r="AG86" s="38">
        <v>1</v>
      </c>
    </row>
    <row r="87" spans="28:33" ht="21.75" customHeight="1">
      <c r="AB87" s="121" t="s">
        <v>710</v>
      </c>
      <c r="AC87" s="38">
        <v>1</v>
      </c>
      <c r="AD87" s="38">
        <v>1</v>
      </c>
      <c r="AE87" s="38">
        <v>1</v>
      </c>
      <c r="AF87" s="38">
        <v>1</v>
      </c>
      <c r="AG87" s="38">
        <v>1</v>
      </c>
    </row>
    <row r="88" spans="28:33" ht="21.75" customHeight="1">
      <c r="AB88" s="121" t="s">
        <v>713</v>
      </c>
      <c r="AC88" s="38">
        <v>1</v>
      </c>
      <c r="AD88" s="38">
        <v>1</v>
      </c>
      <c r="AE88" s="38">
        <v>1</v>
      </c>
      <c r="AF88" s="38">
        <v>1</v>
      </c>
      <c r="AG88" s="38">
        <v>2</v>
      </c>
    </row>
    <row r="89" spans="28:33" ht="21.75" customHeight="1">
      <c r="AB89" s="121" t="s">
        <v>720</v>
      </c>
      <c r="AC89" s="38">
        <v>1</v>
      </c>
      <c r="AD89" s="38">
        <v>2</v>
      </c>
      <c r="AE89" s="38">
        <v>1</v>
      </c>
      <c r="AF89" s="38">
        <v>2</v>
      </c>
      <c r="AG89" s="38">
        <v>2</v>
      </c>
    </row>
    <row r="90" spans="28:33" ht="21.75" customHeight="1">
      <c r="AB90" s="121" t="s">
        <v>723</v>
      </c>
      <c r="AC90" s="38">
        <v>1</v>
      </c>
      <c r="AD90" s="38">
        <v>1</v>
      </c>
      <c r="AE90" s="38">
        <v>1</v>
      </c>
      <c r="AF90" s="38">
        <v>1</v>
      </c>
      <c r="AG90" s="38">
        <v>1</v>
      </c>
    </row>
    <row r="91" spans="28:33" ht="21.75" customHeight="1">
      <c r="AB91" s="121" t="s">
        <v>728</v>
      </c>
      <c r="AC91" s="38">
        <v>1</v>
      </c>
      <c r="AD91" s="38">
        <v>3</v>
      </c>
      <c r="AE91" s="38">
        <v>1</v>
      </c>
      <c r="AF91" s="38">
        <v>2</v>
      </c>
      <c r="AG91" s="38">
        <v>2</v>
      </c>
    </row>
    <row r="92" spans="28:33" ht="21.75" customHeight="1">
      <c r="AB92" s="121" t="s">
        <v>734</v>
      </c>
      <c r="AC92" s="38">
        <v>1</v>
      </c>
      <c r="AD92" s="38">
        <v>4</v>
      </c>
      <c r="AE92" s="38">
        <v>1</v>
      </c>
      <c r="AF92" s="38">
        <v>1</v>
      </c>
      <c r="AG92" s="38">
        <v>2</v>
      </c>
    </row>
    <row r="93" spans="28:33" ht="21.75" customHeight="1">
      <c r="AB93" s="121" t="s">
        <v>739</v>
      </c>
      <c r="AC93" s="38">
        <v>1</v>
      </c>
      <c r="AD93" s="38">
        <v>1</v>
      </c>
      <c r="AE93" s="38">
        <v>1</v>
      </c>
      <c r="AF93" s="38">
        <v>1</v>
      </c>
      <c r="AG93" s="38">
        <v>1</v>
      </c>
    </row>
    <row r="94" spans="28:33" ht="21.75" customHeight="1">
      <c r="AB94" s="121" t="s">
        <v>741</v>
      </c>
      <c r="AC94" s="38">
        <v>1</v>
      </c>
      <c r="AD94" s="38">
        <v>3</v>
      </c>
      <c r="AE94" s="38">
        <v>2</v>
      </c>
      <c r="AF94" s="38">
        <v>2</v>
      </c>
      <c r="AG94" s="38">
        <v>3</v>
      </c>
    </row>
    <row r="95" spans="28:33" ht="21.75" customHeight="1">
      <c r="AB95" s="121" t="s">
        <v>743</v>
      </c>
      <c r="AC95" s="38">
        <v>1</v>
      </c>
      <c r="AD95" s="38">
        <v>2</v>
      </c>
      <c r="AE95" s="38">
        <v>1</v>
      </c>
      <c r="AF95" s="38">
        <v>1</v>
      </c>
      <c r="AG95" s="38">
        <v>1</v>
      </c>
    </row>
    <row r="96" spans="28:33" ht="21.75" customHeight="1">
      <c r="AB96" s="121" t="s">
        <v>750</v>
      </c>
      <c r="AC96" s="38">
        <v>1</v>
      </c>
      <c r="AD96" s="38">
        <v>3</v>
      </c>
      <c r="AE96" s="38">
        <v>1</v>
      </c>
      <c r="AF96" s="38">
        <v>1</v>
      </c>
      <c r="AG96" s="38">
        <v>2</v>
      </c>
    </row>
    <row r="97" spans="28:33" ht="21.75" customHeight="1">
      <c r="AB97" s="121" t="s">
        <v>752</v>
      </c>
      <c r="AC97" s="38">
        <v>1</v>
      </c>
      <c r="AD97" s="38">
        <v>6</v>
      </c>
      <c r="AE97" s="38">
        <v>2</v>
      </c>
      <c r="AF97" s="38">
        <v>3</v>
      </c>
      <c r="AG97" s="38">
        <v>3</v>
      </c>
    </row>
    <row r="98" spans="28:33" ht="21.75" customHeight="1">
      <c r="AB98" s="121" t="s">
        <v>758</v>
      </c>
      <c r="AC98" s="38">
        <v>1</v>
      </c>
      <c r="AD98" s="38">
        <v>3</v>
      </c>
      <c r="AE98" s="38">
        <v>1</v>
      </c>
      <c r="AF98" s="38">
        <v>1</v>
      </c>
      <c r="AG98" s="38">
        <v>1</v>
      </c>
    </row>
    <row r="99" spans="28:33" ht="21.75" customHeight="1">
      <c r="AB99" s="121" t="s">
        <v>763</v>
      </c>
      <c r="AC99" s="38">
        <v>1</v>
      </c>
      <c r="AD99" s="38">
        <v>3</v>
      </c>
      <c r="AE99" s="38">
        <v>1</v>
      </c>
      <c r="AF99" s="38">
        <v>1</v>
      </c>
      <c r="AG99" s="38">
        <v>1</v>
      </c>
    </row>
    <row r="100" spans="28:33" ht="21.75" customHeight="1">
      <c r="AB100" s="121" t="s">
        <v>768</v>
      </c>
      <c r="AC100" s="38">
        <v>1</v>
      </c>
      <c r="AD100" s="38">
        <v>4</v>
      </c>
      <c r="AE100" s="38">
        <v>1</v>
      </c>
      <c r="AF100" s="38">
        <v>1</v>
      </c>
      <c r="AG100" s="38">
        <v>2</v>
      </c>
    </row>
    <row r="101" spans="28:33" ht="21.75" customHeight="1">
      <c r="AB101" s="121" t="s">
        <v>769</v>
      </c>
      <c r="AC101" s="38">
        <v>-1</v>
      </c>
      <c r="AD101" s="38">
        <v>-1</v>
      </c>
      <c r="AE101" s="38">
        <v>-1</v>
      </c>
      <c r="AF101" s="38">
        <v>-1</v>
      </c>
      <c r="AG101" s="38">
        <v>-1</v>
      </c>
    </row>
    <row r="102" spans="28:33" ht="21.75" customHeight="1">
      <c r="AB102" s="121" t="s">
        <v>771</v>
      </c>
      <c r="AC102" s="38">
        <v>1</v>
      </c>
      <c r="AD102" s="38">
        <v>2</v>
      </c>
      <c r="AE102" s="38">
        <v>1</v>
      </c>
      <c r="AF102" s="38">
        <v>1</v>
      </c>
      <c r="AG102" s="38">
        <v>2</v>
      </c>
    </row>
    <row r="103" spans="28:33" ht="21.75" customHeight="1">
      <c r="AB103" s="121" t="s">
        <v>785</v>
      </c>
      <c r="AC103" s="38">
        <v>1</v>
      </c>
      <c r="AD103" s="38">
        <v>6</v>
      </c>
      <c r="AE103" s="38">
        <v>2</v>
      </c>
      <c r="AF103" s="38">
        <v>3</v>
      </c>
      <c r="AG103" s="38">
        <v>4</v>
      </c>
    </row>
    <row r="104" spans="28:33" ht="21.75" customHeight="1">
      <c r="AB104" s="121" t="s">
        <v>786</v>
      </c>
      <c r="AC104" s="38">
        <v>1</v>
      </c>
      <c r="AD104" s="38">
        <v>2</v>
      </c>
      <c r="AE104" s="38">
        <v>1</v>
      </c>
      <c r="AF104" s="38">
        <v>1</v>
      </c>
      <c r="AG104" s="38">
        <v>1</v>
      </c>
    </row>
    <row r="105" spans="28:33" ht="21.75" customHeight="1">
      <c r="AB105" s="121" t="s">
        <v>788</v>
      </c>
      <c r="AC105" s="38">
        <v>1</v>
      </c>
      <c r="AD105" s="38">
        <v>2</v>
      </c>
      <c r="AE105" s="38">
        <v>2</v>
      </c>
      <c r="AF105" s="38">
        <v>2</v>
      </c>
      <c r="AG105" s="38">
        <v>3</v>
      </c>
    </row>
    <row r="106" spans="28:33" ht="21.75" customHeight="1">
      <c r="AB106" s="121" t="s">
        <v>789</v>
      </c>
      <c r="AC106" s="38">
        <v>1</v>
      </c>
      <c r="AD106" s="38">
        <v>2</v>
      </c>
      <c r="AE106" s="38">
        <v>1</v>
      </c>
      <c r="AF106" s="38">
        <v>1</v>
      </c>
      <c r="AG106" s="38">
        <v>1</v>
      </c>
    </row>
    <row r="107" spans="28:33" ht="21.75" customHeight="1">
      <c r="AB107" s="121" t="s">
        <v>798</v>
      </c>
      <c r="AC107" s="38">
        <v>1</v>
      </c>
      <c r="AD107" s="38">
        <v>2</v>
      </c>
      <c r="AE107" s="38">
        <v>1</v>
      </c>
      <c r="AF107" s="38">
        <v>2</v>
      </c>
      <c r="AG107" s="38">
        <v>2</v>
      </c>
    </row>
    <row r="108" spans="28:33" ht="21.75" customHeight="1">
      <c r="AB108" s="121" t="s">
        <v>799</v>
      </c>
      <c r="AC108" s="38">
        <v>1</v>
      </c>
      <c r="AD108" s="38">
        <v>1</v>
      </c>
      <c r="AE108" s="38">
        <v>1</v>
      </c>
      <c r="AF108" s="38">
        <v>1</v>
      </c>
      <c r="AG108" s="38">
        <v>2</v>
      </c>
    </row>
    <row r="109" spans="28:33" ht="21.75" customHeight="1">
      <c r="AB109" s="121" t="s">
        <v>801</v>
      </c>
      <c r="AC109" s="38">
        <v>1</v>
      </c>
      <c r="AD109" s="38">
        <v>1</v>
      </c>
      <c r="AE109" s="38">
        <v>1</v>
      </c>
      <c r="AF109" s="38">
        <v>2</v>
      </c>
      <c r="AG109" s="38">
        <v>2</v>
      </c>
    </row>
    <row r="110" spans="28:33" ht="21.75" customHeight="1">
      <c r="AB110" s="121" t="s">
        <v>815</v>
      </c>
      <c r="AC110" s="38">
        <v>1</v>
      </c>
      <c r="AD110" s="38">
        <v>5</v>
      </c>
      <c r="AE110" s="38">
        <v>1</v>
      </c>
      <c r="AF110" s="38">
        <v>2</v>
      </c>
      <c r="AG110" s="38">
        <v>2</v>
      </c>
    </row>
    <row r="111" spans="28:33" ht="21.75" customHeight="1">
      <c r="AB111" s="121" t="s">
        <v>816</v>
      </c>
      <c r="AC111" s="38">
        <v>1</v>
      </c>
      <c r="AD111" s="38">
        <v>1</v>
      </c>
      <c r="AE111" s="38">
        <v>1</v>
      </c>
      <c r="AF111" s="38">
        <v>1</v>
      </c>
      <c r="AG111" s="38">
        <v>1</v>
      </c>
    </row>
    <row r="112" spans="28:33" ht="21.75" customHeight="1">
      <c r="AB112" s="121" t="s">
        <v>818</v>
      </c>
      <c r="AC112" s="38">
        <v>1</v>
      </c>
      <c r="AD112" s="38">
        <v>1</v>
      </c>
      <c r="AE112" s="38">
        <v>1</v>
      </c>
      <c r="AF112" s="38">
        <v>1</v>
      </c>
      <c r="AG112" s="38">
        <v>1</v>
      </c>
    </row>
    <row r="113" spans="28:33" ht="21.75" customHeight="1">
      <c r="AB113" s="121" t="s">
        <v>821</v>
      </c>
      <c r="AC113" s="38">
        <v>1</v>
      </c>
      <c r="AD113" s="38">
        <v>1</v>
      </c>
      <c r="AE113" s="38">
        <v>1</v>
      </c>
      <c r="AF113" s="38">
        <v>1</v>
      </c>
      <c r="AG113" s="38">
        <v>1</v>
      </c>
    </row>
    <row r="114" spans="28:33" ht="21.75" customHeight="1">
      <c r="AB114" s="121" t="s">
        <v>828</v>
      </c>
      <c r="AC114" s="38">
        <v>1</v>
      </c>
      <c r="AD114" s="38">
        <v>2</v>
      </c>
      <c r="AE114" s="38">
        <v>1</v>
      </c>
      <c r="AF114" s="38">
        <v>1</v>
      </c>
      <c r="AG114" s="38">
        <v>1</v>
      </c>
    </row>
    <row r="115" spans="28:33" ht="21.75" customHeight="1">
      <c r="AB115" s="121" t="s">
        <v>831</v>
      </c>
      <c r="AC115" s="38">
        <v>3</v>
      </c>
      <c r="AD115" s="38">
        <v>10</v>
      </c>
      <c r="AE115" s="38">
        <v>4</v>
      </c>
      <c r="AF115" s="38">
        <v>4</v>
      </c>
      <c r="AG115" s="38">
        <v>6</v>
      </c>
    </row>
    <row r="116" spans="28:33" ht="21.75" customHeight="1">
      <c r="AB116" s="121" t="s">
        <v>836</v>
      </c>
      <c r="AC116" s="38">
        <v>1</v>
      </c>
      <c r="AD116" s="38">
        <v>2</v>
      </c>
      <c r="AE116" s="38">
        <v>2</v>
      </c>
      <c r="AF116" s="38">
        <v>3</v>
      </c>
      <c r="AG116" s="38">
        <v>3</v>
      </c>
    </row>
    <row r="117" spans="28:33" ht="21.75" customHeight="1">
      <c r="AB117" s="121" t="s">
        <v>838</v>
      </c>
      <c r="AC117" s="38">
        <v>1</v>
      </c>
      <c r="AD117" s="38">
        <v>1</v>
      </c>
      <c r="AE117" s="38">
        <v>1</v>
      </c>
      <c r="AF117" s="38">
        <v>1</v>
      </c>
      <c r="AG117" s="38">
        <v>1</v>
      </c>
    </row>
    <row r="118" spans="28:33" ht="21.75" customHeight="1">
      <c r="AB118" s="121" t="s">
        <v>841</v>
      </c>
      <c r="AC118" s="38">
        <v>1</v>
      </c>
      <c r="AD118" s="38">
        <v>2</v>
      </c>
      <c r="AE118" s="38">
        <v>1</v>
      </c>
      <c r="AF118" s="38">
        <v>1</v>
      </c>
      <c r="AG118" s="38">
        <v>1</v>
      </c>
    </row>
    <row r="119" spans="28:33" ht="21.75" customHeight="1">
      <c r="AB119" s="121" t="s">
        <v>847</v>
      </c>
      <c r="AC119" s="38">
        <v>-1</v>
      </c>
      <c r="AD119" s="38">
        <v>-1</v>
      </c>
      <c r="AE119" s="38">
        <v>-1</v>
      </c>
      <c r="AF119" s="38">
        <v>-1</v>
      </c>
      <c r="AG119" s="38">
        <v>-1</v>
      </c>
    </row>
    <row r="120" spans="28:33" ht="21.75" customHeight="1">
      <c r="AB120" s="121" t="s">
        <v>850</v>
      </c>
      <c r="AC120" s="38">
        <v>1</v>
      </c>
      <c r="AD120" s="38">
        <v>1</v>
      </c>
      <c r="AE120" s="38">
        <v>1</v>
      </c>
      <c r="AF120" s="38">
        <v>1</v>
      </c>
      <c r="AG120" s="38">
        <v>1</v>
      </c>
    </row>
    <row r="121" spans="28:33" ht="21.75" customHeight="1">
      <c r="AB121" s="121" t="s">
        <v>856</v>
      </c>
      <c r="AC121" s="38">
        <v>1</v>
      </c>
      <c r="AD121" s="38">
        <v>1</v>
      </c>
      <c r="AE121" s="38">
        <v>1</v>
      </c>
      <c r="AF121" s="38">
        <v>1</v>
      </c>
      <c r="AG121" s="38">
        <v>1</v>
      </c>
    </row>
    <row r="122" spans="28:33" ht="21.75" customHeight="1">
      <c r="AB122" s="121" t="s">
        <v>857</v>
      </c>
      <c r="AC122" s="38">
        <v>1</v>
      </c>
      <c r="AD122" s="38">
        <v>1</v>
      </c>
      <c r="AE122" s="38">
        <v>1</v>
      </c>
      <c r="AF122" s="38">
        <v>1</v>
      </c>
      <c r="AG122" s="38">
        <v>1</v>
      </c>
    </row>
    <row r="123" spans="28:33" ht="21.75" customHeight="1">
      <c r="AB123" s="121" t="s">
        <v>860</v>
      </c>
      <c r="AC123" s="38">
        <v>1</v>
      </c>
      <c r="AD123" s="38">
        <v>1</v>
      </c>
      <c r="AE123" s="38">
        <v>1</v>
      </c>
      <c r="AF123" s="38">
        <v>1</v>
      </c>
      <c r="AG123" s="38">
        <v>1</v>
      </c>
    </row>
    <row r="124" spans="28:33" ht="21.75" customHeight="1">
      <c r="AB124" s="121" t="s">
        <v>867</v>
      </c>
      <c r="AC124" s="38">
        <v>1</v>
      </c>
      <c r="AD124" s="38">
        <v>1</v>
      </c>
      <c r="AE124" s="38">
        <v>1</v>
      </c>
      <c r="AF124" s="38">
        <v>1</v>
      </c>
      <c r="AG124" s="38">
        <v>1</v>
      </c>
    </row>
    <row r="125" spans="28:33" ht="21.75" customHeight="1">
      <c r="AB125" s="121" t="s">
        <v>870</v>
      </c>
      <c r="AC125" s="38">
        <v>1</v>
      </c>
      <c r="AD125" s="38">
        <v>1</v>
      </c>
      <c r="AE125" s="38">
        <v>1</v>
      </c>
      <c r="AF125" s="38">
        <v>1</v>
      </c>
      <c r="AG125" s="38">
        <v>1</v>
      </c>
    </row>
    <row r="126" spans="28:33" ht="21.75" customHeight="1">
      <c r="AB126" s="121" t="s">
        <v>872</v>
      </c>
      <c r="AC126" s="38">
        <v>1</v>
      </c>
      <c r="AD126" s="38">
        <v>1</v>
      </c>
      <c r="AE126" s="38">
        <v>1</v>
      </c>
      <c r="AF126" s="38">
        <v>2</v>
      </c>
      <c r="AG126" s="38">
        <v>2</v>
      </c>
    </row>
    <row r="127" spans="28:33" ht="21.75" customHeight="1">
      <c r="AB127" s="121" t="s">
        <v>901</v>
      </c>
      <c r="AC127" s="38">
        <v>1</v>
      </c>
      <c r="AD127" s="38">
        <v>1</v>
      </c>
      <c r="AE127" s="38">
        <v>1</v>
      </c>
      <c r="AF127" s="38">
        <v>1</v>
      </c>
      <c r="AG127" s="38">
        <v>2</v>
      </c>
    </row>
    <row r="128" spans="28:33" ht="21.75" customHeight="1">
      <c r="AB128" s="121" t="s">
        <v>904</v>
      </c>
      <c r="AC128" s="38">
        <v>-1</v>
      </c>
      <c r="AD128" s="38">
        <v>-1</v>
      </c>
      <c r="AE128" s="38">
        <v>-1</v>
      </c>
      <c r="AF128" s="38">
        <v>-1</v>
      </c>
      <c r="AG128" s="38">
        <v>-1</v>
      </c>
    </row>
    <row r="129" spans="28:33" ht="21.75" customHeight="1">
      <c r="AB129" s="121" t="s">
        <v>908</v>
      </c>
      <c r="AC129" s="38">
        <v>1</v>
      </c>
      <c r="AD129" s="38">
        <v>1</v>
      </c>
      <c r="AE129" s="38">
        <v>1</v>
      </c>
      <c r="AF129" s="38">
        <v>1</v>
      </c>
      <c r="AG129" s="38">
        <v>1</v>
      </c>
    </row>
    <row r="130" spans="28:33" ht="21.75" customHeight="1">
      <c r="AB130" s="121" t="s">
        <v>910</v>
      </c>
      <c r="AC130" s="38">
        <v>1</v>
      </c>
      <c r="AD130" s="38">
        <v>1</v>
      </c>
      <c r="AE130" s="38">
        <v>1</v>
      </c>
      <c r="AF130" s="38">
        <v>2</v>
      </c>
      <c r="AG130" s="38">
        <v>2</v>
      </c>
    </row>
    <row r="131" spans="28:33" ht="21.75" customHeight="1">
      <c r="AB131" s="121" t="s">
        <v>915</v>
      </c>
      <c r="AC131" s="38">
        <v>-1</v>
      </c>
      <c r="AD131" s="38">
        <v>-1</v>
      </c>
      <c r="AE131" s="38">
        <v>-1</v>
      </c>
      <c r="AF131" s="38">
        <v>-1</v>
      </c>
      <c r="AG131" s="38">
        <v>-1</v>
      </c>
    </row>
    <row r="132" spans="28:33" ht="21.75" customHeight="1">
      <c r="AB132" s="121" t="s">
        <v>920</v>
      </c>
      <c r="AC132" s="38">
        <v>-1</v>
      </c>
      <c r="AD132" s="38">
        <v>-1</v>
      </c>
      <c r="AE132" s="38">
        <v>-1</v>
      </c>
      <c r="AF132" s="38">
        <v>-1</v>
      </c>
      <c r="AG132" s="38">
        <v>-1</v>
      </c>
    </row>
    <row r="133" spans="28:33" ht="21.75" customHeight="1">
      <c r="AB133" s="121" t="s">
        <v>921</v>
      </c>
      <c r="AC133" s="38">
        <v>-1</v>
      </c>
      <c r="AD133" s="38">
        <v>-1</v>
      </c>
      <c r="AE133" s="38">
        <v>-1</v>
      </c>
      <c r="AF133" s="38">
        <v>-1</v>
      </c>
      <c r="AG133" s="38">
        <v>-1</v>
      </c>
    </row>
    <row r="134" spans="28:33" ht="21.75" customHeight="1">
      <c r="AB134" s="121" t="s">
        <v>924</v>
      </c>
      <c r="AC134" s="38">
        <v>1</v>
      </c>
      <c r="AD134" s="38">
        <v>2</v>
      </c>
      <c r="AE134" s="38">
        <v>1</v>
      </c>
      <c r="AF134" s="38">
        <v>1</v>
      </c>
      <c r="AG134" s="38">
        <v>1</v>
      </c>
    </row>
    <row r="135" spans="28:33" ht="21.75" customHeight="1">
      <c r="AB135" s="121" t="s">
        <v>931</v>
      </c>
      <c r="AC135" s="38">
        <v>1</v>
      </c>
      <c r="AD135" s="38">
        <v>1</v>
      </c>
      <c r="AE135" s="38">
        <v>1</v>
      </c>
      <c r="AF135" s="38">
        <v>1</v>
      </c>
      <c r="AG135" s="38">
        <v>1</v>
      </c>
    </row>
    <row r="136" spans="28:33" ht="21.75" customHeight="1">
      <c r="AB136" s="121" t="s">
        <v>933</v>
      </c>
      <c r="AC136" s="38">
        <v>1</v>
      </c>
      <c r="AD136" s="38">
        <v>1</v>
      </c>
      <c r="AE136" s="38">
        <v>1</v>
      </c>
      <c r="AF136" s="38">
        <v>1</v>
      </c>
      <c r="AG136" s="38">
        <v>1</v>
      </c>
    </row>
    <row r="137" spans="28:33" ht="21.75" customHeight="1">
      <c r="AB137" s="121" t="s">
        <v>939</v>
      </c>
      <c r="AC137" s="38">
        <v>1</v>
      </c>
      <c r="AD137" s="38">
        <v>1</v>
      </c>
      <c r="AE137" s="38">
        <v>1</v>
      </c>
      <c r="AF137" s="38">
        <v>2</v>
      </c>
      <c r="AG137" s="38">
        <v>2</v>
      </c>
    </row>
    <row r="138" spans="28:33" ht="21.75" customHeight="1">
      <c r="AB138" s="121" t="s">
        <v>944</v>
      </c>
      <c r="AC138" s="38">
        <v>-1</v>
      </c>
      <c r="AD138" s="38">
        <v>-1</v>
      </c>
      <c r="AE138" s="38">
        <v>-1</v>
      </c>
      <c r="AF138" s="38">
        <v>-1</v>
      </c>
      <c r="AG138" s="38">
        <v>-1</v>
      </c>
    </row>
    <row r="139" spans="28:33" ht="21.75" customHeight="1">
      <c r="AB139" s="121" t="s">
        <v>945</v>
      </c>
      <c r="AC139" s="38">
        <v>1</v>
      </c>
      <c r="AD139" s="38">
        <v>2</v>
      </c>
      <c r="AE139" s="38">
        <v>1</v>
      </c>
      <c r="AF139" s="38">
        <v>1</v>
      </c>
      <c r="AG139" s="38">
        <v>2</v>
      </c>
    </row>
    <row r="140" spans="28:33" ht="21.75" customHeight="1">
      <c r="AB140" s="121" t="s">
        <v>949</v>
      </c>
      <c r="AC140" s="38">
        <v>1</v>
      </c>
      <c r="AD140" s="38">
        <v>1</v>
      </c>
      <c r="AE140" s="38">
        <v>1</v>
      </c>
      <c r="AF140" s="38">
        <v>1</v>
      </c>
      <c r="AG140" s="38">
        <v>2</v>
      </c>
    </row>
    <row r="141" spans="28:33" ht="21.75" customHeight="1">
      <c r="AB141" s="121" t="s">
        <v>956</v>
      </c>
      <c r="AC141" s="38">
        <v>1</v>
      </c>
      <c r="AD141" s="38">
        <v>2</v>
      </c>
      <c r="AE141" s="38">
        <v>1</v>
      </c>
      <c r="AF141" s="38">
        <v>1</v>
      </c>
      <c r="AG141" s="38">
        <v>2</v>
      </c>
    </row>
    <row r="142" spans="28:33" ht="21.75" customHeight="1">
      <c r="AB142" s="121" t="s">
        <v>958</v>
      </c>
      <c r="AC142" s="38">
        <v>1</v>
      </c>
      <c r="AD142" s="38">
        <v>1</v>
      </c>
      <c r="AE142" s="38">
        <v>1</v>
      </c>
      <c r="AF142" s="38">
        <v>1</v>
      </c>
      <c r="AG142" s="38">
        <v>1</v>
      </c>
    </row>
    <row r="143" spans="28:33" ht="21.75" customHeight="1">
      <c r="AB143" s="36"/>
      <c r="AC143" s="38">
        <v>-1</v>
      </c>
      <c r="AD143" s="38">
        <v>-1</v>
      </c>
      <c r="AE143" s="38">
        <v>-1</v>
      </c>
      <c r="AF143" s="38">
        <v>-1</v>
      </c>
      <c r="AG143" s="38">
        <v>-1</v>
      </c>
    </row>
    <row r="144" spans="28:33" ht="21.75" customHeight="1">
      <c r="AB144" s="121" t="s">
        <v>962</v>
      </c>
      <c r="AC144" s="38">
        <v>1</v>
      </c>
      <c r="AD144" s="38">
        <v>1</v>
      </c>
      <c r="AE144" s="38">
        <v>1</v>
      </c>
      <c r="AF144" s="38">
        <v>1</v>
      </c>
      <c r="AG144" s="38">
        <v>1</v>
      </c>
    </row>
    <row r="145" spans="28:33" ht="21.75" customHeight="1">
      <c r="AB145" s="121" t="s">
        <v>968</v>
      </c>
      <c r="AC145" s="38">
        <v>-1</v>
      </c>
      <c r="AD145" s="38">
        <v>-1</v>
      </c>
      <c r="AE145" s="38">
        <v>-1</v>
      </c>
      <c r="AF145" s="38">
        <v>-1</v>
      </c>
      <c r="AG145" s="38">
        <v>-1</v>
      </c>
    </row>
    <row r="146" spans="28:33" ht="21.75" customHeight="1">
      <c r="AB146" s="121" t="s">
        <v>970</v>
      </c>
      <c r="AC146" s="38">
        <v>1</v>
      </c>
      <c r="AD146" s="38">
        <v>1</v>
      </c>
      <c r="AE146" s="38">
        <v>1</v>
      </c>
      <c r="AF146" s="38">
        <v>1</v>
      </c>
      <c r="AG146" s="38">
        <v>1</v>
      </c>
    </row>
    <row r="147" spans="28:33" ht="21.75" customHeight="1">
      <c r="AB147" s="121" t="s">
        <v>973</v>
      </c>
      <c r="AC147" s="38">
        <v>1</v>
      </c>
      <c r="AD147" s="38">
        <v>1</v>
      </c>
      <c r="AE147" s="38">
        <v>1</v>
      </c>
      <c r="AF147" s="38">
        <v>1</v>
      </c>
      <c r="AG147" s="38">
        <v>1</v>
      </c>
    </row>
    <row r="148" spans="28:33" ht="21.75" customHeight="1">
      <c r="AB148" s="121" t="s">
        <v>977</v>
      </c>
      <c r="AC148" s="38">
        <v>1</v>
      </c>
      <c r="AD148" s="38">
        <v>2</v>
      </c>
      <c r="AE148" s="38">
        <v>2</v>
      </c>
      <c r="AF148" s="38">
        <v>2</v>
      </c>
      <c r="AG148" s="38">
        <v>3</v>
      </c>
    </row>
    <row r="149" spans="28:33" ht="21.75" customHeight="1">
      <c r="AB149" s="121" t="s">
        <v>981</v>
      </c>
      <c r="AC149" s="38">
        <v>1</v>
      </c>
      <c r="AD149" s="38">
        <v>2</v>
      </c>
      <c r="AE149" s="38">
        <v>1</v>
      </c>
      <c r="AF149" s="38">
        <v>1</v>
      </c>
      <c r="AG149" s="38">
        <v>1</v>
      </c>
    </row>
    <row r="150" spans="28:33" ht="21.75" customHeight="1">
      <c r="AB150" s="121" t="s">
        <v>982</v>
      </c>
      <c r="AC150" s="38">
        <v>1</v>
      </c>
      <c r="AD150" s="38">
        <v>2</v>
      </c>
      <c r="AE150" s="38">
        <v>1</v>
      </c>
      <c r="AF150" s="38">
        <v>1</v>
      </c>
      <c r="AG150" s="38">
        <v>1</v>
      </c>
    </row>
    <row r="151" spans="28:33" ht="21.75" customHeight="1">
      <c r="AB151" s="121" t="s">
        <v>984</v>
      </c>
      <c r="AC151" s="38">
        <v>1</v>
      </c>
      <c r="AD151" s="38">
        <v>2</v>
      </c>
      <c r="AE151" s="38">
        <v>1</v>
      </c>
      <c r="AF151" s="38">
        <v>1</v>
      </c>
      <c r="AG151" s="38">
        <v>2</v>
      </c>
    </row>
    <row r="152" spans="28:33" ht="21.75" customHeight="1">
      <c r="AB152" s="121" t="s">
        <v>987</v>
      </c>
      <c r="AC152" s="38">
        <v>1</v>
      </c>
      <c r="AD152" s="38">
        <v>2</v>
      </c>
      <c r="AE152" s="38">
        <v>1</v>
      </c>
      <c r="AF152" s="38">
        <v>2</v>
      </c>
      <c r="AG152" s="38">
        <v>2</v>
      </c>
    </row>
    <row r="153" spans="28:33" ht="21.75" customHeight="1">
      <c r="AB153" s="121" t="s">
        <v>993</v>
      </c>
      <c r="AC153" s="38">
        <v>1</v>
      </c>
      <c r="AD153" s="38">
        <v>1</v>
      </c>
      <c r="AE153" s="38">
        <v>1</v>
      </c>
      <c r="AF153" s="38">
        <v>1</v>
      </c>
      <c r="AG153" s="38">
        <v>1</v>
      </c>
    </row>
    <row r="154" spans="28:33" ht="21.75" customHeight="1">
      <c r="AB154" s="121" t="s">
        <v>996</v>
      </c>
      <c r="AC154" s="38">
        <v>1</v>
      </c>
      <c r="AD154" s="38">
        <v>2</v>
      </c>
      <c r="AE154" s="38">
        <v>2</v>
      </c>
      <c r="AF154" s="38">
        <v>2</v>
      </c>
      <c r="AG154" s="38">
        <v>3</v>
      </c>
    </row>
    <row r="155" spans="28:33" ht="21.75" customHeight="1">
      <c r="AB155" s="121" t="s">
        <v>1000</v>
      </c>
      <c r="AC155" s="38">
        <v>1</v>
      </c>
      <c r="AD155" s="38">
        <v>1</v>
      </c>
      <c r="AE155" s="38">
        <v>1</v>
      </c>
      <c r="AF155" s="38">
        <v>1</v>
      </c>
      <c r="AG155" s="38">
        <v>1</v>
      </c>
    </row>
    <row r="156" spans="28:33" ht="21.75" customHeight="1">
      <c r="AB156" s="121" t="s">
        <v>1010</v>
      </c>
      <c r="AC156" s="38">
        <v>1</v>
      </c>
      <c r="AD156" s="38">
        <v>3</v>
      </c>
      <c r="AE156" s="38">
        <v>2</v>
      </c>
      <c r="AF156" s="38">
        <v>2</v>
      </c>
      <c r="AG156" s="38">
        <v>3</v>
      </c>
    </row>
    <row r="157" spans="28:33" ht="21.75" customHeight="1">
      <c r="AB157" s="121" t="s">
        <v>1016</v>
      </c>
      <c r="AC157" s="38">
        <v>1</v>
      </c>
      <c r="AD157" s="38">
        <v>2</v>
      </c>
      <c r="AE157" s="38">
        <v>1</v>
      </c>
      <c r="AF157" s="38">
        <v>2</v>
      </c>
      <c r="AG157" s="38">
        <v>2</v>
      </c>
    </row>
    <row r="158" spans="28:33" ht="21.75" customHeight="1">
      <c r="AB158" s="121" t="s">
        <v>1021</v>
      </c>
      <c r="AC158" s="38">
        <v>1</v>
      </c>
      <c r="AD158" s="38">
        <v>1</v>
      </c>
      <c r="AE158" s="38">
        <v>2</v>
      </c>
      <c r="AF158" s="38">
        <v>3</v>
      </c>
      <c r="AG158" s="38">
        <v>3</v>
      </c>
    </row>
    <row r="159" spans="28:33" ht="21.75" customHeight="1">
      <c r="AB159" s="121" t="s">
        <v>1025</v>
      </c>
      <c r="AC159" s="38">
        <v>1</v>
      </c>
      <c r="AD159" s="38">
        <v>1</v>
      </c>
      <c r="AE159" s="38">
        <v>1</v>
      </c>
      <c r="AF159" s="38">
        <v>1</v>
      </c>
      <c r="AG159" s="38">
        <v>1</v>
      </c>
    </row>
    <row r="160" spans="28:33" ht="21.75" customHeight="1">
      <c r="AB160" s="121" t="s">
        <v>1031</v>
      </c>
      <c r="AC160" s="38">
        <v>1</v>
      </c>
      <c r="AD160" s="38">
        <v>1</v>
      </c>
      <c r="AE160" s="38">
        <v>1</v>
      </c>
      <c r="AF160" s="38">
        <v>1</v>
      </c>
      <c r="AG160" s="38">
        <v>1</v>
      </c>
    </row>
    <row r="161" spans="28:33" ht="21.75" customHeight="1">
      <c r="AB161" s="121" t="s">
        <v>1032</v>
      </c>
      <c r="AC161" s="38">
        <v>1</v>
      </c>
      <c r="AD161" s="38">
        <v>1</v>
      </c>
      <c r="AE161" s="38">
        <v>1</v>
      </c>
      <c r="AF161" s="38">
        <v>1</v>
      </c>
      <c r="AG161" s="38">
        <v>2</v>
      </c>
    </row>
    <row r="162" spans="28:33" ht="21.75" customHeight="1">
      <c r="AB162" s="121" t="s">
        <v>1034</v>
      </c>
      <c r="AC162" s="38">
        <v>1</v>
      </c>
      <c r="AD162" s="38">
        <v>1</v>
      </c>
      <c r="AE162" s="38">
        <v>1</v>
      </c>
      <c r="AF162" s="38">
        <v>1</v>
      </c>
      <c r="AG162" s="38">
        <v>1</v>
      </c>
    </row>
    <row r="163" spans="28:33" ht="21.75" customHeight="1">
      <c r="AB163" s="121" t="s">
        <v>1041</v>
      </c>
      <c r="AC163" s="38">
        <v>1</v>
      </c>
      <c r="AD163" s="38">
        <v>1</v>
      </c>
      <c r="AE163" s="38">
        <v>1</v>
      </c>
      <c r="AF163" s="38">
        <v>1</v>
      </c>
      <c r="AG163" s="38">
        <v>1</v>
      </c>
    </row>
    <row r="164" spans="28:33" ht="21.75" customHeight="1">
      <c r="AB164" s="60" t="s">
        <v>1046</v>
      </c>
      <c r="AC164" s="38">
        <v>-1</v>
      </c>
      <c r="AD164" s="38">
        <v>-1</v>
      </c>
      <c r="AE164" s="38">
        <v>-1</v>
      </c>
      <c r="AF164" s="38">
        <v>-1</v>
      </c>
      <c r="AG164" s="38">
        <v>-1</v>
      </c>
    </row>
    <row r="165" spans="28:33" ht="21.75" customHeight="1">
      <c r="AB165" s="60" t="s">
        <v>1054</v>
      </c>
      <c r="AC165" s="38">
        <v>-1</v>
      </c>
      <c r="AD165" s="38">
        <v>-1</v>
      </c>
      <c r="AE165" s="38">
        <v>-1</v>
      </c>
      <c r="AF165" s="38">
        <v>-1</v>
      </c>
      <c r="AG165" s="38">
        <v>-1</v>
      </c>
    </row>
    <row r="166" spans="28:33" ht="21.75" customHeight="1">
      <c r="AB166" s="60" t="s">
        <v>1056</v>
      </c>
      <c r="AC166" s="38">
        <v>-1</v>
      </c>
      <c r="AD166" s="38">
        <v>-1</v>
      </c>
      <c r="AE166" s="38">
        <v>-1</v>
      </c>
      <c r="AF166" s="38">
        <v>-1</v>
      </c>
      <c r="AG166" s="38">
        <v>-1</v>
      </c>
    </row>
    <row r="167" spans="28:33" ht="21.75" customHeight="1">
      <c r="AB167" s="60" t="s">
        <v>1061</v>
      </c>
      <c r="AC167" s="38">
        <v>-1</v>
      </c>
      <c r="AD167" s="38">
        <v>-1</v>
      </c>
      <c r="AE167" s="38">
        <v>-1</v>
      </c>
      <c r="AF167" s="38">
        <v>-1</v>
      </c>
      <c r="AG167" s="38">
        <v>-1</v>
      </c>
    </row>
    <row r="168" spans="28:33" ht="21.75" customHeight="1">
      <c r="AB168" s="60" t="s">
        <v>1066</v>
      </c>
      <c r="AC168" s="38">
        <v>-1</v>
      </c>
      <c r="AD168" s="38">
        <v>-1</v>
      </c>
      <c r="AE168" s="38">
        <v>-1</v>
      </c>
      <c r="AF168" s="38">
        <v>-1</v>
      </c>
      <c r="AG168" s="38">
        <v>-1</v>
      </c>
    </row>
    <row r="169" spans="28:33" ht="21.75" customHeight="1">
      <c r="AB169" s="60" t="s">
        <v>1067</v>
      </c>
      <c r="AC169" s="38">
        <v>-1</v>
      </c>
      <c r="AD169" s="38">
        <v>-1</v>
      </c>
      <c r="AE169" s="38">
        <v>-1</v>
      </c>
      <c r="AF169" s="38">
        <v>-1</v>
      </c>
      <c r="AG169" s="38">
        <v>-1</v>
      </c>
    </row>
    <row r="170" spans="28:33" ht="21.75" customHeight="1">
      <c r="AB170" s="60" t="s">
        <v>1069</v>
      </c>
      <c r="AC170" s="38">
        <v>-1</v>
      </c>
      <c r="AD170" s="38">
        <v>-1</v>
      </c>
      <c r="AE170" s="38">
        <v>-1</v>
      </c>
      <c r="AF170" s="38">
        <v>-1</v>
      </c>
      <c r="AG170" s="38">
        <v>-1</v>
      </c>
    </row>
    <row r="171" spans="28:33" ht="21.75" customHeight="1">
      <c r="AB171" s="60" t="s">
        <v>1076</v>
      </c>
      <c r="AC171" s="38">
        <v>-1</v>
      </c>
      <c r="AD171" s="38">
        <v>-1</v>
      </c>
      <c r="AE171" s="38">
        <v>-1</v>
      </c>
      <c r="AF171" s="38">
        <v>-1</v>
      </c>
      <c r="AG171" s="38">
        <v>-1</v>
      </c>
    </row>
    <row r="172" spans="28:33" ht="21.75" customHeight="1">
      <c r="AB172" s="60" t="s">
        <v>1078</v>
      </c>
      <c r="AC172" s="38">
        <v>-1</v>
      </c>
      <c r="AD172" s="38">
        <v>-1</v>
      </c>
      <c r="AE172" s="38">
        <v>-1</v>
      </c>
      <c r="AF172" s="38">
        <v>-1</v>
      </c>
      <c r="AG172" s="38">
        <v>-1</v>
      </c>
    </row>
    <row r="173" spans="28:33" ht="21.75" customHeight="1">
      <c r="AB173" s="60" t="s">
        <v>1080</v>
      </c>
      <c r="AC173" s="38">
        <v>-1</v>
      </c>
      <c r="AD173" s="38">
        <v>-1</v>
      </c>
      <c r="AE173" s="38">
        <v>-1</v>
      </c>
      <c r="AF173" s="38">
        <v>-1</v>
      </c>
      <c r="AG173" s="38">
        <v>-1</v>
      </c>
    </row>
    <row r="174" spans="28:33" ht="21.75" customHeight="1">
      <c r="AB174" s="121" t="s">
        <v>1084</v>
      </c>
      <c r="AC174" s="38">
        <v>-1</v>
      </c>
      <c r="AD174" s="38">
        <v>-1</v>
      </c>
      <c r="AE174" s="38">
        <v>-1</v>
      </c>
      <c r="AF174" s="38">
        <v>-1</v>
      </c>
      <c r="AG174" s="38">
        <v>-1</v>
      </c>
    </row>
    <row r="175" spans="28:33" ht="21.75" customHeight="1">
      <c r="AB175" s="121" t="s">
        <v>1091</v>
      </c>
      <c r="AC175" s="38">
        <v>-1</v>
      </c>
      <c r="AD175" s="38">
        <v>-1</v>
      </c>
      <c r="AE175" s="38">
        <v>-1</v>
      </c>
      <c r="AF175" s="38">
        <v>-1</v>
      </c>
      <c r="AG175" s="38">
        <v>-1</v>
      </c>
    </row>
    <row r="176" spans="28:33" ht="21.75" customHeight="1">
      <c r="AB176" s="121" t="s">
        <v>1092</v>
      </c>
      <c r="AC176" s="38">
        <v>-1</v>
      </c>
      <c r="AD176" s="38">
        <v>-1</v>
      </c>
      <c r="AE176" s="38">
        <v>-1</v>
      </c>
      <c r="AF176" s="38">
        <v>-1</v>
      </c>
      <c r="AG176" s="38">
        <v>-1</v>
      </c>
    </row>
    <row r="177" spans="28:33" ht="21.75" customHeight="1">
      <c r="AB177" s="121" t="s">
        <v>1097</v>
      </c>
      <c r="AC177" s="38">
        <v>-1</v>
      </c>
      <c r="AD177" s="38">
        <v>-1</v>
      </c>
      <c r="AE177" s="38">
        <v>-1</v>
      </c>
      <c r="AF177" s="38">
        <v>-1</v>
      </c>
      <c r="AG177" s="38">
        <v>-1</v>
      </c>
    </row>
    <row r="178" spans="28:33" ht="21.75" customHeight="1">
      <c r="AB178" s="121" t="s">
        <v>1099</v>
      </c>
      <c r="AC178" s="38">
        <v>-1</v>
      </c>
      <c r="AD178" s="38">
        <v>-1</v>
      </c>
      <c r="AE178" s="38">
        <v>-1</v>
      </c>
      <c r="AF178" s="38">
        <v>-1</v>
      </c>
      <c r="AG178" s="38">
        <v>-1</v>
      </c>
    </row>
    <row r="179" spans="28:33" ht="21.75" customHeight="1">
      <c r="AB179" s="121" t="s">
        <v>1101</v>
      </c>
      <c r="AC179" s="38">
        <v>-1</v>
      </c>
      <c r="AD179" s="38">
        <v>-1</v>
      </c>
      <c r="AE179" s="38">
        <v>-1</v>
      </c>
      <c r="AF179" s="38">
        <v>-1</v>
      </c>
      <c r="AG179" s="38">
        <v>-1</v>
      </c>
    </row>
    <row r="180" spans="28:33" ht="21.75" customHeight="1">
      <c r="AB180" s="121" t="s">
        <v>1107</v>
      </c>
      <c r="AC180" s="38">
        <v>-1</v>
      </c>
      <c r="AD180" s="38">
        <v>-1</v>
      </c>
      <c r="AE180" s="38">
        <v>-1</v>
      </c>
      <c r="AF180" s="38">
        <v>-1</v>
      </c>
      <c r="AG180" s="38">
        <v>-1</v>
      </c>
    </row>
    <row r="181" spans="28:33" ht="21.75" customHeight="1">
      <c r="AB181" s="121" t="s">
        <v>1111</v>
      </c>
      <c r="AC181" s="38">
        <v>-1</v>
      </c>
      <c r="AD181" s="38">
        <v>-1</v>
      </c>
      <c r="AE181" s="38">
        <v>-1</v>
      </c>
      <c r="AF181" s="38">
        <v>-1</v>
      </c>
      <c r="AG181" s="38">
        <v>-1</v>
      </c>
    </row>
    <row r="182" spans="28:33" ht="21.75" customHeight="1">
      <c r="AB182" s="121" t="s">
        <v>1121</v>
      </c>
      <c r="AC182" s="38">
        <v>-1</v>
      </c>
      <c r="AD182" s="38">
        <v>-1</v>
      </c>
      <c r="AE182" s="38">
        <v>-1</v>
      </c>
      <c r="AF182" s="38">
        <v>-1</v>
      </c>
      <c r="AG182" s="38">
        <v>-1</v>
      </c>
    </row>
    <row r="183" spans="28:33" ht="21.75" customHeight="1">
      <c r="AB183" s="121" t="s">
        <v>1131</v>
      </c>
      <c r="AC183" s="38">
        <v>-1</v>
      </c>
      <c r="AD183" s="38">
        <v>-1</v>
      </c>
      <c r="AE183" s="38">
        <v>-1</v>
      </c>
      <c r="AF183" s="38">
        <v>-1</v>
      </c>
      <c r="AG183" s="38">
        <v>-1</v>
      </c>
    </row>
    <row r="184" spans="28:33" ht="21.75" customHeight="1">
      <c r="AB184" s="121" t="s">
        <v>1134</v>
      </c>
      <c r="AC184" s="38">
        <v>-1</v>
      </c>
      <c r="AD184" s="38">
        <v>-1</v>
      </c>
      <c r="AE184" s="38">
        <v>-1</v>
      </c>
      <c r="AF184" s="38">
        <v>-1</v>
      </c>
      <c r="AG184" s="38">
        <v>-1</v>
      </c>
    </row>
    <row r="185" spans="28:33" ht="21.75" customHeight="1">
      <c r="AB185" s="121" t="s">
        <v>1142</v>
      </c>
      <c r="AC185" s="38">
        <v>-1</v>
      </c>
      <c r="AD185" s="38">
        <v>-1</v>
      </c>
      <c r="AE185" s="38">
        <v>-1</v>
      </c>
      <c r="AF185" s="38">
        <v>-1</v>
      </c>
      <c r="AG185" s="38">
        <v>-1</v>
      </c>
    </row>
    <row r="186" spans="28:33" ht="21.75" customHeight="1">
      <c r="AB186" s="121" t="s">
        <v>1144</v>
      </c>
      <c r="AC186" s="38">
        <v>-1</v>
      </c>
      <c r="AD186" s="38">
        <v>-1</v>
      </c>
      <c r="AE186" s="38">
        <v>-1</v>
      </c>
      <c r="AF186" s="38">
        <v>-1</v>
      </c>
      <c r="AG186" s="38">
        <v>-1</v>
      </c>
    </row>
    <row r="187" spans="28:33" ht="21.75" customHeight="1">
      <c r="AB187" s="121" t="s">
        <v>1151</v>
      </c>
      <c r="AC187" s="38">
        <v>-1</v>
      </c>
      <c r="AD187" s="38">
        <v>-1</v>
      </c>
      <c r="AE187" s="38">
        <v>-1</v>
      </c>
      <c r="AF187" s="38">
        <v>-1</v>
      </c>
      <c r="AG187" s="38">
        <v>-1</v>
      </c>
    </row>
    <row r="188" spans="28:33" ht="21.75" customHeight="1">
      <c r="AB188" s="121" t="s">
        <v>1154</v>
      </c>
      <c r="AC188" s="38">
        <v>-1</v>
      </c>
      <c r="AD188" s="38">
        <v>-1</v>
      </c>
      <c r="AE188" s="38">
        <v>-1</v>
      </c>
      <c r="AF188" s="38">
        <v>-1</v>
      </c>
      <c r="AG188" s="38">
        <v>-1</v>
      </c>
    </row>
    <row r="189" spans="28:33" ht="21.75" customHeight="1">
      <c r="AB189" s="121" t="s">
        <v>1156</v>
      </c>
      <c r="AC189" s="38">
        <v>-1</v>
      </c>
      <c r="AD189" s="38">
        <v>-1</v>
      </c>
      <c r="AE189" s="38">
        <v>-1</v>
      </c>
      <c r="AF189" s="38">
        <v>-1</v>
      </c>
      <c r="AG189" s="38">
        <v>-1</v>
      </c>
    </row>
    <row r="190" spans="28:33" ht="21.75" customHeight="1">
      <c r="AB190" s="121" t="s">
        <v>1159</v>
      </c>
      <c r="AC190" s="38">
        <v>-1</v>
      </c>
      <c r="AD190" s="38">
        <v>-1</v>
      </c>
      <c r="AE190" s="38">
        <v>-1</v>
      </c>
      <c r="AF190" s="38">
        <v>-1</v>
      </c>
      <c r="AG190" s="38">
        <v>-1</v>
      </c>
    </row>
    <row r="191" spans="28:33" ht="21.75" customHeight="1">
      <c r="AB191" s="121" t="s">
        <v>1166</v>
      </c>
      <c r="AC191" s="38">
        <v>-1</v>
      </c>
      <c r="AD191" s="38">
        <v>-1</v>
      </c>
      <c r="AE191" s="38">
        <v>-1</v>
      </c>
      <c r="AF191" s="38">
        <v>-1</v>
      </c>
      <c r="AG191" s="38">
        <v>-1</v>
      </c>
    </row>
    <row r="192" spans="28:33" ht="21.75" customHeight="1">
      <c r="AB192" s="121" t="s">
        <v>1167</v>
      </c>
      <c r="AC192" s="38">
        <v>-1</v>
      </c>
      <c r="AD192" s="38">
        <v>-1</v>
      </c>
      <c r="AE192" s="38">
        <v>-1</v>
      </c>
      <c r="AF192" s="38">
        <v>-1</v>
      </c>
      <c r="AG192" s="38">
        <v>-1</v>
      </c>
    </row>
    <row r="193" spans="28:33" ht="21.75" customHeight="1">
      <c r="AB193" s="121" t="s">
        <v>1169</v>
      </c>
      <c r="AC193" s="38">
        <v>-1</v>
      </c>
      <c r="AD193" s="38">
        <v>-1</v>
      </c>
      <c r="AE193" s="38">
        <v>-1</v>
      </c>
      <c r="AF193" s="38">
        <v>-1</v>
      </c>
      <c r="AG193" s="38">
        <v>-1</v>
      </c>
    </row>
    <row r="194" spans="28:33" ht="21.75" customHeight="1">
      <c r="AB194" s="121" t="s">
        <v>1175</v>
      </c>
      <c r="AC194" s="38">
        <v>-1</v>
      </c>
      <c r="AD194" s="38">
        <v>-1</v>
      </c>
      <c r="AE194" s="38">
        <v>-1</v>
      </c>
      <c r="AF194" s="38">
        <v>-1</v>
      </c>
      <c r="AG194" s="38">
        <v>-1</v>
      </c>
    </row>
    <row r="195" spans="28:33" ht="21.75" customHeight="1">
      <c r="AB195" s="121" t="s">
        <v>1179</v>
      </c>
      <c r="AC195" s="38">
        <v>-1</v>
      </c>
      <c r="AD195" s="38">
        <v>-1</v>
      </c>
      <c r="AE195" s="38">
        <v>-1</v>
      </c>
      <c r="AF195" s="38">
        <v>-1</v>
      </c>
      <c r="AG195" s="38">
        <v>-1</v>
      </c>
    </row>
    <row r="196" spans="28:33" ht="21.75" customHeight="1">
      <c r="AB196" s="121" t="s">
        <v>1181</v>
      </c>
      <c r="AC196" s="38">
        <v>-1</v>
      </c>
      <c r="AD196" s="38">
        <v>-1</v>
      </c>
      <c r="AE196" s="38">
        <v>-1</v>
      </c>
      <c r="AF196" s="38">
        <v>-1</v>
      </c>
      <c r="AG196" s="38">
        <v>-1</v>
      </c>
    </row>
    <row r="197" spans="28:33" ht="21.75" customHeight="1">
      <c r="AB197" s="121" t="s">
        <v>1185</v>
      </c>
      <c r="AC197" s="38">
        <v>-1</v>
      </c>
      <c r="AD197" s="38">
        <v>-1</v>
      </c>
      <c r="AE197" s="38">
        <v>-1</v>
      </c>
      <c r="AF197" s="38">
        <v>-1</v>
      </c>
      <c r="AG197" s="38">
        <v>-1</v>
      </c>
    </row>
    <row r="198" spans="28:33" ht="21.75" customHeight="1">
      <c r="AB198" s="121" t="s">
        <v>1188</v>
      </c>
      <c r="AC198" s="38">
        <v>-1</v>
      </c>
      <c r="AD198" s="38">
        <v>-1</v>
      </c>
      <c r="AE198" s="38">
        <v>-1</v>
      </c>
      <c r="AF198" s="38">
        <v>-1</v>
      </c>
      <c r="AG198" s="38">
        <v>-1</v>
      </c>
    </row>
    <row r="199" spans="28:33" ht="21.75" customHeight="1">
      <c r="AB199" s="121" t="s">
        <v>1194</v>
      </c>
      <c r="AC199" s="38">
        <v>-1</v>
      </c>
      <c r="AD199" s="38">
        <v>-1</v>
      </c>
      <c r="AE199" s="38">
        <v>-1</v>
      </c>
      <c r="AF199" s="38">
        <v>-1</v>
      </c>
      <c r="AG199" s="38">
        <v>-1</v>
      </c>
    </row>
    <row r="200" spans="28:33" ht="21.75" customHeight="1">
      <c r="AB200" s="121" t="s">
        <v>1196</v>
      </c>
      <c r="AC200" s="38">
        <v>-1</v>
      </c>
      <c r="AD200" s="38">
        <v>-1</v>
      </c>
      <c r="AE200" s="38">
        <v>-1</v>
      </c>
      <c r="AF200" s="38">
        <v>-1</v>
      </c>
      <c r="AG200" s="38">
        <v>-1</v>
      </c>
    </row>
    <row r="201" spans="28:33" ht="21.75" customHeight="1">
      <c r="AB201" s="121" t="s">
        <v>1197</v>
      </c>
      <c r="AC201" s="38">
        <v>-1</v>
      </c>
      <c r="AD201" s="38">
        <v>-1</v>
      </c>
      <c r="AE201" s="38">
        <v>-1</v>
      </c>
      <c r="AF201" s="38">
        <v>-1</v>
      </c>
      <c r="AG201" s="38">
        <v>-1</v>
      </c>
    </row>
    <row r="202" spans="28:33" ht="21.75" customHeight="1">
      <c r="AB202" s="121" t="s">
        <v>1207</v>
      </c>
      <c r="AC202" s="38">
        <v>-1</v>
      </c>
      <c r="AD202" s="38">
        <v>-1</v>
      </c>
      <c r="AE202" s="38">
        <v>-1</v>
      </c>
      <c r="AF202" s="38">
        <v>-1</v>
      </c>
      <c r="AG202" s="38">
        <v>-1</v>
      </c>
    </row>
    <row r="203" spans="28:33" ht="21.75" customHeight="1">
      <c r="AB203" s="121" t="s">
        <v>1212</v>
      </c>
      <c r="AC203" s="38">
        <v>-1</v>
      </c>
      <c r="AD203" s="38">
        <v>-1</v>
      </c>
      <c r="AE203" s="38">
        <v>-1</v>
      </c>
      <c r="AF203" s="38">
        <v>-1</v>
      </c>
      <c r="AG203" s="38">
        <v>-1</v>
      </c>
    </row>
    <row r="204" spans="28:33" ht="21.75" customHeight="1">
      <c r="AB204" s="121" t="s">
        <v>1219</v>
      </c>
      <c r="AC204" s="38">
        <v>-1</v>
      </c>
      <c r="AD204" s="38">
        <v>-1</v>
      </c>
      <c r="AE204" s="38">
        <v>-1</v>
      </c>
      <c r="AF204" s="38">
        <v>-1</v>
      </c>
      <c r="AG204" s="38">
        <v>-1</v>
      </c>
    </row>
    <row r="205" spans="28:33" ht="21.75" customHeight="1">
      <c r="AB205" s="121" t="s">
        <v>1221</v>
      </c>
      <c r="AC205" s="38">
        <v>-1</v>
      </c>
      <c r="AD205" s="38">
        <v>-1</v>
      </c>
      <c r="AE205" s="38">
        <v>-1</v>
      </c>
      <c r="AF205" s="38">
        <v>-1</v>
      </c>
      <c r="AG205" s="38">
        <v>-1</v>
      </c>
    </row>
    <row r="206" spans="28:33" ht="21.75" customHeight="1">
      <c r="AB206" s="60" t="s">
        <v>1224</v>
      </c>
      <c r="AC206" s="38">
        <v>-1</v>
      </c>
      <c r="AD206" s="38">
        <v>-1</v>
      </c>
      <c r="AE206" s="38">
        <v>-1</v>
      </c>
      <c r="AF206" s="38">
        <v>-1</v>
      </c>
      <c r="AG206" s="38">
        <v>-1</v>
      </c>
    </row>
    <row r="207" spans="28:33" ht="21.75" customHeight="1">
      <c r="AB207" s="60" t="s">
        <v>1233</v>
      </c>
      <c r="AC207" s="38">
        <v>-1</v>
      </c>
      <c r="AD207" s="38">
        <v>-1</v>
      </c>
      <c r="AE207" s="38">
        <v>-1</v>
      </c>
      <c r="AF207" s="38">
        <v>-1</v>
      </c>
      <c r="AG207" s="38">
        <v>-1</v>
      </c>
    </row>
    <row r="208" spans="28:33" ht="21.75" customHeight="1">
      <c r="AB208" s="60" t="s">
        <v>1241</v>
      </c>
      <c r="AC208" s="38">
        <v>-1</v>
      </c>
      <c r="AD208" s="38">
        <v>-1</v>
      </c>
      <c r="AE208" s="38">
        <v>-1</v>
      </c>
      <c r="AF208" s="38">
        <v>-1</v>
      </c>
      <c r="AG208" s="38">
        <v>-1</v>
      </c>
    </row>
    <row r="209" spans="28:33" ht="21.75" customHeight="1">
      <c r="AB209" s="60" t="s">
        <v>1244</v>
      </c>
      <c r="AC209" s="38">
        <v>-1</v>
      </c>
      <c r="AD209" s="38">
        <v>-1</v>
      </c>
      <c r="AE209" s="38">
        <v>-1</v>
      </c>
      <c r="AF209" s="38">
        <v>-1</v>
      </c>
      <c r="AG209" s="38">
        <v>-1</v>
      </c>
    </row>
    <row r="210" spans="28:33" ht="21.75" customHeight="1">
      <c r="AB210" s="60" t="s">
        <v>1246</v>
      </c>
      <c r="AC210" s="38">
        <v>-1</v>
      </c>
      <c r="AD210" s="38">
        <v>-1</v>
      </c>
      <c r="AE210" s="38">
        <v>-1</v>
      </c>
      <c r="AF210" s="38">
        <v>-1</v>
      </c>
      <c r="AG210" s="38">
        <v>-1</v>
      </c>
    </row>
    <row r="211" spans="28:33" ht="21.75" customHeight="1">
      <c r="AB211" s="36" t="s">
        <v>1251</v>
      </c>
      <c r="AC211" s="38">
        <v>-1</v>
      </c>
      <c r="AD211" s="38">
        <v>-1</v>
      </c>
      <c r="AE211" s="38">
        <v>-1</v>
      </c>
      <c r="AF211" s="38">
        <v>-1</v>
      </c>
      <c r="AG211" s="38">
        <v>-1</v>
      </c>
    </row>
    <row r="212" spans="28:33" ht="21.75" customHeight="1">
      <c r="AB212" s="36" t="s">
        <v>1257</v>
      </c>
      <c r="AC212" s="38">
        <v>-1</v>
      </c>
      <c r="AD212" s="38">
        <v>-1</v>
      </c>
      <c r="AE212" s="38">
        <v>-1</v>
      </c>
      <c r="AF212" s="38">
        <v>-1</v>
      </c>
      <c r="AG212" s="38">
        <v>-1</v>
      </c>
    </row>
    <row r="213" spans="28:33" ht="21.75" customHeight="1">
      <c r="AB213" s="36" t="s">
        <v>1259</v>
      </c>
      <c r="AC213" s="38">
        <v>-1</v>
      </c>
      <c r="AD213" s="38">
        <v>-1</v>
      </c>
      <c r="AE213" s="38">
        <v>-1</v>
      </c>
      <c r="AF213" s="38">
        <v>-1</v>
      </c>
      <c r="AG213" s="38">
        <v>-1</v>
      </c>
    </row>
    <row r="214" spans="28:33" ht="21.75" customHeight="1">
      <c r="AB214" s="36" t="s">
        <v>1264</v>
      </c>
      <c r="AC214" s="38">
        <v>-1</v>
      </c>
      <c r="AD214" s="38">
        <v>-1</v>
      </c>
      <c r="AE214" s="38">
        <v>-1</v>
      </c>
      <c r="AF214" s="38">
        <v>-1</v>
      </c>
      <c r="AG214" s="38">
        <v>-1</v>
      </c>
    </row>
    <row r="215" spans="28:33" ht="21.75" customHeight="1">
      <c r="AB215" s="36" t="s">
        <v>1268</v>
      </c>
      <c r="AC215" s="38">
        <v>-1</v>
      </c>
      <c r="AD215" s="38">
        <v>-1</v>
      </c>
      <c r="AE215" s="38">
        <v>-1</v>
      </c>
      <c r="AF215" s="38">
        <v>-1</v>
      </c>
      <c r="AG215" s="38">
        <v>-1</v>
      </c>
    </row>
    <row r="216" spans="28:33" ht="21.75" customHeight="1">
      <c r="AB216" s="121" t="s">
        <v>1273</v>
      </c>
      <c r="AC216" s="38">
        <v>-1</v>
      </c>
      <c r="AD216" s="38">
        <v>-1</v>
      </c>
      <c r="AE216" s="38">
        <v>-1</v>
      </c>
      <c r="AF216" s="38">
        <v>-1</v>
      </c>
      <c r="AG216" s="38">
        <v>-1</v>
      </c>
    </row>
    <row r="217" spans="28:33" ht="21.75" customHeight="1">
      <c r="AB217" s="121" t="s">
        <v>1280</v>
      </c>
      <c r="AC217" s="38">
        <v>-1</v>
      </c>
      <c r="AD217" s="38">
        <v>-1</v>
      </c>
      <c r="AE217" s="38">
        <v>-1</v>
      </c>
      <c r="AF217" s="38">
        <v>-1</v>
      </c>
      <c r="AG217" s="38">
        <v>-1</v>
      </c>
    </row>
    <row r="218" spans="28:33" ht="21.75" customHeight="1">
      <c r="AB218" s="121" t="s">
        <v>1286</v>
      </c>
      <c r="AC218" s="38">
        <v>-1</v>
      </c>
      <c r="AD218" s="38">
        <v>-1</v>
      </c>
      <c r="AE218" s="38">
        <v>-1</v>
      </c>
      <c r="AF218" s="38">
        <v>-1</v>
      </c>
      <c r="AG218" s="38">
        <v>-1</v>
      </c>
    </row>
    <row r="219" spans="28:33" ht="21.75" customHeight="1">
      <c r="AB219" s="121" t="s">
        <v>1287</v>
      </c>
      <c r="AC219" s="38">
        <v>-1</v>
      </c>
      <c r="AD219" s="38">
        <v>-1</v>
      </c>
      <c r="AE219" s="38">
        <v>-1</v>
      </c>
      <c r="AF219" s="38">
        <v>-1</v>
      </c>
      <c r="AG219" s="38">
        <v>-1</v>
      </c>
    </row>
    <row r="220" spans="28:33" ht="21.75" customHeight="1">
      <c r="AB220" s="121" t="s">
        <v>1291</v>
      </c>
      <c r="AC220" s="38">
        <v>-1</v>
      </c>
      <c r="AD220" s="38">
        <v>-1</v>
      </c>
      <c r="AE220" s="38">
        <v>-1</v>
      </c>
      <c r="AF220" s="38">
        <v>-1</v>
      </c>
      <c r="AG220" s="38">
        <v>-1</v>
      </c>
    </row>
    <row r="221" spans="28:33" ht="21.75" customHeight="1">
      <c r="AB221" s="121" t="s">
        <v>1295</v>
      </c>
      <c r="AC221" s="38">
        <v>-1</v>
      </c>
      <c r="AD221" s="38">
        <v>-1</v>
      </c>
      <c r="AE221" s="38">
        <v>-1</v>
      </c>
      <c r="AF221" s="38">
        <v>-1</v>
      </c>
      <c r="AG221" s="38">
        <v>-1</v>
      </c>
    </row>
    <row r="222" spans="28:33" ht="21.75" customHeight="1">
      <c r="AB222" s="121" t="s">
        <v>1296</v>
      </c>
      <c r="AC222" s="38">
        <v>-1</v>
      </c>
      <c r="AD222" s="38">
        <v>-1</v>
      </c>
      <c r="AE222" s="38">
        <v>-1</v>
      </c>
      <c r="AF222" s="38">
        <v>-1</v>
      </c>
      <c r="AG222" s="38">
        <v>-1</v>
      </c>
    </row>
    <row r="223" spans="28:33" ht="21.75" customHeight="1">
      <c r="AB223" s="121" t="s">
        <v>1302</v>
      </c>
      <c r="AC223" s="38">
        <v>1</v>
      </c>
      <c r="AD223" s="38">
        <v>2</v>
      </c>
      <c r="AE223" s="38">
        <v>1</v>
      </c>
      <c r="AF223" s="38">
        <v>1</v>
      </c>
      <c r="AG223" s="38">
        <v>1</v>
      </c>
    </row>
    <row r="224" spans="28:33" ht="21.75" customHeight="1">
      <c r="AB224" s="121" t="s">
        <v>1305</v>
      </c>
      <c r="AC224" s="38">
        <v>-1</v>
      </c>
      <c r="AD224" s="38">
        <v>-1</v>
      </c>
      <c r="AE224" s="38">
        <v>-1</v>
      </c>
      <c r="AF224" s="38">
        <v>-1</v>
      </c>
      <c r="AG224" s="38">
        <v>-1</v>
      </c>
    </row>
    <row r="225" spans="28:33" ht="21.75" customHeight="1">
      <c r="AB225" s="121" t="s">
        <v>1309</v>
      </c>
      <c r="AC225" s="38">
        <v>-1</v>
      </c>
      <c r="AD225" s="38">
        <v>-1</v>
      </c>
      <c r="AE225" s="38">
        <v>-1</v>
      </c>
      <c r="AF225" s="38">
        <v>-1</v>
      </c>
      <c r="AG225" s="38">
        <v>-1</v>
      </c>
    </row>
    <row r="226" spans="28:33" ht="21.75" customHeight="1">
      <c r="AB226" s="121" t="s">
        <v>1315</v>
      </c>
      <c r="AC226" s="38">
        <v>-1</v>
      </c>
      <c r="AD226" s="38">
        <v>-1</v>
      </c>
      <c r="AE226" s="38">
        <v>-1</v>
      </c>
      <c r="AF226" s="38">
        <v>-1</v>
      </c>
      <c r="AG226" s="38">
        <v>-1</v>
      </c>
    </row>
    <row r="227" spans="28:33" ht="21.75" customHeight="1">
      <c r="AB227" s="36" t="s">
        <v>1316</v>
      </c>
      <c r="AC227" s="38">
        <v>-1</v>
      </c>
      <c r="AD227" s="38">
        <v>-1</v>
      </c>
      <c r="AE227" s="38">
        <v>-1</v>
      </c>
      <c r="AF227" s="38">
        <v>-1</v>
      </c>
      <c r="AG227" s="38">
        <v>-1</v>
      </c>
    </row>
    <row r="228" spans="28:33" ht="21.75" customHeight="1">
      <c r="AB228" s="60" t="s">
        <v>1318</v>
      </c>
      <c r="AC228" s="38">
        <v>-1</v>
      </c>
      <c r="AD228" s="38">
        <v>-1</v>
      </c>
      <c r="AE228" s="38">
        <v>-1</v>
      </c>
      <c r="AF228" s="38">
        <v>-1</v>
      </c>
      <c r="AG228" s="38">
        <v>-1</v>
      </c>
    </row>
    <row r="229" spans="28:33" ht="21.75" customHeight="1">
      <c r="AB229" s="60" t="s">
        <v>1325</v>
      </c>
      <c r="AC229" s="38">
        <v>-1</v>
      </c>
      <c r="AD229" s="38">
        <v>-1</v>
      </c>
      <c r="AE229" s="38">
        <v>-1</v>
      </c>
      <c r="AF229" s="38">
        <v>-1</v>
      </c>
      <c r="AG229" s="38">
        <v>-1</v>
      </c>
    </row>
    <row r="230" spans="28:33" ht="21.75" customHeight="1">
      <c r="AB230" s="60" t="s">
        <v>1327</v>
      </c>
      <c r="AC230" s="38">
        <v>-1</v>
      </c>
      <c r="AD230" s="38">
        <v>-1</v>
      </c>
      <c r="AE230" s="38">
        <v>-1</v>
      </c>
      <c r="AF230" s="38">
        <v>-1</v>
      </c>
      <c r="AG230" s="38">
        <v>-1</v>
      </c>
    </row>
    <row r="231" spans="28:33" ht="21.75" customHeight="1">
      <c r="AB231" s="60" t="s">
        <v>1333</v>
      </c>
      <c r="AC231" s="38">
        <v>-1</v>
      </c>
      <c r="AD231" s="38">
        <v>-1</v>
      </c>
      <c r="AE231" s="38">
        <v>-1</v>
      </c>
      <c r="AF231" s="38">
        <v>-1</v>
      </c>
      <c r="AG231" s="38">
        <v>-1</v>
      </c>
    </row>
    <row r="232" spans="28:33" ht="21.75" customHeight="1">
      <c r="AB232" s="60" t="s">
        <v>1334</v>
      </c>
      <c r="AC232" s="38">
        <v>-1</v>
      </c>
      <c r="AD232" s="38">
        <v>-1</v>
      </c>
      <c r="AE232" s="38">
        <v>-1</v>
      </c>
      <c r="AF232" s="38">
        <v>-1</v>
      </c>
      <c r="AG232" s="38">
        <v>-1</v>
      </c>
    </row>
    <row r="233" spans="28:33" ht="21.75" customHeight="1">
      <c r="AB233" s="60" t="s">
        <v>1337</v>
      </c>
      <c r="AC233" s="38">
        <v>-1</v>
      </c>
      <c r="AD233" s="38">
        <v>-1</v>
      </c>
      <c r="AE233" s="38">
        <v>-1</v>
      </c>
      <c r="AF233" s="38">
        <v>-1</v>
      </c>
      <c r="AG233" s="38">
        <v>-1</v>
      </c>
    </row>
    <row r="234" spans="28:33" ht="21.75" customHeight="1">
      <c r="AB234" s="60" t="s">
        <v>1339</v>
      </c>
      <c r="AC234" s="38">
        <v>-1</v>
      </c>
      <c r="AD234" s="38">
        <v>-1</v>
      </c>
      <c r="AE234" s="38">
        <v>-1</v>
      </c>
      <c r="AF234" s="38">
        <v>-1</v>
      </c>
      <c r="AG234" s="38">
        <v>-1</v>
      </c>
    </row>
    <row r="235" spans="28:33" ht="21.75" customHeight="1">
      <c r="AB235" s="60" t="s">
        <v>1343</v>
      </c>
      <c r="AC235" s="38">
        <v>-1</v>
      </c>
      <c r="AD235" s="38">
        <v>-1</v>
      </c>
      <c r="AE235" s="38">
        <v>-1</v>
      </c>
      <c r="AF235" s="38">
        <v>-1</v>
      </c>
      <c r="AG235" s="38">
        <v>-1</v>
      </c>
    </row>
    <row r="236" spans="28:33" ht="21.75" customHeight="1">
      <c r="AB236" s="60" t="s">
        <v>1349</v>
      </c>
      <c r="AC236" s="38">
        <v>-1</v>
      </c>
      <c r="AD236" s="38">
        <v>-1</v>
      </c>
      <c r="AE236" s="38">
        <v>-1</v>
      </c>
      <c r="AF236" s="38">
        <v>-1</v>
      </c>
      <c r="AG236" s="38">
        <v>-1</v>
      </c>
    </row>
    <row r="237" spans="28:33" ht="21.75" customHeight="1">
      <c r="AB237" s="60" t="s">
        <v>1354</v>
      </c>
      <c r="AC237" s="38">
        <v>-1</v>
      </c>
      <c r="AD237" s="38">
        <v>-1</v>
      </c>
      <c r="AE237" s="38">
        <v>-1</v>
      </c>
      <c r="AF237" s="38">
        <v>-1</v>
      </c>
      <c r="AG237" s="38">
        <v>-1</v>
      </c>
    </row>
    <row r="238" spans="28:33" ht="21.75" customHeight="1">
      <c r="AB238" s="60" t="s">
        <v>1357</v>
      </c>
      <c r="AC238" s="38">
        <v>-1</v>
      </c>
      <c r="AD238" s="38">
        <v>-1</v>
      </c>
      <c r="AE238" s="38">
        <v>-1</v>
      </c>
      <c r="AF238" s="38">
        <v>-1</v>
      </c>
      <c r="AG238" s="38">
        <v>-1</v>
      </c>
    </row>
    <row r="239" spans="28:33" ht="21.75" customHeight="1">
      <c r="AB239" s="60" t="s">
        <v>1362</v>
      </c>
      <c r="AC239" s="38">
        <v>-1</v>
      </c>
      <c r="AD239" s="38">
        <v>-1</v>
      </c>
      <c r="AE239" s="38">
        <v>-1</v>
      </c>
      <c r="AF239" s="38">
        <v>-1</v>
      </c>
      <c r="AG239" s="38">
        <v>-1</v>
      </c>
    </row>
    <row r="240" spans="28:33" ht="21.75" customHeight="1">
      <c r="AB240" s="60" t="s">
        <v>1364</v>
      </c>
      <c r="AC240" s="38">
        <v>-1</v>
      </c>
      <c r="AD240" s="38">
        <v>-1</v>
      </c>
      <c r="AE240" s="38">
        <v>-1</v>
      </c>
      <c r="AF240" s="38">
        <v>-1</v>
      </c>
      <c r="AG240" s="38">
        <v>-1</v>
      </c>
    </row>
    <row r="241" spans="28:33" ht="21.75" customHeight="1">
      <c r="AB241" s="60" t="s">
        <v>1366</v>
      </c>
      <c r="AC241" s="38">
        <v>-1</v>
      </c>
      <c r="AD241" s="38">
        <v>-1</v>
      </c>
      <c r="AE241" s="38">
        <v>-1</v>
      </c>
      <c r="AF241" s="38">
        <v>-1</v>
      </c>
      <c r="AG241" s="38">
        <v>-1</v>
      </c>
    </row>
    <row r="242" spans="28:33" ht="21.75" customHeight="1">
      <c r="AB242" s="60" t="s">
        <v>1372</v>
      </c>
      <c r="AC242" s="38">
        <v>-1</v>
      </c>
      <c r="AD242" s="38">
        <v>-1</v>
      </c>
      <c r="AE242" s="38">
        <v>-1</v>
      </c>
      <c r="AF242" s="38">
        <v>-1</v>
      </c>
      <c r="AG242" s="38">
        <v>-1</v>
      </c>
    </row>
    <row r="243" spans="28:33" ht="21.75" customHeight="1">
      <c r="AB243" s="60" t="s">
        <v>1376</v>
      </c>
      <c r="AC243" s="38">
        <v>-1</v>
      </c>
      <c r="AD243" s="38">
        <v>-1</v>
      </c>
      <c r="AE243" s="38">
        <v>-1</v>
      </c>
      <c r="AF243" s="38">
        <v>-1</v>
      </c>
      <c r="AG243" s="38">
        <v>-1</v>
      </c>
    </row>
    <row r="244" spans="28:33" ht="21.75" customHeight="1">
      <c r="AB244" s="60" t="s">
        <v>1384</v>
      </c>
      <c r="AC244" s="38">
        <v>-1</v>
      </c>
      <c r="AD244" s="38">
        <v>-1</v>
      </c>
      <c r="AE244" s="38">
        <v>-1</v>
      </c>
      <c r="AF244" s="38">
        <v>-1</v>
      </c>
      <c r="AG244" s="38">
        <v>-1</v>
      </c>
    </row>
    <row r="245" spans="28:33" ht="21.75" customHeight="1">
      <c r="AB245" s="60" t="s">
        <v>1386</v>
      </c>
      <c r="AC245" s="38">
        <v>-1</v>
      </c>
      <c r="AD245" s="38">
        <v>-1</v>
      </c>
      <c r="AE245" s="38">
        <v>-1</v>
      </c>
      <c r="AF245" s="38">
        <v>-1</v>
      </c>
      <c r="AG245" s="38">
        <v>-1</v>
      </c>
    </row>
    <row r="246" spans="28:33" ht="21.75" customHeight="1">
      <c r="AB246" s="60" t="s">
        <v>1388</v>
      </c>
      <c r="AC246" s="38">
        <v>-1</v>
      </c>
      <c r="AD246" s="38">
        <v>-1</v>
      </c>
      <c r="AE246" s="38">
        <v>-1</v>
      </c>
      <c r="AF246" s="38">
        <v>-1</v>
      </c>
      <c r="AG246" s="38">
        <v>-1</v>
      </c>
    </row>
    <row r="247" spans="28:33" ht="21.75" customHeight="1">
      <c r="AB247" s="60" t="s">
        <v>1396</v>
      </c>
      <c r="AC247" s="38">
        <v>-1</v>
      </c>
      <c r="AD247" s="38">
        <v>-1</v>
      </c>
      <c r="AE247" s="38">
        <v>-1</v>
      </c>
      <c r="AF247" s="38">
        <v>-1</v>
      </c>
      <c r="AG247" s="38">
        <v>-1</v>
      </c>
    </row>
    <row r="248" spans="28:33" ht="21.75" customHeight="1">
      <c r="AB248" s="60" t="s">
        <v>1398</v>
      </c>
      <c r="AC248" s="38">
        <v>-1</v>
      </c>
      <c r="AD248" s="38">
        <v>-1</v>
      </c>
      <c r="AE248" s="38">
        <v>-1</v>
      </c>
      <c r="AF248" s="38">
        <v>-1</v>
      </c>
      <c r="AG248" s="38">
        <v>-1</v>
      </c>
    </row>
    <row r="249" spans="28:33" ht="21.75" customHeight="1">
      <c r="AB249" s="60" t="s">
        <v>1401</v>
      </c>
      <c r="AC249" s="38">
        <v>-1</v>
      </c>
      <c r="AD249" s="38">
        <v>-1</v>
      </c>
      <c r="AE249" s="38">
        <v>-1</v>
      </c>
      <c r="AF249" s="38">
        <v>-1</v>
      </c>
      <c r="AG249" s="38">
        <v>-1</v>
      </c>
    </row>
    <row r="250" spans="28:33" ht="21.75" customHeight="1">
      <c r="AB250" s="60" t="s">
        <v>1409</v>
      </c>
      <c r="AC250" s="38">
        <v>-1</v>
      </c>
      <c r="AD250" s="38">
        <v>-1</v>
      </c>
      <c r="AE250" s="38">
        <v>-1</v>
      </c>
      <c r="AF250" s="38">
        <v>-1</v>
      </c>
      <c r="AG250" s="38">
        <v>-1</v>
      </c>
    </row>
    <row r="251" spans="28:33" ht="21.75" customHeight="1">
      <c r="AB251" s="286"/>
      <c r="AC251" s="66"/>
      <c r="AD251" s="66"/>
      <c r="AE251" s="66"/>
      <c r="AF251" s="66"/>
      <c r="AG251" s="66"/>
    </row>
    <row r="252" spans="28:33" ht="21.75" customHeight="1">
      <c r="AB252" s="286"/>
      <c r="AC252" s="66"/>
      <c r="AD252" s="66"/>
      <c r="AE252" s="66"/>
      <c r="AF252" s="66"/>
      <c r="AG252" s="66"/>
    </row>
    <row r="253" spans="28:33" ht="21.75" customHeight="1">
      <c r="AB253" s="286"/>
      <c r="AC253" s="66"/>
      <c r="AD253" s="66"/>
      <c r="AE253" s="66"/>
      <c r="AF253" s="66"/>
      <c r="AG253" s="66"/>
    </row>
    <row r="254" spans="28:33" ht="21.75" customHeight="1">
      <c r="AB254" s="286"/>
      <c r="AC254" s="66"/>
      <c r="AD254" s="66"/>
      <c r="AE254" s="66"/>
      <c r="AF254" s="66"/>
      <c r="AG254" s="66"/>
    </row>
    <row r="255" spans="28:33" ht="21.75" customHeight="1">
      <c r="AB255" s="286"/>
      <c r="AC255" s="66"/>
      <c r="AD255" s="66"/>
      <c r="AE255" s="66"/>
      <c r="AF255" s="66"/>
      <c r="AG255" s="66"/>
    </row>
    <row r="256" spans="28:33" ht="21.75" customHeight="1">
      <c r="AB256" s="286"/>
      <c r="AC256" s="66"/>
      <c r="AD256" s="66"/>
      <c r="AE256" s="66"/>
      <c r="AF256" s="66"/>
      <c r="AG256" s="66"/>
    </row>
    <row r="257" spans="28:33" ht="21.75" customHeight="1">
      <c r="AB257" s="286"/>
      <c r="AC257" s="66"/>
      <c r="AD257" s="66"/>
      <c r="AE257" s="66"/>
      <c r="AF257" s="66"/>
      <c r="AG257" s="66"/>
    </row>
    <row r="258" spans="28:33" ht="21.75" customHeight="1">
      <c r="AB258" s="286"/>
      <c r="AC258" s="66"/>
      <c r="AD258" s="66"/>
      <c r="AE258" s="66"/>
      <c r="AF258" s="66"/>
      <c r="AG258" s="66"/>
    </row>
    <row r="259" spans="28:33" ht="21.75" customHeight="1">
      <c r="AB259" s="286"/>
      <c r="AC259" s="66"/>
      <c r="AD259" s="66"/>
      <c r="AE259" s="66"/>
      <c r="AF259" s="66"/>
      <c r="AG259" s="66"/>
    </row>
    <row r="260" spans="28:33" ht="21.75" customHeight="1">
      <c r="AB260" s="286"/>
      <c r="AC260" s="66"/>
      <c r="AD260" s="66"/>
      <c r="AE260" s="66"/>
      <c r="AF260" s="66"/>
      <c r="AG260" s="66"/>
    </row>
    <row r="261" spans="28:33" ht="21.75" customHeight="1">
      <c r="AB261" s="286"/>
      <c r="AC261" s="66"/>
      <c r="AD261" s="66"/>
      <c r="AE261" s="66"/>
      <c r="AF261" s="66"/>
      <c r="AG261" s="66"/>
    </row>
    <row r="262" spans="28:33" ht="21.75" customHeight="1">
      <c r="AB262" s="286"/>
      <c r="AC262" s="66"/>
      <c r="AD262" s="66"/>
      <c r="AE262" s="66"/>
      <c r="AF262" s="66"/>
      <c r="AG262" s="66"/>
    </row>
    <row r="263" spans="28:33" ht="21.75" customHeight="1">
      <c r="AB263" s="286"/>
      <c r="AC263" s="66"/>
      <c r="AD263" s="66"/>
      <c r="AE263" s="66"/>
      <c r="AF263" s="66"/>
      <c r="AG263" s="66"/>
    </row>
    <row r="264" spans="28:33" ht="21.75" customHeight="1">
      <c r="AB264" s="286"/>
      <c r="AC264" s="66"/>
      <c r="AD264" s="66"/>
      <c r="AE264" s="66"/>
      <c r="AF264" s="66"/>
      <c r="AG264" s="66"/>
    </row>
    <row r="265" spans="28:33" ht="21.75" customHeight="1">
      <c r="AB265" s="286"/>
      <c r="AC265" s="66"/>
      <c r="AD265" s="66"/>
      <c r="AE265" s="66"/>
      <c r="AF265" s="66"/>
      <c r="AG265" s="66"/>
    </row>
    <row r="266" spans="28:33" ht="21.75" customHeight="1">
      <c r="AB266" s="286"/>
      <c r="AC266" s="66"/>
      <c r="AD266" s="66"/>
      <c r="AE266" s="66"/>
      <c r="AF266" s="66"/>
      <c r="AG266" s="66"/>
    </row>
    <row r="267" spans="28:33" ht="21.75" customHeight="1">
      <c r="AB267" s="286"/>
      <c r="AC267" s="66"/>
      <c r="AD267" s="66"/>
      <c r="AE267" s="66"/>
      <c r="AF267" s="66"/>
      <c r="AG267" s="66"/>
    </row>
    <row r="268" spans="28:33" ht="21.75" customHeight="1">
      <c r="AB268" s="286"/>
      <c r="AC268" s="66"/>
      <c r="AD268" s="66"/>
      <c r="AE268" s="66"/>
      <c r="AF268" s="66"/>
      <c r="AG268" s="66"/>
    </row>
    <row r="269" spans="28:33" ht="21.75" customHeight="1">
      <c r="AB269" s="286"/>
      <c r="AC269" s="66"/>
      <c r="AD269" s="66"/>
      <c r="AE269" s="66"/>
      <c r="AF269" s="66"/>
      <c r="AG269" s="66"/>
    </row>
    <row r="270" spans="28:33" ht="21.75" customHeight="1">
      <c r="AB270" s="286"/>
      <c r="AC270" s="66"/>
      <c r="AD270" s="66"/>
      <c r="AE270" s="66"/>
      <c r="AF270" s="66"/>
      <c r="AG270" s="66"/>
    </row>
    <row r="271" spans="28:33" ht="21.75" customHeight="1">
      <c r="AB271" s="286"/>
      <c r="AC271" s="66"/>
      <c r="AD271" s="66"/>
      <c r="AE271" s="66"/>
      <c r="AF271" s="66"/>
      <c r="AG271" s="66"/>
    </row>
    <row r="272" spans="28:33" ht="21.75" customHeight="1">
      <c r="AB272" s="286"/>
      <c r="AC272" s="66"/>
      <c r="AD272" s="66"/>
      <c r="AE272" s="66"/>
      <c r="AF272" s="66"/>
      <c r="AG272" s="66"/>
    </row>
    <row r="273" spans="28:33" ht="21.75" customHeight="1">
      <c r="AB273" s="286"/>
      <c r="AC273" s="66"/>
      <c r="AD273" s="66"/>
      <c r="AE273" s="66"/>
      <c r="AF273" s="66"/>
      <c r="AG273" s="66"/>
    </row>
    <row r="274" spans="28:33" ht="21.75" customHeight="1">
      <c r="AB274" s="286"/>
      <c r="AC274" s="66"/>
      <c r="AD274" s="66"/>
      <c r="AE274" s="66"/>
      <c r="AF274" s="66"/>
      <c r="AG274" s="66"/>
    </row>
    <row r="275" spans="28:33" ht="21.75" customHeight="1">
      <c r="AB275" s="286"/>
      <c r="AC275" s="66"/>
      <c r="AD275" s="66"/>
      <c r="AE275" s="66"/>
      <c r="AF275" s="66"/>
      <c r="AG275" s="66"/>
    </row>
    <row r="276" spans="28:33" ht="21.75" customHeight="1">
      <c r="AB276" s="286"/>
      <c r="AC276" s="66"/>
      <c r="AD276" s="66"/>
      <c r="AE276" s="66"/>
      <c r="AF276" s="66"/>
      <c r="AG276" s="66"/>
    </row>
    <row r="277" spans="28:33" ht="21.75" customHeight="1">
      <c r="AB277" s="286"/>
      <c r="AC277" s="66"/>
      <c r="AD277" s="66"/>
      <c r="AE277" s="66"/>
      <c r="AF277" s="66"/>
      <c r="AG277" s="66"/>
    </row>
    <row r="278" spans="28:33" ht="21.75" customHeight="1">
      <c r="AB278" s="286"/>
      <c r="AC278" s="66"/>
      <c r="AD278" s="66"/>
      <c r="AE278" s="66"/>
      <c r="AF278" s="66"/>
      <c r="AG278" s="66"/>
    </row>
    <row r="279" spans="28:33" ht="21.75" customHeight="1">
      <c r="AB279" s="286"/>
      <c r="AC279" s="66"/>
      <c r="AD279" s="66"/>
      <c r="AE279" s="66"/>
      <c r="AF279" s="66"/>
      <c r="AG279" s="66"/>
    </row>
    <row r="280" spans="28:33" ht="21.75" customHeight="1">
      <c r="AB280" s="286"/>
      <c r="AC280" s="66"/>
      <c r="AD280" s="66"/>
      <c r="AE280" s="66"/>
      <c r="AF280" s="66"/>
      <c r="AG280" s="66"/>
    </row>
    <row r="281" spans="28:33" ht="21.75" customHeight="1">
      <c r="AB281" s="286"/>
      <c r="AC281" s="66"/>
      <c r="AD281" s="66"/>
      <c r="AE281" s="66"/>
      <c r="AF281" s="66"/>
      <c r="AG281" s="66"/>
    </row>
    <row r="282" spans="28:33" ht="21.75" customHeight="1">
      <c r="AB282" s="286"/>
      <c r="AC282" s="66"/>
      <c r="AD282" s="66"/>
      <c r="AE282" s="66"/>
      <c r="AF282" s="66"/>
      <c r="AG282" s="66"/>
    </row>
    <row r="283" spans="28:33" ht="21.75" customHeight="1">
      <c r="AB283" s="286"/>
      <c r="AC283" s="66"/>
      <c r="AD283" s="66"/>
      <c r="AE283" s="66"/>
      <c r="AF283" s="66"/>
      <c r="AG283" s="66"/>
    </row>
    <row r="284" spans="28:33" ht="21.75" customHeight="1">
      <c r="AB284" s="286"/>
      <c r="AC284" s="66"/>
      <c r="AD284" s="66"/>
      <c r="AE284" s="66"/>
      <c r="AF284" s="66"/>
      <c r="AG284" s="66"/>
    </row>
    <row r="285" spans="28:33" ht="21.75" customHeight="1">
      <c r="AB285" s="286"/>
      <c r="AC285" s="66"/>
      <c r="AD285" s="66"/>
      <c r="AE285" s="66"/>
      <c r="AF285" s="66"/>
      <c r="AG285" s="66"/>
    </row>
    <row r="286" spans="28:33" ht="21.75" customHeight="1">
      <c r="AB286" s="286"/>
      <c r="AC286" s="66"/>
      <c r="AD286" s="66"/>
      <c r="AE286" s="66"/>
      <c r="AF286" s="66"/>
      <c r="AG286" s="66"/>
    </row>
    <row r="287" spans="28:33" ht="21.75" customHeight="1">
      <c r="AB287" s="286"/>
      <c r="AC287" s="66"/>
      <c r="AD287" s="66"/>
      <c r="AE287" s="66"/>
      <c r="AF287" s="66"/>
      <c r="AG287" s="66"/>
    </row>
    <row r="288" spans="28:33" ht="21.75" customHeight="1">
      <c r="AB288" s="286"/>
      <c r="AC288" s="66"/>
      <c r="AD288" s="66"/>
      <c r="AE288" s="66"/>
      <c r="AF288" s="66"/>
      <c r="AG288" s="66"/>
    </row>
    <row r="289" spans="28:33" ht="21.75" customHeight="1">
      <c r="AB289" s="286"/>
      <c r="AC289" s="66"/>
      <c r="AD289" s="66"/>
      <c r="AE289" s="66"/>
      <c r="AF289" s="66"/>
      <c r="AG289" s="66"/>
    </row>
    <row r="290" spans="28:33" ht="21.75" customHeight="1">
      <c r="AB290" s="286"/>
      <c r="AC290" s="66"/>
      <c r="AD290" s="66"/>
      <c r="AE290" s="66"/>
      <c r="AF290" s="66"/>
      <c r="AG290" s="66"/>
    </row>
    <row r="291" spans="28:33" ht="21.75" customHeight="1">
      <c r="AB291" s="286"/>
      <c r="AC291" s="66"/>
      <c r="AD291" s="66"/>
      <c r="AE291" s="66"/>
      <c r="AF291" s="66"/>
      <c r="AG291" s="66"/>
    </row>
    <row r="292" spans="28:33" ht="21.75" customHeight="1">
      <c r="AB292" s="286"/>
      <c r="AC292" s="66"/>
      <c r="AD292" s="66"/>
      <c r="AE292" s="66"/>
      <c r="AF292" s="66"/>
      <c r="AG292" s="66"/>
    </row>
    <row r="293" spans="28:33" ht="21.75" customHeight="1">
      <c r="AB293" s="286"/>
      <c r="AC293" s="66"/>
      <c r="AD293" s="66"/>
      <c r="AE293" s="66"/>
      <c r="AF293" s="66"/>
      <c r="AG293" s="66"/>
    </row>
    <row r="294" spans="28:33" ht="21.75" customHeight="1">
      <c r="AB294" s="286"/>
      <c r="AC294" s="66"/>
      <c r="AD294" s="66"/>
      <c r="AE294" s="66"/>
      <c r="AF294" s="66"/>
      <c r="AG294" s="66"/>
    </row>
    <row r="295" spans="28:33" ht="21.75" customHeight="1">
      <c r="AB295" s="286"/>
      <c r="AC295" s="66"/>
      <c r="AD295" s="66"/>
      <c r="AE295" s="66"/>
      <c r="AF295" s="66"/>
      <c r="AG295" s="66"/>
    </row>
    <row r="296" spans="28:33" ht="21.75" customHeight="1">
      <c r="AB296" s="286"/>
      <c r="AC296" s="66"/>
      <c r="AD296" s="66"/>
      <c r="AE296" s="66"/>
      <c r="AF296" s="66"/>
      <c r="AG296" s="66"/>
    </row>
    <row r="297" spans="28:33" ht="21.75" customHeight="1">
      <c r="AB297" s="286"/>
      <c r="AC297" s="66"/>
      <c r="AD297" s="66"/>
      <c r="AE297" s="66"/>
      <c r="AF297" s="66"/>
      <c r="AG297" s="66"/>
    </row>
    <row r="298" spans="28:33" ht="21.75" customHeight="1">
      <c r="AB298" s="286"/>
      <c r="AC298" s="66"/>
      <c r="AD298" s="66"/>
      <c r="AE298" s="66"/>
      <c r="AF298" s="66"/>
      <c r="AG298" s="66"/>
    </row>
    <row r="299" spans="28:33" ht="21.75" customHeight="1">
      <c r="AB299" s="286"/>
      <c r="AC299" s="66"/>
      <c r="AD299" s="66"/>
      <c r="AE299" s="66"/>
      <c r="AF299" s="66"/>
      <c r="AG299" s="66"/>
    </row>
    <row r="300" spans="28:33" ht="21.75" customHeight="1">
      <c r="AB300" s="286"/>
      <c r="AC300" s="66"/>
      <c r="AD300" s="66"/>
      <c r="AE300" s="66"/>
      <c r="AF300" s="66"/>
      <c r="AG300" s="66"/>
    </row>
    <row r="301" spans="28:33" ht="21.75" customHeight="1">
      <c r="AB301" s="286"/>
      <c r="AC301" s="66"/>
      <c r="AD301" s="66"/>
      <c r="AE301" s="66"/>
      <c r="AF301" s="66"/>
      <c r="AG301" s="66"/>
    </row>
    <row r="302" spans="28:33" ht="21.75" customHeight="1">
      <c r="AB302" s="286"/>
      <c r="AC302" s="66"/>
      <c r="AD302" s="66"/>
      <c r="AE302" s="66"/>
      <c r="AF302" s="66"/>
      <c r="AG302" s="66"/>
    </row>
    <row r="303" spans="28:33" ht="21.75" customHeight="1">
      <c r="AB303" s="286"/>
      <c r="AC303" s="66"/>
      <c r="AD303" s="66"/>
      <c r="AE303" s="66"/>
      <c r="AF303" s="66"/>
      <c r="AG303" s="66"/>
    </row>
    <row r="304" spans="28:33" ht="21.75" customHeight="1">
      <c r="AB304" s="286"/>
      <c r="AC304" s="66"/>
      <c r="AD304" s="66"/>
      <c r="AE304" s="66"/>
      <c r="AF304" s="66"/>
      <c r="AG304" s="66"/>
    </row>
    <row r="305" spans="28:33" ht="21.75" customHeight="1">
      <c r="AB305" s="286"/>
      <c r="AC305" s="66"/>
      <c r="AD305" s="66"/>
      <c r="AE305" s="66"/>
      <c r="AF305" s="66"/>
      <c r="AG305" s="66"/>
    </row>
    <row r="306" spans="28:33" ht="21.75" customHeight="1">
      <c r="AB306" s="286"/>
      <c r="AC306" s="66"/>
      <c r="AD306" s="66"/>
      <c r="AE306" s="66"/>
      <c r="AF306" s="66"/>
      <c r="AG306" s="66"/>
    </row>
    <row r="307" spans="28:33" ht="21.75" customHeight="1">
      <c r="AB307" s="286"/>
      <c r="AC307" s="66"/>
      <c r="AD307" s="66"/>
      <c r="AE307" s="66"/>
      <c r="AF307" s="66"/>
      <c r="AG307" s="66"/>
    </row>
    <row r="308" spans="28:33" ht="21.75" customHeight="1">
      <c r="AB308" s="286"/>
      <c r="AC308" s="66"/>
      <c r="AD308" s="66"/>
      <c r="AE308" s="66"/>
      <c r="AF308" s="66"/>
      <c r="AG308" s="66"/>
    </row>
    <row r="309" spans="28:33" ht="21.75" customHeight="1">
      <c r="AB309" s="286"/>
      <c r="AC309" s="66"/>
      <c r="AD309" s="66"/>
      <c r="AE309" s="66"/>
      <c r="AF309" s="66"/>
      <c r="AG309" s="66"/>
    </row>
    <row r="310" spans="28:33" ht="21.75" customHeight="1">
      <c r="AB310" s="286"/>
      <c r="AC310" s="66"/>
      <c r="AD310" s="66"/>
      <c r="AE310" s="66"/>
      <c r="AF310" s="66"/>
      <c r="AG310" s="66"/>
    </row>
    <row r="311" spans="28:33" ht="21.75" customHeight="1">
      <c r="AB311" s="286"/>
      <c r="AC311" s="66"/>
      <c r="AD311" s="66"/>
      <c r="AE311" s="66"/>
      <c r="AF311" s="66"/>
      <c r="AG311" s="66"/>
    </row>
    <row r="312" spans="28:33" ht="21.75" customHeight="1">
      <c r="AB312" s="286"/>
      <c r="AC312" s="66"/>
      <c r="AD312" s="66"/>
      <c r="AE312" s="66"/>
      <c r="AF312" s="66"/>
      <c r="AG312" s="66"/>
    </row>
    <row r="313" spans="28:33" ht="21.75" customHeight="1">
      <c r="AB313" s="286"/>
      <c r="AC313" s="66"/>
      <c r="AD313" s="66"/>
      <c r="AE313" s="66"/>
      <c r="AF313" s="66"/>
      <c r="AG313" s="66"/>
    </row>
    <row r="314" spans="28:33" ht="21.75" customHeight="1">
      <c r="AB314" s="286"/>
      <c r="AC314" s="66"/>
      <c r="AD314" s="66"/>
      <c r="AE314" s="66"/>
      <c r="AF314" s="66"/>
      <c r="AG314" s="66"/>
    </row>
    <row r="315" spans="28:33" ht="21.75" customHeight="1">
      <c r="AB315" s="286"/>
      <c r="AC315" s="66"/>
      <c r="AD315" s="66"/>
      <c r="AE315" s="66"/>
      <c r="AF315" s="66"/>
      <c r="AG315" s="66"/>
    </row>
    <row r="316" spans="28:33" ht="21.75" customHeight="1">
      <c r="AB316" s="286"/>
      <c r="AC316" s="66"/>
      <c r="AD316" s="66"/>
      <c r="AE316" s="66"/>
      <c r="AF316" s="66"/>
      <c r="AG316" s="66"/>
    </row>
    <row r="317" spans="28:33" ht="21.75" customHeight="1">
      <c r="AB317" s="286"/>
      <c r="AC317" s="66"/>
      <c r="AD317" s="66"/>
      <c r="AE317" s="66"/>
      <c r="AF317" s="66"/>
      <c r="AG317" s="66"/>
    </row>
    <row r="318" spans="28:33" ht="21.75" customHeight="1">
      <c r="AB318" s="286"/>
      <c r="AC318" s="66"/>
      <c r="AD318" s="66"/>
      <c r="AE318" s="66"/>
      <c r="AF318" s="66"/>
      <c r="AG318" s="66"/>
    </row>
    <row r="319" spans="28:33" ht="21.75" customHeight="1">
      <c r="AB319" s="286"/>
      <c r="AC319" s="66"/>
      <c r="AD319" s="66"/>
      <c r="AE319" s="66"/>
      <c r="AF319" s="66"/>
      <c r="AG319" s="66"/>
    </row>
    <row r="320" spans="28:33" ht="21.75" customHeight="1">
      <c r="AB320" s="286"/>
      <c r="AC320" s="66"/>
      <c r="AD320" s="66"/>
      <c r="AE320" s="66"/>
      <c r="AF320" s="66"/>
      <c r="AG320" s="66"/>
    </row>
    <row r="321" spans="28:33" ht="21.75" customHeight="1">
      <c r="AB321" s="286"/>
      <c r="AC321" s="66"/>
      <c r="AD321" s="66"/>
      <c r="AE321" s="66"/>
      <c r="AF321" s="66"/>
      <c r="AG321" s="66"/>
    </row>
    <row r="322" spans="28:33" ht="21.75" customHeight="1">
      <c r="AB322" s="286"/>
      <c r="AC322" s="66"/>
      <c r="AD322" s="66"/>
      <c r="AE322" s="66"/>
      <c r="AF322" s="66"/>
      <c r="AG322" s="66"/>
    </row>
    <row r="323" spans="28:33" ht="21.75" customHeight="1">
      <c r="AB323" s="286"/>
      <c r="AC323" s="66"/>
      <c r="AD323" s="66"/>
      <c r="AE323" s="66"/>
      <c r="AF323" s="66"/>
      <c r="AG323" s="66"/>
    </row>
    <row r="324" spans="28:33" ht="21.75" customHeight="1">
      <c r="AB324" s="286"/>
      <c r="AC324" s="66"/>
      <c r="AD324" s="66"/>
      <c r="AE324" s="66"/>
      <c r="AF324" s="66"/>
      <c r="AG324" s="66"/>
    </row>
    <row r="325" spans="28:33" ht="21.75" customHeight="1">
      <c r="AB325" s="286"/>
      <c r="AC325" s="66"/>
      <c r="AD325" s="66"/>
      <c r="AE325" s="66"/>
      <c r="AF325" s="66"/>
      <c r="AG325" s="66"/>
    </row>
    <row r="326" spans="28:33" ht="21.75" customHeight="1">
      <c r="AB326" s="286"/>
      <c r="AC326" s="66"/>
      <c r="AD326" s="66"/>
      <c r="AE326" s="66"/>
      <c r="AF326" s="66"/>
      <c r="AG326" s="66"/>
    </row>
    <row r="327" spans="28:33" ht="21.75" customHeight="1">
      <c r="AB327" s="286"/>
      <c r="AC327" s="66"/>
      <c r="AD327" s="66"/>
      <c r="AE327" s="66"/>
      <c r="AF327" s="66"/>
      <c r="AG327" s="66"/>
    </row>
    <row r="328" spans="28:33" ht="21.75" customHeight="1">
      <c r="AB328" s="286"/>
      <c r="AC328" s="66"/>
      <c r="AD328" s="66"/>
      <c r="AE328" s="66"/>
      <c r="AF328" s="66"/>
      <c r="AG328" s="66"/>
    </row>
    <row r="329" spans="28:33" ht="21.75" customHeight="1">
      <c r="AB329" s="286"/>
      <c r="AC329" s="66"/>
      <c r="AD329" s="66"/>
      <c r="AE329" s="66"/>
      <c r="AF329" s="66"/>
      <c r="AG329" s="66"/>
    </row>
    <row r="330" spans="28:33" ht="21.75" customHeight="1">
      <c r="AB330" s="286"/>
      <c r="AC330" s="66"/>
      <c r="AD330" s="66"/>
      <c r="AE330" s="66"/>
      <c r="AF330" s="66"/>
      <c r="AG330" s="66"/>
    </row>
    <row r="331" spans="28:33" ht="21.75" customHeight="1">
      <c r="AB331" s="286"/>
      <c r="AC331" s="66"/>
      <c r="AD331" s="66"/>
      <c r="AE331" s="66"/>
      <c r="AF331" s="66"/>
      <c r="AG331" s="66"/>
    </row>
    <row r="332" spans="28:33" ht="21.75" customHeight="1">
      <c r="AB332" s="286"/>
      <c r="AC332" s="66"/>
      <c r="AD332" s="66"/>
      <c r="AE332" s="66"/>
      <c r="AF332" s="66"/>
      <c r="AG332" s="66"/>
    </row>
    <row r="333" spans="28:33" ht="21.75" customHeight="1">
      <c r="AB333" s="286"/>
      <c r="AC333" s="66"/>
      <c r="AD333" s="66"/>
      <c r="AE333" s="66"/>
      <c r="AF333" s="66"/>
      <c r="AG333" s="66"/>
    </row>
    <row r="334" spans="28:33" ht="21.75" customHeight="1">
      <c r="AB334" s="286"/>
      <c r="AC334" s="66"/>
      <c r="AD334" s="66"/>
      <c r="AE334" s="66"/>
      <c r="AF334" s="66"/>
      <c r="AG334" s="66"/>
    </row>
    <row r="335" spans="28:33" ht="21.75" customHeight="1">
      <c r="AB335" s="286"/>
      <c r="AC335" s="66"/>
      <c r="AD335" s="66"/>
      <c r="AE335" s="66"/>
      <c r="AF335" s="66"/>
      <c r="AG335" s="66"/>
    </row>
    <row r="336" spans="28:33" ht="21.75" customHeight="1">
      <c r="AB336" s="286"/>
      <c r="AC336" s="66"/>
      <c r="AD336" s="66"/>
      <c r="AE336" s="66"/>
      <c r="AF336" s="66"/>
      <c r="AG336" s="66"/>
    </row>
    <row r="337" spans="28:33" ht="21.75" customHeight="1">
      <c r="AB337" s="286"/>
      <c r="AC337" s="66"/>
      <c r="AD337" s="66"/>
      <c r="AE337" s="66"/>
      <c r="AF337" s="66"/>
      <c r="AG337" s="66"/>
    </row>
    <row r="338" spans="28:33" ht="21.75" customHeight="1">
      <c r="AB338" s="286"/>
      <c r="AC338" s="66"/>
      <c r="AD338" s="66"/>
      <c r="AE338" s="66"/>
      <c r="AF338" s="66"/>
      <c r="AG338" s="66"/>
    </row>
    <row r="339" spans="28:33" ht="21.75" customHeight="1">
      <c r="AB339" s="286"/>
      <c r="AC339" s="66"/>
      <c r="AD339" s="66"/>
      <c r="AE339" s="66"/>
      <c r="AF339" s="66"/>
      <c r="AG339" s="66"/>
    </row>
    <row r="340" spans="28:33" ht="21.75" customHeight="1">
      <c r="AB340" s="286"/>
      <c r="AC340" s="66"/>
      <c r="AD340" s="66"/>
      <c r="AE340" s="66"/>
      <c r="AF340" s="66"/>
      <c r="AG340" s="66"/>
    </row>
    <row r="341" spans="28:33" ht="21.75" customHeight="1">
      <c r="AB341" s="286"/>
      <c r="AC341" s="66"/>
      <c r="AD341" s="66"/>
      <c r="AE341" s="66"/>
      <c r="AF341" s="66"/>
      <c r="AG341" s="66"/>
    </row>
    <row r="342" spans="28:33" ht="21.75" customHeight="1">
      <c r="AB342" s="286"/>
      <c r="AC342" s="66"/>
      <c r="AD342" s="66"/>
      <c r="AE342" s="66"/>
      <c r="AF342" s="66"/>
      <c r="AG342" s="66"/>
    </row>
    <row r="343" spans="28:33" ht="21.75" customHeight="1">
      <c r="AB343" s="286"/>
      <c r="AC343" s="66"/>
      <c r="AD343" s="66"/>
      <c r="AE343" s="66"/>
      <c r="AF343" s="66"/>
      <c r="AG343" s="66"/>
    </row>
    <row r="344" spans="28:33" ht="21.75" customHeight="1">
      <c r="AB344" s="286"/>
      <c r="AC344" s="66"/>
      <c r="AD344" s="66"/>
      <c r="AE344" s="66"/>
      <c r="AF344" s="66"/>
      <c r="AG344" s="66"/>
    </row>
    <row r="345" spans="28:33" ht="21.75" customHeight="1">
      <c r="AB345" s="286"/>
      <c r="AC345" s="66"/>
      <c r="AD345" s="66"/>
      <c r="AE345" s="66"/>
      <c r="AF345" s="66"/>
      <c r="AG345" s="66"/>
    </row>
    <row r="346" spans="28:33" ht="21.75" customHeight="1">
      <c r="AB346" s="286"/>
      <c r="AC346" s="66"/>
      <c r="AD346" s="66"/>
      <c r="AE346" s="66"/>
      <c r="AF346" s="66"/>
      <c r="AG346" s="66"/>
    </row>
    <row r="347" spans="28:33" ht="21.75" customHeight="1">
      <c r="AB347" s="286"/>
      <c r="AC347" s="66"/>
      <c r="AD347" s="66"/>
      <c r="AE347" s="66"/>
      <c r="AF347" s="66"/>
      <c r="AG347" s="66"/>
    </row>
    <row r="348" spans="28:33" ht="21.75" customHeight="1">
      <c r="AB348" s="286"/>
      <c r="AC348" s="66"/>
      <c r="AD348" s="66"/>
      <c r="AE348" s="66"/>
      <c r="AF348" s="66"/>
      <c r="AG348" s="66"/>
    </row>
    <row r="349" spans="28:33" ht="21.75" customHeight="1">
      <c r="AB349" s="286"/>
      <c r="AC349" s="66"/>
      <c r="AD349" s="66"/>
      <c r="AE349" s="66"/>
      <c r="AF349" s="66"/>
      <c r="AG349" s="66"/>
    </row>
    <row r="350" spans="28:33" ht="21.75" customHeight="1">
      <c r="AB350" s="286"/>
      <c r="AC350" s="66"/>
      <c r="AD350" s="66"/>
      <c r="AE350" s="66"/>
      <c r="AF350" s="66"/>
      <c r="AG350" s="66"/>
    </row>
    <row r="351" spans="28:33" ht="21.75" customHeight="1">
      <c r="AB351" s="286"/>
      <c r="AC351" s="66"/>
      <c r="AD351" s="66"/>
      <c r="AE351" s="66"/>
      <c r="AF351" s="66"/>
      <c r="AG351" s="66"/>
    </row>
    <row r="352" spans="28:33" ht="21.75" customHeight="1">
      <c r="AB352" s="286"/>
      <c r="AC352" s="66"/>
      <c r="AD352" s="66"/>
      <c r="AE352" s="66"/>
      <c r="AF352" s="66"/>
      <c r="AG352" s="66"/>
    </row>
    <row r="353" spans="28:33" ht="21.75" customHeight="1">
      <c r="AB353" s="286"/>
      <c r="AC353" s="66"/>
      <c r="AD353" s="66"/>
      <c r="AE353" s="66"/>
      <c r="AF353" s="66"/>
      <c r="AG353" s="66"/>
    </row>
    <row r="354" spans="28:33" ht="21.75" customHeight="1">
      <c r="AB354" s="286"/>
      <c r="AC354" s="66"/>
      <c r="AD354" s="66"/>
      <c r="AE354" s="66"/>
      <c r="AF354" s="66"/>
      <c r="AG354" s="66"/>
    </row>
    <row r="355" spans="28:33" ht="21.75" customHeight="1">
      <c r="AB355" s="286"/>
      <c r="AC355" s="66"/>
      <c r="AD355" s="66"/>
      <c r="AE355" s="66"/>
      <c r="AF355" s="66"/>
      <c r="AG355" s="66"/>
    </row>
    <row r="356" spans="28:33" ht="21.75" customHeight="1">
      <c r="AB356" s="286"/>
      <c r="AC356" s="66"/>
      <c r="AD356" s="66"/>
      <c r="AE356" s="66"/>
      <c r="AF356" s="66"/>
      <c r="AG356" s="66"/>
    </row>
    <row r="357" spans="28:33" ht="21.75" customHeight="1">
      <c r="AB357" s="286"/>
      <c r="AC357" s="66"/>
      <c r="AD357" s="66"/>
      <c r="AE357" s="66"/>
      <c r="AF357" s="66"/>
      <c r="AG357" s="66"/>
    </row>
    <row r="358" spans="28:33" ht="21.75" customHeight="1">
      <c r="AB358" s="286"/>
      <c r="AC358" s="66"/>
      <c r="AD358" s="66"/>
      <c r="AE358" s="66"/>
      <c r="AF358" s="66"/>
      <c r="AG358" s="66"/>
    </row>
    <row r="359" spans="28:33" ht="21.75" customHeight="1">
      <c r="AB359" s="286"/>
      <c r="AC359" s="66"/>
      <c r="AD359" s="66"/>
      <c r="AE359" s="66"/>
      <c r="AF359" s="66"/>
      <c r="AG359" s="66"/>
    </row>
    <row r="360" spans="28:33" ht="21.75" customHeight="1">
      <c r="AB360" s="286"/>
      <c r="AC360" s="66"/>
      <c r="AD360" s="66"/>
      <c r="AE360" s="66"/>
      <c r="AF360" s="66"/>
      <c r="AG360" s="66"/>
    </row>
    <row r="361" spans="28:33" ht="21.75" customHeight="1">
      <c r="AB361" s="286"/>
      <c r="AC361" s="66"/>
      <c r="AD361" s="66"/>
      <c r="AE361" s="66"/>
      <c r="AF361" s="66"/>
      <c r="AG361" s="66"/>
    </row>
    <row r="362" spans="28:33" ht="21.75" customHeight="1">
      <c r="AB362" s="286"/>
      <c r="AC362" s="66"/>
      <c r="AD362" s="66"/>
      <c r="AE362" s="66"/>
      <c r="AF362" s="66"/>
      <c r="AG362" s="66"/>
    </row>
    <row r="363" spans="28:33" ht="21.75" customHeight="1">
      <c r="AB363" s="286"/>
      <c r="AC363" s="66"/>
      <c r="AD363" s="66"/>
      <c r="AE363" s="66"/>
      <c r="AF363" s="66"/>
      <c r="AG363" s="66"/>
    </row>
    <row r="364" spans="28:33" ht="21.75" customHeight="1">
      <c r="AB364" s="286"/>
      <c r="AC364" s="66"/>
      <c r="AD364" s="66"/>
      <c r="AE364" s="66"/>
      <c r="AF364" s="66"/>
      <c r="AG364" s="66"/>
    </row>
    <row r="365" spans="28:33" ht="21.75" customHeight="1">
      <c r="AB365" s="286"/>
      <c r="AC365" s="66"/>
      <c r="AD365" s="66"/>
      <c r="AE365" s="66"/>
      <c r="AF365" s="66"/>
      <c r="AG365" s="66"/>
    </row>
    <row r="366" spans="28:33" ht="21.75" customHeight="1">
      <c r="AB366" s="286"/>
      <c r="AC366" s="66"/>
      <c r="AD366" s="66"/>
      <c r="AE366" s="66"/>
      <c r="AF366" s="66"/>
      <c r="AG366" s="66"/>
    </row>
    <row r="367" spans="28:33" ht="21.75" customHeight="1">
      <c r="AB367" s="286"/>
      <c r="AC367" s="66"/>
      <c r="AD367" s="66"/>
      <c r="AE367" s="66"/>
      <c r="AF367" s="66"/>
      <c r="AG367" s="66"/>
    </row>
    <row r="368" spans="28:33" ht="21.75" customHeight="1">
      <c r="AB368" s="286"/>
      <c r="AC368" s="66"/>
      <c r="AD368" s="66"/>
      <c r="AE368" s="66"/>
      <c r="AF368" s="66"/>
      <c r="AG368" s="66"/>
    </row>
    <row r="369" spans="28:33" ht="21.75" customHeight="1">
      <c r="AB369" s="286"/>
      <c r="AC369" s="66"/>
      <c r="AD369" s="66"/>
      <c r="AE369" s="66"/>
      <c r="AF369" s="66"/>
      <c r="AG369" s="66"/>
    </row>
    <row r="370" spans="28:33" ht="21.75" customHeight="1">
      <c r="AB370" s="286"/>
      <c r="AC370" s="66"/>
      <c r="AD370" s="66"/>
      <c r="AE370" s="66"/>
      <c r="AF370" s="66"/>
      <c r="AG370" s="66"/>
    </row>
    <row r="371" spans="28:33" ht="21.75" customHeight="1">
      <c r="AB371" s="286"/>
      <c r="AC371" s="66"/>
      <c r="AD371" s="66"/>
      <c r="AE371" s="66"/>
      <c r="AF371" s="66"/>
      <c r="AG371" s="66"/>
    </row>
    <row r="372" spans="28:33" ht="21.75" customHeight="1">
      <c r="AB372" s="286"/>
      <c r="AC372" s="66"/>
      <c r="AD372" s="66"/>
      <c r="AE372" s="66"/>
      <c r="AF372" s="66"/>
      <c r="AG372" s="66"/>
    </row>
    <row r="373" spans="28:33" ht="21.75" customHeight="1">
      <c r="AB373" s="286"/>
      <c r="AC373" s="66"/>
      <c r="AD373" s="66"/>
      <c r="AE373" s="66"/>
      <c r="AF373" s="66"/>
      <c r="AG373" s="66"/>
    </row>
    <row r="374" spans="28:33" ht="21.75" customHeight="1">
      <c r="AB374" s="286"/>
      <c r="AC374" s="66"/>
      <c r="AD374" s="66"/>
      <c r="AE374" s="66"/>
      <c r="AF374" s="66"/>
      <c r="AG374" s="66"/>
    </row>
    <row r="375" spans="28:33" ht="21.75" customHeight="1">
      <c r="AB375" s="286"/>
      <c r="AC375" s="66"/>
      <c r="AD375" s="66"/>
      <c r="AE375" s="66"/>
      <c r="AF375" s="66"/>
      <c r="AG375" s="66"/>
    </row>
    <row r="376" spans="28:33" ht="21.75" customHeight="1">
      <c r="AB376" s="286"/>
      <c r="AC376" s="66"/>
      <c r="AD376" s="66"/>
      <c r="AE376" s="66"/>
      <c r="AF376" s="66"/>
      <c r="AG376" s="66"/>
    </row>
    <row r="377" spans="28:33" ht="21.75" customHeight="1">
      <c r="AB377" s="286"/>
      <c r="AC377" s="66"/>
      <c r="AD377" s="66"/>
      <c r="AE377" s="66"/>
      <c r="AF377" s="66"/>
      <c r="AG377" s="66"/>
    </row>
    <row r="378" spans="28:33" ht="21.75" customHeight="1">
      <c r="AB378" s="286"/>
      <c r="AC378" s="66"/>
      <c r="AD378" s="66"/>
      <c r="AE378" s="66"/>
      <c r="AF378" s="66"/>
      <c r="AG378" s="66"/>
    </row>
    <row r="379" spans="28:33" ht="21.75" customHeight="1">
      <c r="AB379" s="286"/>
      <c r="AC379" s="66"/>
      <c r="AD379" s="66"/>
      <c r="AE379" s="66"/>
      <c r="AF379" s="66"/>
      <c r="AG379" s="66"/>
    </row>
    <row r="380" spans="28:33" ht="21.75" customHeight="1">
      <c r="AB380" s="286"/>
      <c r="AC380" s="66"/>
      <c r="AD380" s="66"/>
      <c r="AE380" s="66"/>
      <c r="AF380" s="66"/>
      <c r="AG380" s="66"/>
    </row>
    <row r="381" spans="28:33" ht="21.75" customHeight="1">
      <c r="AB381" s="286"/>
      <c r="AC381" s="66"/>
      <c r="AD381" s="66"/>
      <c r="AE381" s="66"/>
      <c r="AF381" s="66"/>
      <c r="AG381" s="66"/>
    </row>
    <row r="382" spans="28:33" ht="21.75" customHeight="1">
      <c r="AB382" s="286"/>
      <c r="AC382" s="66"/>
      <c r="AD382" s="66"/>
      <c r="AE382" s="66"/>
      <c r="AF382" s="66"/>
      <c r="AG382" s="66"/>
    </row>
    <row r="383" spans="28:33" ht="21.75" customHeight="1">
      <c r="AB383" s="286"/>
      <c r="AC383" s="66"/>
      <c r="AD383" s="66"/>
      <c r="AE383" s="66"/>
      <c r="AF383" s="66"/>
      <c r="AG383" s="66"/>
    </row>
    <row r="384" spans="28:33" ht="21.75" customHeight="1">
      <c r="AB384" s="286"/>
      <c r="AC384" s="66"/>
      <c r="AD384" s="66"/>
      <c r="AE384" s="66"/>
      <c r="AF384" s="66"/>
      <c r="AG384" s="66"/>
    </row>
    <row r="385" spans="28:33" ht="21.75" customHeight="1">
      <c r="AB385" s="286"/>
      <c r="AC385" s="66"/>
      <c r="AD385" s="66"/>
      <c r="AE385" s="66"/>
      <c r="AF385" s="66"/>
      <c r="AG385" s="66"/>
    </row>
    <row r="386" spans="28:33" ht="21.75" customHeight="1">
      <c r="AB386" s="286"/>
      <c r="AC386" s="66"/>
      <c r="AD386" s="66"/>
      <c r="AE386" s="66"/>
      <c r="AF386" s="66"/>
      <c r="AG386" s="66"/>
    </row>
    <row r="387" spans="28:33" ht="21.75" customHeight="1">
      <c r="AB387" s="286"/>
      <c r="AC387" s="66"/>
      <c r="AD387" s="66"/>
      <c r="AE387" s="66"/>
      <c r="AF387" s="66"/>
      <c r="AG387" s="66"/>
    </row>
    <row r="388" spans="28:33" ht="21.75" customHeight="1">
      <c r="AB388" s="286"/>
      <c r="AC388" s="66"/>
      <c r="AD388" s="66"/>
      <c r="AE388" s="66"/>
      <c r="AF388" s="66"/>
      <c r="AG388" s="66"/>
    </row>
    <row r="389" spans="28:33" ht="21.75" customHeight="1">
      <c r="AB389" s="286"/>
      <c r="AC389" s="66"/>
      <c r="AD389" s="66"/>
      <c r="AE389" s="66"/>
      <c r="AF389" s="66"/>
      <c r="AG389" s="66"/>
    </row>
    <row r="390" spans="28:33" ht="21.75" customHeight="1">
      <c r="AB390" s="286"/>
      <c r="AC390" s="66"/>
      <c r="AD390" s="66"/>
      <c r="AE390" s="66"/>
      <c r="AF390" s="66"/>
      <c r="AG390" s="66"/>
    </row>
    <row r="391" spans="28:33" ht="21.75" customHeight="1">
      <c r="AB391" s="286"/>
      <c r="AC391" s="66"/>
      <c r="AD391" s="66"/>
      <c r="AE391" s="66"/>
      <c r="AF391" s="66"/>
      <c r="AG391" s="66"/>
    </row>
    <row r="392" spans="28:33" ht="21.75" customHeight="1">
      <c r="AB392" s="286"/>
      <c r="AC392" s="66"/>
      <c r="AD392" s="66"/>
      <c r="AE392" s="66"/>
      <c r="AF392" s="66"/>
      <c r="AG392" s="66"/>
    </row>
    <row r="393" spans="28:33" ht="21.75" customHeight="1">
      <c r="AB393" s="286"/>
      <c r="AC393" s="66"/>
      <c r="AD393" s="66"/>
      <c r="AE393" s="66"/>
      <c r="AF393" s="66"/>
      <c r="AG393" s="66"/>
    </row>
    <row r="394" spans="28:33" ht="21.75" customHeight="1">
      <c r="AB394" s="286"/>
      <c r="AC394" s="66"/>
      <c r="AD394" s="66"/>
      <c r="AE394" s="66"/>
      <c r="AF394" s="66"/>
      <c r="AG394" s="66"/>
    </row>
    <row r="395" spans="28:33" ht="21.75" customHeight="1">
      <c r="AB395" s="286"/>
      <c r="AC395" s="66"/>
      <c r="AD395" s="66"/>
      <c r="AE395" s="66"/>
      <c r="AF395" s="66"/>
      <c r="AG395" s="66"/>
    </row>
    <row r="396" spans="28:33" ht="21.75" customHeight="1">
      <c r="AB396" s="286"/>
      <c r="AC396" s="66"/>
      <c r="AD396" s="66"/>
      <c r="AE396" s="66"/>
      <c r="AF396" s="66"/>
      <c r="AG396" s="66"/>
    </row>
    <row r="397" spans="28:33" ht="21.75" customHeight="1">
      <c r="AB397" s="286"/>
      <c r="AC397" s="66"/>
      <c r="AD397" s="66"/>
      <c r="AE397" s="66"/>
      <c r="AF397" s="66"/>
      <c r="AG397" s="66"/>
    </row>
    <row r="398" spans="28:33" ht="21.75" customHeight="1">
      <c r="AB398" s="286"/>
      <c r="AC398" s="66"/>
      <c r="AD398" s="66"/>
      <c r="AE398" s="66"/>
      <c r="AF398" s="66"/>
      <c r="AG398" s="66"/>
    </row>
    <row r="399" spans="28:33" ht="21.75" customHeight="1">
      <c r="AB399" s="286"/>
      <c r="AC399" s="66"/>
      <c r="AD399" s="66"/>
      <c r="AE399" s="66"/>
      <c r="AF399" s="66"/>
      <c r="AG399" s="66"/>
    </row>
    <row r="400" spans="28:33" ht="21.75" customHeight="1">
      <c r="AB400" s="286"/>
      <c r="AC400" s="66"/>
      <c r="AD400" s="66"/>
      <c r="AE400" s="66"/>
      <c r="AF400" s="66"/>
      <c r="AG400" s="66"/>
    </row>
    <row r="401" spans="28:33" ht="21.75" customHeight="1">
      <c r="AB401" s="286"/>
      <c r="AC401" s="66"/>
      <c r="AD401" s="66"/>
      <c r="AE401" s="66"/>
      <c r="AF401" s="66"/>
      <c r="AG401" s="66"/>
    </row>
    <row r="402" spans="28:33" ht="21.75" customHeight="1">
      <c r="AB402" s="286"/>
      <c r="AC402" s="66"/>
      <c r="AD402" s="66"/>
      <c r="AE402" s="66"/>
      <c r="AF402" s="66"/>
      <c r="AG402" s="66"/>
    </row>
    <row r="403" spans="28:33" ht="21.75" customHeight="1">
      <c r="AB403" s="286"/>
      <c r="AC403" s="66"/>
      <c r="AD403" s="66"/>
      <c r="AE403" s="66"/>
      <c r="AF403" s="66"/>
      <c r="AG403" s="66"/>
    </row>
    <row r="404" spans="28:33" ht="21.75" customHeight="1">
      <c r="AB404" s="286"/>
      <c r="AC404" s="66"/>
      <c r="AD404" s="66"/>
      <c r="AE404" s="66"/>
      <c r="AF404" s="66"/>
      <c r="AG404" s="66"/>
    </row>
    <row r="405" spans="28:33" ht="21.75" customHeight="1">
      <c r="AB405" s="286"/>
      <c r="AC405" s="66"/>
      <c r="AD405" s="66"/>
      <c r="AE405" s="66"/>
      <c r="AF405" s="66"/>
      <c r="AG405" s="66"/>
    </row>
    <row r="406" spans="28:33" ht="21.75" customHeight="1">
      <c r="AB406" s="286"/>
      <c r="AC406" s="66"/>
      <c r="AD406" s="66"/>
      <c r="AE406" s="66"/>
      <c r="AF406" s="66"/>
      <c r="AG406" s="66"/>
    </row>
    <row r="407" spans="28:33" ht="21.75" customHeight="1">
      <c r="AB407" s="286"/>
      <c r="AC407" s="66"/>
      <c r="AD407" s="66"/>
      <c r="AE407" s="66"/>
      <c r="AF407" s="66"/>
      <c r="AG407" s="66"/>
    </row>
    <row r="408" spans="28:33" ht="21.75" customHeight="1">
      <c r="AB408" s="286"/>
      <c r="AC408" s="66"/>
      <c r="AD408" s="66"/>
      <c r="AE408" s="66"/>
      <c r="AF408" s="66"/>
      <c r="AG408" s="66"/>
    </row>
    <row r="409" spans="28:33" ht="21.75" customHeight="1">
      <c r="AB409" s="286"/>
      <c r="AC409" s="66"/>
      <c r="AD409" s="66"/>
      <c r="AE409" s="66"/>
      <c r="AF409" s="66"/>
      <c r="AG409" s="66"/>
    </row>
    <row r="410" spans="28:33" ht="21.75" customHeight="1">
      <c r="AB410" s="286"/>
      <c r="AC410" s="66"/>
      <c r="AD410" s="66"/>
      <c r="AE410" s="66"/>
      <c r="AF410" s="66"/>
      <c r="AG410" s="66"/>
    </row>
    <row r="411" spans="28:33" ht="21.75" customHeight="1">
      <c r="AB411" s="286"/>
      <c r="AC411" s="66"/>
      <c r="AD411" s="66"/>
      <c r="AE411" s="66"/>
      <c r="AF411" s="66"/>
      <c r="AG411" s="66"/>
    </row>
    <row r="412" spans="28:33" ht="21.75" customHeight="1">
      <c r="AB412" s="286"/>
      <c r="AC412" s="66"/>
      <c r="AD412" s="66"/>
      <c r="AE412" s="66"/>
      <c r="AF412" s="66"/>
      <c r="AG412" s="66"/>
    </row>
    <row r="413" spans="28:33" ht="21.75" customHeight="1">
      <c r="AB413" s="286"/>
      <c r="AC413" s="66"/>
      <c r="AD413" s="66"/>
      <c r="AE413" s="66"/>
      <c r="AF413" s="66"/>
      <c r="AG413" s="66"/>
    </row>
    <row r="414" spans="28:33" ht="21.75" customHeight="1">
      <c r="AB414" s="286"/>
      <c r="AC414" s="66"/>
      <c r="AD414" s="66"/>
      <c r="AE414" s="66"/>
      <c r="AF414" s="66"/>
      <c r="AG414" s="66"/>
    </row>
    <row r="415" spans="28:33" ht="21.75" customHeight="1">
      <c r="AB415" s="286"/>
      <c r="AC415" s="66"/>
      <c r="AD415" s="66"/>
      <c r="AE415" s="66"/>
      <c r="AF415" s="66"/>
      <c r="AG415" s="66"/>
    </row>
    <row r="416" spans="28:33" ht="21.75" customHeight="1">
      <c r="AB416" s="286"/>
      <c r="AC416" s="66"/>
      <c r="AD416" s="66"/>
      <c r="AE416" s="66"/>
      <c r="AF416" s="66"/>
      <c r="AG416" s="66"/>
    </row>
    <row r="417" spans="28:33" ht="21.75" customHeight="1">
      <c r="AB417" s="286"/>
      <c r="AC417" s="66"/>
      <c r="AD417" s="66"/>
      <c r="AE417" s="66"/>
      <c r="AF417" s="66"/>
      <c r="AG417" s="66"/>
    </row>
    <row r="418" spans="28:33" ht="21.75" customHeight="1">
      <c r="AB418" s="286"/>
      <c r="AC418" s="66"/>
      <c r="AD418" s="66"/>
      <c r="AE418" s="66"/>
      <c r="AF418" s="66"/>
      <c r="AG418" s="66"/>
    </row>
    <row r="419" spans="28:33" ht="21.75" customHeight="1">
      <c r="AB419" s="286"/>
      <c r="AC419" s="66"/>
      <c r="AD419" s="66"/>
      <c r="AE419" s="66"/>
      <c r="AF419" s="66"/>
      <c r="AG419" s="66"/>
    </row>
    <row r="420" spans="28:33" ht="21.75" customHeight="1">
      <c r="AB420" s="286"/>
      <c r="AC420" s="66"/>
      <c r="AD420" s="66"/>
      <c r="AE420" s="66"/>
      <c r="AF420" s="66"/>
      <c r="AG420" s="66"/>
    </row>
    <row r="421" spans="28:33" ht="21.75" customHeight="1">
      <c r="AB421" s="286"/>
      <c r="AC421" s="66"/>
      <c r="AD421" s="66"/>
      <c r="AE421" s="66"/>
      <c r="AF421" s="66"/>
      <c r="AG421" s="66"/>
    </row>
    <row r="422" spans="28:33" ht="21.75" customHeight="1">
      <c r="AB422" s="286"/>
      <c r="AC422" s="66"/>
      <c r="AD422" s="66"/>
      <c r="AE422" s="66"/>
      <c r="AF422" s="66"/>
      <c r="AG422" s="66"/>
    </row>
    <row r="423" spans="28:33" ht="21.75" customHeight="1">
      <c r="AB423" s="286"/>
      <c r="AC423" s="66"/>
      <c r="AD423" s="66"/>
      <c r="AE423" s="66"/>
      <c r="AF423" s="66"/>
      <c r="AG423" s="66"/>
    </row>
    <row r="424" spans="28:33" ht="21.75" customHeight="1">
      <c r="AB424" s="286"/>
      <c r="AC424" s="66"/>
      <c r="AD424" s="66"/>
      <c r="AE424" s="66"/>
      <c r="AF424" s="66"/>
      <c r="AG424" s="66"/>
    </row>
    <row r="425" spans="28:33" ht="21.75" customHeight="1">
      <c r="AB425" s="286"/>
      <c r="AC425" s="66"/>
      <c r="AD425" s="66"/>
      <c r="AE425" s="66"/>
      <c r="AF425" s="66"/>
      <c r="AG425" s="66"/>
    </row>
    <row r="426" spans="28:33" ht="21.75" customHeight="1">
      <c r="AB426" s="286"/>
      <c r="AC426" s="66"/>
      <c r="AD426" s="66"/>
      <c r="AE426" s="66"/>
      <c r="AF426" s="66"/>
      <c r="AG426" s="66"/>
    </row>
    <row r="427" spans="28:33" ht="21.75" customHeight="1">
      <c r="AB427" s="286"/>
      <c r="AC427" s="66"/>
      <c r="AD427" s="66"/>
      <c r="AE427" s="66"/>
      <c r="AF427" s="66"/>
      <c r="AG427" s="66"/>
    </row>
    <row r="428" spans="28:33" ht="21.75" customHeight="1">
      <c r="AB428" s="286"/>
      <c r="AC428" s="66"/>
      <c r="AD428" s="66"/>
      <c r="AE428" s="66"/>
      <c r="AF428" s="66"/>
      <c r="AG428" s="66"/>
    </row>
    <row r="429" spans="28:33" ht="21.75" customHeight="1">
      <c r="AB429" s="286"/>
      <c r="AC429" s="66"/>
      <c r="AD429" s="66"/>
      <c r="AE429" s="66"/>
      <c r="AF429" s="66"/>
      <c r="AG429" s="66"/>
    </row>
    <row r="430" spans="28:33" ht="21.75" customHeight="1">
      <c r="AB430" s="286"/>
      <c r="AC430" s="66"/>
      <c r="AD430" s="66"/>
      <c r="AE430" s="66"/>
      <c r="AF430" s="66"/>
      <c r="AG430" s="66"/>
    </row>
    <row r="431" spans="28:33" ht="21.75" customHeight="1">
      <c r="AB431" s="286"/>
      <c r="AC431" s="66"/>
      <c r="AD431" s="66"/>
      <c r="AE431" s="66"/>
      <c r="AF431" s="66"/>
      <c r="AG431" s="66"/>
    </row>
    <row r="432" spans="28:33" ht="21.75" customHeight="1">
      <c r="AB432" s="286"/>
      <c r="AC432" s="66"/>
      <c r="AD432" s="66"/>
      <c r="AE432" s="66"/>
      <c r="AF432" s="66"/>
      <c r="AG432" s="66"/>
    </row>
    <row r="433" spans="28:33" ht="21.75" customHeight="1">
      <c r="AB433" s="286"/>
      <c r="AC433" s="66"/>
      <c r="AD433" s="66"/>
      <c r="AE433" s="66"/>
      <c r="AF433" s="66"/>
      <c r="AG433" s="66"/>
    </row>
    <row r="434" spans="28:33" ht="21.75" customHeight="1">
      <c r="AB434" s="286"/>
      <c r="AC434" s="66"/>
      <c r="AD434" s="66"/>
      <c r="AE434" s="66"/>
      <c r="AF434" s="66"/>
      <c r="AG434" s="66"/>
    </row>
    <row r="435" spans="28:33" ht="21.75" customHeight="1">
      <c r="AB435" s="286"/>
      <c r="AC435" s="66"/>
      <c r="AD435" s="66"/>
      <c r="AE435" s="66"/>
      <c r="AF435" s="66"/>
      <c r="AG435" s="66"/>
    </row>
    <row r="436" spans="28:33" ht="21.75" customHeight="1">
      <c r="AB436" s="286"/>
      <c r="AC436" s="66"/>
      <c r="AD436" s="66"/>
      <c r="AE436" s="66"/>
      <c r="AF436" s="66"/>
      <c r="AG436" s="66"/>
    </row>
    <row r="437" spans="28:33" ht="21.75" customHeight="1">
      <c r="AB437" s="286"/>
      <c r="AC437" s="66"/>
      <c r="AD437" s="66"/>
      <c r="AE437" s="66"/>
      <c r="AF437" s="66"/>
      <c r="AG437" s="66"/>
    </row>
    <row r="438" spans="28:33" ht="21.75" customHeight="1">
      <c r="AB438" s="286"/>
      <c r="AC438" s="66"/>
      <c r="AD438" s="66"/>
      <c r="AE438" s="66"/>
      <c r="AF438" s="66"/>
      <c r="AG438" s="66"/>
    </row>
    <row r="439" spans="28:33" ht="21.75" customHeight="1">
      <c r="AB439" s="286"/>
      <c r="AC439" s="66"/>
      <c r="AD439" s="66"/>
      <c r="AE439" s="66"/>
      <c r="AF439" s="66"/>
      <c r="AG439" s="66"/>
    </row>
    <row r="440" spans="28:33" ht="21.75" customHeight="1">
      <c r="AB440" s="286"/>
      <c r="AC440" s="66"/>
      <c r="AD440" s="66"/>
      <c r="AE440" s="66"/>
      <c r="AF440" s="66"/>
      <c r="AG440" s="66"/>
    </row>
    <row r="441" spans="28:33" ht="21.75" customHeight="1">
      <c r="AB441" s="286"/>
      <c r="AC441" s="66"/>
      <c r="AD441" s="66"/>
      <c r="AE441" s="66"/>
      <c r="AF441" s="66"/>
      <c r="AG441" s="66"/>
    </row>
    <row r="442" spans="28:33" ht="21.75" customHeight="1">
      <c r="AB442" s="286"/>
      <c r="AC442" s="66"/>
      <c r="AD442" s="66"/>
      <c r="AE442" s="66"/>
      <c r="AF442" s="66"/>
      <c r="AG442" s="66"/>
    </row>
    <row r="443" spans="28:33" ht="21.75" customHeight="1">
      <c r="AB443" s="286"/>
      <c r="AC443" s="66"/>
      <c r="AD443" s="66"/>
      <c r="AE443" s="66"/>
      <c r="AF443" s="66"/>
      <c r="AG443" s="66"/>
    </row>
    <row r="444" spans="28:33" ht="21.75" customHeight="1">
      <c r="AB444" s="286"/>
      <c r="AC444" s="66"/>
      <c r="AD444" s="66"/>
      <c r="AE444" s="66"/>
      <c r="AF444" s="66"/>
      <c r="AG444" s="66"/>
    </row>
    <row r="445" spans="28:33" ht="21.75" customHeight="1">
      <c r="AB445" s="286"/>
      <c r="AC445" s="66"/>
      <c r="AD445" s="66"/>
      <c r="AE445" s="66"/>
      <c r="AF445" s="66"/>
      <c r="AG445" s="66"/>
    </row>
    <row r="446" spans="28:33" ht="21.75" customHeight="1">
      <c r="AB446" s="286"/>
      <c r="AC446" s="66"/>
      <c r="AD446" s="66"/>
      <c r="AE446" s="66"/>
      <c r="AF446" s="66"/>
      <c r="AG446" s="66"/>
    </row>
    <row r="447" spans="28:33" ht="21.75" customHeight="1">
      <c r="AB447" s="286"/>
      <c r="AC447" s="66"/>
      <c r="AD447" s="66"/>
      <c r="AE447" s="66"/>
      <c r="AF447" s="66"/>
      <c r="AG447" s="66"/>
    </row>
    <row r="448" spans="28:33" ht="21.75" customHeight="1">
      <c r="AB448" s="286"/>
      <c r="AC448" s="66"/>
      <c r="AD448" s="66"/>
      <c r="AE448" s="66"/>
      <c r="AF448" s="66"/>
      <c r="AG448" s="66"/>
    </row>
    <row r="449" spans="28:33" ht="21.75" customHeight="1">
      <c r="AB449" s="286"/>
      <c r="AC449" s="66"/>
      <c r="AD449" s="66"/>
      <c r="AE449" s="66"/>
      <c r="AF449" s="66"/>
      <c r="AG449" s="66"/>
    </row>
    <row r="450" spans="28:33" ht="21.75" customHeight="1">
      <c r="AB450" s="286"/>
      <c r="AC450" s="66"/>
      <c r="AD450" s="66"/>
      <c r="AE450" s="66"/>
      <c r="AF450" s="66"/>
      <c r="AG450" s="66"/>
    </row>
    <row r="451" spans="28:33" ht="21.75" customHeight="1">
      <c r="AB451" s="286"/>
      <c r="AC451" s="66"/>
      <c r="AD451" s="66"/>
      <c r="AE451" s="66"/>
      <c r="AF451" s="66"/>
      <c r="AG451" s="66"/>
    </row>
    <row r="452" spans="28:33" ht="21.75" customHeight="1">
      <c r="AB452" s="286"/>
      <c r="AC452" s="66"/>
      <c r="AD452" s="66"/>
      <c r="AE452" s="66"/>
      <c r="AF452" s="66"/>
      <c r="AG452" s="66"/>
    </row>
    <row r="453" spans="28:33" ht="21.75" customHeight="1">
      <c r="AB453" s="286"/>
      <c r="AC453" s="66"/>
      <c r="AD453" s="66"/>
      <c r="AE453" s="66"/>
      <c r="AF453" s="66"/>
      <c r="AG453" s="66"/>
    </row>
    <row r="454" spans="28:33" ht="21.75" customHeight="1">
      <c r="AB454" s="286"/>
      <c r="AC454" s="66"/>
      <c r="AD454" s="66"/>
      <c r="AE454" s="66"/>
      <c r="AF454" s="66"/>
      <c r="AG454" s="66"/>
    </row>
    <row r="455" spans="28:33" ht="21.75" customHeight="1">
      <c r="AB455" s="286"/>
      <c r="AC455" s="66"/>
      <c r="AD455" s="66"/>
      <c r="AE455" s="66"/>
      <c r="AF455" s="66"/>
      <c r="AG455" s="66"/>
    </row>
    <row r="456" spans="28:33" ht="21.75" customHeight="1">
      <c r="AB456" s="286"/>
      <c r="AC456" s="66"/>
      <c r="AD456" s="66"/>
      <c r="AE456" s="66"/>
      <c r="AF456" s="66"/>
      <c r="AG456" s="66"/>
    </row>
    <row r="457" spans="28:33" ht="21.75" customHeight="1">
      <c r="AB457" s="286"/>
      <c r="AC457" s="66"/>
      <c r="AD457" s="66"/>
      <c r="AE457" s="66"/>
      <c r="AF457" s="66"/>
      <c r="AG457" s="66"/>
    </row>
    <row r="458" spans="28:33" ht="21.75" customHeight="1">
      <c r="AB458" s="286"/>
      <c r="AC458" s="66"/>
      <c r="AD458" s="66"/>
      <c r="AE458" s="66"/>
      <c r="AF458" s="66"/>
      <c r="AG458" s="66"/>
    </row>
    <row r="459" spans="28:33" ht="21.75" customHeight="1">
      <c r="AB459" s="286"/>
      <c r="AC459" s="66"/>
      <c r="AD459" s="66"/>
      <c r="AE459" s="66"/>
      <c r="AF459" s="66"/>
      <c r="AG459" s="66"/>
    </row>
    <row r="460" spans="28:33" ht="21.75" customHeight="1">
      <c r="AB460" s="286"/>
      <c r="AC460" s="66"/>
      <c r="AD460" s="66"/>
      <c r="AE460" s="66"/>
      <c r="AF460" s="66"/>
      <c r="AG460" s="66"/>
    </row>
    <row r="461" spans="28:33" ht="21.75" customHeight="1">
      <c r="AB461" s="286"/>
      <c r="AC461" s="66"/>
      <c r="AD461" s="66"/>
      <c r="AE461" s="66"/>
      <c r="AF461" s="66"/>
      <c r="AG461" s="66"/>
    </row>
    <row r="462" spans="28:33" ht="21.75" customHeight="1">
      <c r="AB462" s="286"/>
      <c r="AC462" s="66"/>
      <c r="AD462" s="66"/>
      <c r="AE462" s="66"/>
      <c r="AF462" s="66"/>
      <c r="AG462" s="66"/>
    </row>
    <row r="463" spans="28:33" ht="21.75" customHeight="1">
      <c r="AB463" s="286"/>
      <c r="AC463" s="66"/>
      <c r="AD463" s="66"/>
      <c r="AE463" s="66"/>
      <c r="AF463" s="66"/>
      <c r="AG463" s="66"/>
    </row>
    <row r="464" spans="28:33" ht="21.75" customHeight="1">
      <c r="AB464" s="286"/>
      <c r="AC464" s="66"/>
      <c r="AD464" s="66"/>
      <c r="AE464" s="66"/>
      <c r="AF464" s="66"/>
      <c r="AG464" s="66"/>
    </row>
    <row r="465" spans="28:33" ht="21.75" customHeight="1">
      <c r="AB465" s="286"/>
      <c r="AC465" s="66"/>
      <c r="AD465" s="66"/>
      <c r="AE465" s="66"/>
      <c r="AF465" s="66"/>
      <c r="AG465" s="66"/>
    </row>
    <row r="466" spans="28:33" ht="21.75" customHeight="1">
      <c r="AB466" s="286"/>
      <c r="AC466" s="66"/>
      <c r="AD466" s="66"/>
      <c r="AE466" s="66"/>
      <c r="AF466" s="66"/>
      <c r="AG466" s="66"/>
    </row>
    <row r="467" spans="28:33" ht="21.75" customHeight="1">
      <c r="AB467" s="286"/>
      <c r="AC467" s="66"/>
      <c r="AD467" s="66"/>
      <c r="AE467" s="66"/>
      <c r="AF467" s="66"/>
      <c r="AG467" s="66"/>
    </row>
    <row r="468" spans="28:33" ht="21.75" customHeight="1">
      <c r="AB468" s="286"/>
      <c r="AC468" s="66"/>
      <c r="AD468" s="66"/>
      <c r="AE468" s="66"/>
      <c r="AF468" s="66"/>
      <c r="AG468" s="66"/>
    </row>
    <row r="469" spans="28:33" ht="21.75" customHeight="1">
      <c r="AB469" s="286"/>
      <c r="AC469" s="66"/>
      <c r="AD469" s="66"/>
      <c r="AE469" s="66"/>
      <c r="AF469" s="66"/>
      <c r="AG469" s="66"/>
    </row>
    <row r="470" spans="28:33" ht="21.75" customHeight="1">
      <c r="AB470" s="286"/>
      <c r="AC470" s="66"/>
      <c r="AD470" s="66"/>
      <c r="AE470" s="66"/>
      <c r="AF470" s="66"/>
      <c r="AG470" s="66"/>
    </row>
    <row r="471" spans="28:33" ht="21.75" customHeight="1">
      <c r="AB471" s="286"/>
      <c r="AC471" s="66"/>
      <c r="AD471" s="66"/>
      <c r="AE471" s="66"/>
      <c r="AF471" s="66"/>
      <c r="AG471" s="66"/>
    </row>
    <row r="472" spans="28:33" ht="21.75" customHeight="1">
      <c r="AB472" s="286"/>
      <c r="AC472" s="66"/>
      <c r="AD472" s="66"/>
      <c r="AE472" s="66"/>
      <c r="AF472" s="66"/>
      <c r="AG472" s="66"/>
    </row>
    <row r="473" spans="28:33" ht="21.75" customHeight="1">
      <c r="AB473" s="286"/>
      <c r="AC473" s="66"/>
      <c r="AD473" s="66"/>
      <c r="AE473" s="66"/>
      <c r="AF473" s="66"/>
      <c r="AG473" s="66"/>
    </row>
    <row r="474" spans="28:33" ht="21.75" customHeight="1">
      <c r="AB474" s="286"/>
      <c r="AC474" s="66"/>
      <c r="AD474" s="66"/>
      <c r="AE474" s="66"/>
      <c r="AF474" s="66"/>
      <c r="AG474" s="66"/>
    </row>
    <row r="475" spans="28:33" ht="21.75" customHeight="1">
      <c r="AB475" s="286"/>
      <c r="AC475" s="66"/>
      <c r="AD475" s="66"/>
      <c r="AE475" s="66"/>
      <c r="AF475" s="66"/>
      <c r="AG475" s="66"/>
    </row>
    <row r="476" spans="28:33" ht="21.75" customHeight="1">
      <c r="AB476" s="286"/>
      <c r="AC476" s="66"/>
      <c r="AD476" s="66"/>
      <c r="AE476" s="66"/>
      <c r="AF476" s="66"/>
      <c r="AG476" s="66"/>
    </row>
    <row r="477" spans="28:33" ht="21.75" customHeight="1">
      <c r="AB477" s="286"/>
      <c r="AC477" s="66"/>
      <c r="AD477" s="66"/>
      <c r="AE477" s="66"/>
      <c r="AF477" s="66"/>
      <c r="AG477" s="66"/>
    </row>
    <row r="478" spans="28:33" ht="21.75" customHeight="1">
      <c r="AB478" s="286"/>
      <c r="AC478" s="66"/>
      <c r="AD478" s="66"/>
      <c r="AE478" s="66"/>
      <c r="AF478" s="66"/>
      <c r="AG478" s="66"/>
    </row>
    <row r="479" spans="28:33" ht="21.75" customHeight="1">
      <c r="AB479" s="286"/>
      <c r="AC479" s="66"/>
      <c r="AD479" s="66"/>
      <c r="AE479" s="66"/>
      <c r="AF479" s="66"/>
      <c r="AG479" s="66"/>
    </row>
    <row r="480" spans="28:33" ht="21.75" customHeight="1">
      <c r="AB480" s="286"/>
      <c r="AC480" s="66"/>
      <c r="AD480" s="66"/>
      <c r="AE480" s="66"/>
      <c r="AF480" s="66"/>
      <c r="AG480" s="66"/>
    </row>
    <row r="481" spans="28:33" ht="21.75" customHeight="1">
      <c r="AB481" s="286"/>
      <c r="AC481" s="66"/>
      <c r="AD481" s="66"/>
      <c r="AE481" s="66"/>
      <c r="AF481" s="66"/>
      <c r="AG481" s="66"/>
    </row>
    <row r="482" spans="28:33" ht="21.75" customHeight="1">
      <c r="AB482" s="286"/>
      <c r="AC482" s="66"/>
      <c r="AD482" s="66"/>
      <c r="AE482" s="66"/>
      <c r="AF482" s="66"/>
      <c r="AG482" s="66"/>
    </row>
    <row r="483" spans="28:33" ht="21.75" customHeight="1">
      <c r="AB483" s="286"/>
      <c r="AC483" s="66"/>
      <c r="AD483" s="66"/>
      <c r="AE483" s="66"/>
      <c r="AF483" s="66"/>
      <c r="AG483" s="66"/>
    </row>
    <row r="484" spans="28:33" ht="21.75" customHeight="1">
      <c r="AB484" s="286"/>
      <c r="AC484" s="66"/>
      <c r="AD484" s="66"/>
      <c r="AE484" s="66"/>
      <c r="AF484" s="66"/>
      <c r="AG484" s="66"/>
    </row>
    <row r="485" spans="28:33" ht="21.75" customHeight="1">
      <c r="AB485" s="286"/>
      <c r="AC485" s="66"/>
      <c r="AD485" s="66"/>
      <c r="AE485" s="66"/>
      <c r="AF485" s="66"/>
      <c r="AG485" s="66"/>
    </row>
    <row r="486" spans="28:33" ht="21.75" customHeight="1">
      <c r="AB486" s="286"/>
      <c r="AC486" s="66"/>
      <c r="AD486" s="66"/>
      <c r="AE486" s="66"/>
      <c r="AF486" s="66"/>
      <c r="AG486" s="66"/>
    </row>
    <row r="487" spans="28:33" ht="21.75" customHeight="1">
      <c r="AB487" s="286"/>
      <c r="AC487" s="66"/>
      <c r="AD487" s="66"/>
      <c r="AE487" s="66"/>
      <c r="AF487" s="66"/>
      <c r="AG487" s="66"/>
    </row>
    <row r="488" spans="28:33" ht="21.75" customHeight="1">
      <c r="AB488" s="286"/>
      <c r="AC488" s="66"/>
      <c r="AD488" s="66"/>
      <c r="AE488" s="66"/>
      <c r="AF488" s="66"/>
      <c r="AG488" s="66"/>
    </row>
    <row r="489" spans="28:33" ht="21.75" customHeight="1">
      <c r="AB489" s="286"/>
      <c r="AC489" s="66"/>
      <c r="AD489" s="66"/>
      <c r="AE489" s="66"/>
      <c r="AF489" s="66"/>
      <c r="AG489" s="66"/>
    </row>
    <row r="490" spans="28:33" ht="21.75" customHeight="1">
      <c r="AB490" s="286"/>
      <c r="AC490" s="66"/>
      <c r="AD490" s="66"/>
      <c r="AE490" s="66"/>
      <c r="AF490" s="66"/>
      <c r="AG490" s="66"/>
    </row>
    <row r="491" spans="28:33" ht="21.75" customHeight="1">
      <c r="AB491" s="286"/>
      <c r="AC491" s="66"/>
      <c r="AD491" s="66"/>
      <c r="AE491" s="66"/>
      <c r="AF491" s="66"/>
      <c r="AG491" s="66"/>
    </row>
    <row r="492" spans="28:33" ht="21.75" customHeight="1">
      <c r="AB492" s="286"/>
      <c r="AC492" s="66"/>
      <c r="AD492" s="66"/>
      <c r="AE492" s="66"/>
      <c r="AF492" s="66"/>
      <c r="AG492" s="66"/>
    </row>
    <row r="493" spans="28:33" ht="21.75" customHeight="1">
      <c r="AB493" s="286"/>
      <c r="AC493" s="66"/>
      <c r="AD493" s="66"/>
      <c r="AE493" s="66"/>
      <c r="AF493" s="66"/>
      <c r="AG493" s="66"/>
    </row>
    <row r="494" spans="28:33" ht="21.75" customHeight="1">
      <c r="AB494" s="286"/>
      <c r="AC494" s="66"/>
      <c r="AD494" s="66"/>
      <c r="AE494" s="66"/>
      <c r="AF494" s="66"/>
      <c r="AG494" s="66"/>
    </row>
    <row r="495" spans="28:33" ht="21.75" customHeight="1">
      <c r="AB495" s="286"/>
      <c r="AC495" s="66"/>
      <c r="AD495" s="66"/>
      <c r="AE495" s="66"/>
      <c r="AF495" s="66"/>
      <c r="AG495" s="66"/>
    </row>
    <row r="496" spans="28:33" ht="21.75" customHeight="1">
      <c r="AB496" s="286"/>
      <c r="AC496" s="66"/>
      <c r="AD496" s="66"/>
      <c r="AE496" s="66"/>
      <c r="AF496" s="66"/>
      <c r="AG496" s="66"/>
    </row>
    <row r="497" spans="28:33" ht="21.75" customHeight="1">
      <c r="AB497" s="286"/>
      <c r="AC497" s="66"/>
      <c r="AD497" s="66"/>
      <c r="AE497" s="66"/>
      <c r="AF497" s="66"/>
      <c r="AG497" s="66"/>
    </row>
    <row r="498" spans="28:33" ht="21.75" customHeight="1">
      <c r="AB498" s="286"/>
      <c r="AC498" s="66"/>
      <c r="AD498" s="66"/>
      <c r="AE498" s="66"/>
      <c r="AF498" s="66"/>
      <c r="AG498" s="66"/>
    </row>
    <row r="499" spans="28:33" ht="21.75" customHeight="1">
      <c r="AB499" s="286"/>
      <c r="AC499" s="66"/>
      <c r="AD499" s="66"/>
      <c r="AE499" s="66"/>
      <c r="AF499" s="66"/>
      <c r="AG499" s="66"/>
    </row>
    <row r="500" spans="28:33" ht="21.75" customHeight="1">
      <c r="AB500" s="286"/>
      <c r="AC500" s="66"/>
      <c r="AD500" s="66"/>
      <c r="AE500" s="66"/>
      <c r="AF500" s="66"/>
      <c r="AG500" s="66"/>
    </row>
    <row r="501" spans="28:33" ht="21.75" customHeight="1">
      <c r="AB501" s="286"/>
      <c r="AC501" s="66"/>
      <c r="AD501" s="66"/>
      <c r="AE501" s="66"/>
      <c r="AF501" s="66"/>
      <c r="AG501" s="66"/>
    </row>
    <row r="502" spans="28:33" ht="21.75" customHeight="1">
      <c r="AB502" s="286"/>
      <c r="AC502" s="66"/>
      <c r="AD502" s="66"/>
      <c r="AE502" s="66"/>
      <c r="AF502" s="66"/>
      <c r="AG502" s="66"/>
    </row>
    <row r="503" spans="28:33" ht="21.75" customHeight="1">
      <c r="AB503" s="286"/>
      <c r="AC503" s="66"/>
      <c r="AD503" s="66"/>
      <c r="AE503" s="66"/>
      <c r="AF503" s="66"/>
      <c r="AG503" s="66"/>
    </row>
    <row r="504" spans="28:33" ht="21.75" customHeight="1">
      <c r="AB504" s="286"/>
      <c r="AC504" s="66"/>
      <c r="AD504" s="66"/>
      <c r="AE504" s="66"/>
      <c r="AF504" s="66"/>
      <c r="AG504" s="66"/>
    </row>
    <row r="505" spans="28:33" ht="21.75" customHeight="1">
      <c r="AB505" s="286"/>
      <c r="AC505" s="66"/>
      <c r="AD505" s="66"/>
      <c r="AE505" s="66"/>
      <c r="AF505" s="66"/>
      <c r="AG505" s="66"/>
    </row>
    <row r="506" spans="28:33" ht="21.75" customHeight="1">
      <c r="AB506" s="286"/>
      <c r="AC506" s="66"/>
      <c r="AD506" s="66"/>
      <c r="AE506" s="66"/>
      <c r="AF506" s="66"/>
      <c r="AG506" s="66"/>
    </row>
    <row r="507" spans="28:33" ht="21.75" customHeight="1">
      <c r="AB507" s="286"/>
      <c r="AC507" s="66"/>
      <c r="AD507" s="66"/>
      <c r="AE507" s="66"/>
      <c r="AF507" s="66"/>
      <c r="AG507" s="66"/>
    </row>
    <row r="508" spans="28:33" ht="21.75" customHeight="1">
      <c r="AB508" s="286"/>
      <c r="AC508" s="66"/>
      <c r="AD508" s="66"/>
      <c r="AE508" s="66"/>
      <c r="AF508" s="66"/>
      <c r="AG508" s="66"/>
    </row>
    <row r="509" spans="28:33" ht="21.75" customHeight="1">
      <c r="AB509" s="286"/>
      <c r="AC509" s="66"/>
      <c r="AD509" s="66"/>
      <c r="AE509" s="66"/>
      <c r="AF509" s="66"/>
      <c r="AG509" s="66"/>
    </row>
    <row r="510" spans="28:33" ht="21.75" customHeight="1">
      <c r="AB510" s="286"/>
      <c r="AC510" s="66"/>
      <c r="AD510" s="66"/>
      <c r="AE510" s="66"/>
      <c r="AF510" s="66"/>
      <c r="AG510" s="66"/>
    </row>
    <row r="511" spans="28:33" ht="21.75" customHeight="1">
      <c r="AB511" s="286"/>
      <c r="AC511" s="66"/>
      <c r="AD511" s="66"/>
      <c r="AE511" s="66"/>
      <c r="AF511" s="66"/>
      <c r="AG511" s="66"/>
    </row>
    <row r="512" spans="28:33" ht="21.75" customHeight="1">
      <c r="AB512" s="286"/>
      <c r="AC512" s="66"/>
      <c r="AD512" s="66"/>
      <c r="AE512" s="66"/>
      <c r="AF512" s="66"/>
      <c r="AG512" s="66"/>
    </row>
    <row r="513" spans="28:33" ht="21.75" customHeight="1">
      <c r="AB513" s="286"/>
      <c r="AC513" s="66"/>
      <c r="AD513" s="66"/>
      <c r="AE513" s="66"/>
      <c r="AF513" s="66"/>
      <c r="AG513" s="66"/>
    </row>
    <row r="514" spans="28:33" ht="21.75" customHeight="1">
      <c r="AB514" s="286"/>
      <c r="AC514" s="66"/>
      <c r="AD514" s="66"/>
      <c r="AE514" s="66"/>
      <c r="AF514" s="66"/>
      <c r="AG514" s="66"/>
    </row>
    <row r="515" spans="28:33" ht="21.75" customHeight="1">
      <c r="AB515" s="286"/>
      <c r="AC515" s="66"/>
      <c r="AD515" s="66"/>
      <c r="AE515" s="66"/>
      <c r="AF515" s="66"/>
      <c r="AG515" s="66"/>
    </row>
    <row r="516" spans="28:33" ht="21.75" customHeight="1">
      <c r="AB516" s="286"/>
      <c r="AC516" s="66"/>
      <c r="AD516" s="66"/>
      <c r="AE516" s="66"/>
      <c r="AF516" s="66"/>
      <c r="AG516" s="66"/>
    </row>
    <row r="517" spans="28:33" ht="21.75" customHeight="1">
      <c r="AB517" s="286"/>
      <c r="AC517" s="66"/>
      <c r="AD517" s="66"/>
      <c r="AE517" s="66"/>
      <c r="AF517" s="66"/>
      <c r="AG517" s="66"/>
    </row>
    <row r="518" spans="28:33" ht="21.75" customHeight="1">
      <c r="AB518" s="286"/>
      <c r="AC518" s="66"/>
      <c r="AD518" s="66"/>
      <c r="AE518" s="66"/>
      <c r="AF518" s="66"/>
      <c r="AG518" s="66"/>
    </row>
    <row r="519" spans="28:33" ht="21.75" customHeight="1">
      <c r="AB519" s="286"/>
      <c r="AC519" s="66"/>
      <c r="AD519" s="66"/>
      <c r="AE519" s="66"/>
      <c r="AF519" s="66"/>
      <c r="AG519" s="66"/>
    </row>
    <row r="520" spans="28:33" ht="21.75" customHeight="1">
      <c r="AB520" s="286"/>
      <c r="AC520" s="66"/>
      <c r="AD520" s="66"/>
      <c r="AE520" s="66"/>
      <c r="AF520" s="66"/>
      <c r="AG520" s="66"/>
    </row>
    <row r="521" spans="28:33" ht="21.75" customHeight="1">
      <c r="AB521" s="286"/>
      <c r="AC521" s="66"/>
      <c r="AD521" s="66"/>
      <c r="AE521" s="66"/>
      <c r="AF521" s="66"/>
      <c r="AG521" s="66"/>
    </row>
    <row r="522" spans="28:33" ht="21.75" customHeight="1">
      <c r="AB522" s="286"/>
      <c r="AC522" s="66"/>
      <c r="AD522" s="66"/>
      <c r="AE522" s="66"/>
      <c r="AF522" s="66"/>
      <c r="AG522" s="66"/>
    </row>
    <row r="523" spans="28:33" ht="21.75" customHeight="1">
      <c r="AB523" s="286"/>
      <c r="AC523" s="66"/>
      <c r="AD523" s="66"/>
      <c r="AE523" s="66"/>
      <c r="AF523" s="66"/>
      <c r="AG523" s="66"/>
    </row>
    <row r="524" spans="28:33" ht="21.75" customHeight="1">
      <c r="AB524" s="286"/>
      <c r="AC524" s="66"/>
      <c r="AD524" s="66"/>
      <c r="AE524" s="66"/>
      <c r="AF524" s="66"/>
      <c r="AG524" s="66"/>
    </row>
    <row r="525" spans="28:33" ht="21.75" customHeight="1">
      <c r="AB525" s="286"/>
      <c r="AC525" s="66"/>
      <c r="AD525" s="66"/>
      <c r="AE525" s="66"/>
      <c r="AF525" s="66"/>
      <c r="AG525" s="66"/>
    </row>
    <row r="526" spans="28:33" ht="21.75" customHeight="1">
      <c r="AB526" s="286"/>
      <c r="AC526" s="66"/>
      <c r="AD526" s="66"/>
      <c r="AE526" s="66"/>
      <c r="AF526" s="66"/>
      <c r="AG526" s="66"/>
    </row>
    <row r="527" spans="28:33" ht="21.75" customHeight="1">
      <c r="AB527" s="286"/>
      <c r="AC527" s="66"/>
      <c r="AD527" s="66"/>
      <c r="AE527" s="66"/>
      <c r="AF527" s="66"/>
      <c r="AG527" s="66"/>
    </row>
    <row r="528" spans="28:33" ht="21.75" customHeight="1">
      <c r="AB528" s="286"/>
      <c r="AC528" s="66"/>
      <c r="AD528" s="66"/>
      <c r="AE528" s="66"/>
      <c r="AF528" s="66"/>
      <c r="AG528" s="66"/>
    </row>
    <row r="529" spans="28:33" ht="21.75" customHeight="1">
      <c r="AB529" s="286"/>
      <c r="AC529" s="66"/>
      <c r="AD529" s="66"/>
      <c r="AE529" s="66"/>
      <c r="AF529" s="66"/>
      <c r="AG529" s="66"/>
    </row>
    <row r="530" spans="28:33" ht="21.75" customHeight="1">
      <c r="AB530" s="286"/>
      <c r="AC530" s="66"/>
      <c r="AD530" s="66"/>
      <c r="AE530" s="66"/>
      <c r="AF530" s="66"/>
      <c r="AG530" s="66"/>
    </row>
    <row r="531" spans="28:33" ht="21.75" customHeight="1">
      <c r="AB531" s="286"/>
      <c r="AC531" s="66"/>
      <c r="AD531" s="66"/>
      <c r="AE531" s="66"/>
      <c r="AF531" s="66"/>
      <c r="AG531" s="66"/>
    </row>
    <row r="532" spans="28:33" ht="21.75" customHeight="1">
      <c r="AB532" s="286"/>
      <c r="AC532" s="66"/>
      <c r="AD532" s="66"/>
      <c r="AE532" s="66"/>
      <c r="AF532" s="66"/>
      <c r="AG532" s="66"/>
    </row>
    <row r="533" spans="28:33" ht="21.75" customHeight="1">
      <c r="AB533" s="286"/>
      <c r="AC533" s="66"/>
      <c r="AD533" s="66"/>
      <c r="AE533" s="66"/>
      <c r="AF533" s="66"/>
      <c r="AG533" s="66"/>
    </row>
    <row r="534" spans="28:33" ht="21.75" customHeight="1">
      <c r="AB534" s="286"/>
      <c r="AC534" s="66"/>
      <c r="AD534" s="66"/>
      <c r="AE534" s="66"/>
      <c r="AF534" s="66"/>
      <c r="AG534" s="66"/>
    </row>
    <row r="535" spans="28:33" ht="21.75" customHeight="1">
      <c r="AB535" s="286"/>
      <c r="AC535" s="66"/>
      <c r="AD535" s="66"/>
      <c r="AE535" s="66"/>
      <c r="AF535" s="66"/>
      <c r="AG535" s="66"/>
    </row>
    <row r="536" spans="28:33" ht="21.75" customHeight="1">
      <c r="AB536" s="286"/>
      <c r="AC536" s="66"/>
      <c r="AD536" s="66"/>
      <c r="AE536" s="66"/>
      <c r="AF536" s="66"/>
      <c r="AG536" s="66"/>
    </row>
    <row r="537" spans="28:33" ht="21.75" customHeight="1">
      <c r="AB537" s="286"/>
      <c r="AC537" s="66"/>
      <c r="AD537" s="66"/>
      <c r="AE537" s="66"/>
      <c r="AF537" s="66"/>
      <c r="AG537" s="66"/>
    </row>
    <row r="538" spans="28:33" ht="21.75" customHeight="1">
      <c r="AB538" s="286"/>
      <c r="AC538" s="66"/>
      <c r="AD538" s="66"/>
      <c r="AE538" s="66"/>
      <c r="AF538" s="66"/>
      <c r="AG538" s="66"/>
    </row>
    <row r="539" spans="28:33" ht="21.75" customHeight="1">
      <c r="AB539" s="286"/>
      <c r="AC539" s="66"/>
      <c r="AD539" s="66"/>
      <c r="AE539" s="66"/>
      <c r="AF539" s="66"/>
      <c r="AG539" s="66"/>
    </row>
    <row r="540" spans="28:33" ht="21.75" customHeight="1">
      <c r="AB540" s="286"/>
      <c r="AC540" s="66"/>
      <c r="AD540" s="66"/>
      <c r="AE540" s="66"/>
      <c r="AF540" s="66"/>
      <c r="AG540" s="66"/>
    </row>
    <row r="541" spans="28:33" ht="21.75" customHeight="1">
      <c r="AB541" s="286"/>
      <c r="AC541" s="66"/>
      <c r="AD541" s="66"/>
      <c r="AE541" s="66"/>
      <c r="AF541" s="66"/>
      <c r="AG541" s="66"/>
    </row>
    <row r="542" spans="28:33" ht="21.75" customHeight="1">
      <c r="AB542" s="286"/>
      <c r="AC542" s="66"/>
      <c r="AD542" s="66"/>
      <c r="AE542" s="66"/>
      <c r="AF542" s="66"/>
      <c r="AG542" s="66"/>
    </row>
    <row r="543" spans="28:33" ht="21.75" customHeight="1">
      <c r="AB543" s="286"/>
      <c r="AC543" s="66"/>
      <c r="AD543" s="66"/>
      <c r="AE543" s="66"/>
      <c r="AF543" s="66"/>
      <c r="AG543" s="66"/>
    </row>
    <row r="544" spans="28:33" ht="21.75" customHeight="1">
      <c r="AB544" s="286"/>
      <c r="AC544" s="66"/>
      <c r="AD544" s="66"/>
      <c r="AE544" s="66"/>
      <c r="AF544" s="66"/>
      <c r="AG544" s="66"/>
    </row>
    <row r="545" spans="28:33" ht="21.75" customHeight="1">
      <c r="AB545" s="286"/>
      <c r="AC545" s="66"/>
      <c r="AD545" s="66"/>
      <c r="AE545" s="66"/>
      <c r="AF545" s="66"/>
      <c r="AG545" s="66"/>
    </row>
    <row r="546" spans="28:33" ht="21.75" customHeight="1">
      <c r="AB546" s="286"/>
      <c r="AC546" s="66"/>
      <c r="AD546" s="66"/>
      <c r="AE546" s="66"/>
      <c r="AF546" s="66"/>
      <c r="AG546" s="66"/>
    </row>
    <row r="547" spans="28:33" ht="21.75" customHeight="1">
      <c r="AB547" s="286"/>
      <c r="AC547" s="66"/>
      <c r="AD547" s="66"/>
      <c r="AE547" s="66"/>
      <c r="AF547" s="66"/>
      <c r="AG547" s="66"/>
    </row>
    <row r="548" spans="28:33" ht="21.75" customHeight="1">
      <c r="AB548" s="286"/>
      <c r="AC548" s="66"/>
      <c r="AD548" s="66"/>
      <c r="AE548" s="66"/>
      <c r="AF548" s="66"/>
      <c r="AG548" s="66"/>
    </row>
    <row r="549" spans="28:33" ht="21.75" customHeight="1">
      <c r="AB549" s="286"/>
      <c r="AC549" s="66"/>
      <c r="AD549" s="66"/>
      <c r="AE549" s="66"/>
      <c r="AF549" s="66"/>
      <c r="AG549" s="66"/>
    </row>
    <row r="550" spans="28:33" ht="21.75" customHeight="1">
      <c r="AB550" s="286"/>
      <c r="AC550" s="66"/>
      <c r="AD550" s="66"/>
      <c r="AE550" s="66"/>
      <c r="AF550" s="66"/>
      <c r="AG550" s="66"/>
    </row>
    <row r="551" spans="28:33" ht="21.75" customHeight="1">
      <c r="AB551" s="286"/>
      <c r="AC551" s="66"/>
      <c r="AD551" s="66"/>
      <c r="AE551" s="66"/>
      <c r="AF551" s="66"/>
      <c r="AG551" s="66"/>
    </row>
    <row r="552" spans="28:33" ht="21.75" customHeight="1">
      <c r="AB552" s="286"/>
      <c r="AC552" s="66"/>
      <c r="AD552" s="66"/>
      <c r="AE552" s="66"/>
      <c r="AF552" s="66"/>
      <c r="AG552" s="66"/>
    </row>
    <row r="553" spans="28:33" ht="21.75" customHeight="1">
      <c r="AB553" s="286"/>
      <c r="AC553" s="66"/>
      <c r="AD553" s="66"/>
      <c r="AE553" s="66"/>
      <c r="AF553" s="66"/>
      <c r="AG553" s="66"/>
    </row>
    <row r="554" spans="28:33" ht="21.75" customHeight="1">
      <c r="AB554" s="286"/>
      <c r="AC554" s="66"/>
      <c r="AD554" s="66"/>
      <c r="AE554" s="66"/>
      <c r="AF554" s="66"/>
      <c r="AG554" s="66"/>
    </row>
    <row r="555" spans="28:33" ht="21.75" customHeight="1">
      <c r="AB555" s="286"/>
      <c r="AC555" s="66"/>
      <c r="AD555" s="66"/>
      <c r="AE555" s="66"/>
      <c r="AF555" s="66"/>
      <c r="AG555" s="66"/>
    </row>
    <row r="556" spans="28:33" ht="21.75" customHeight="1">
      <c r="AB556" s="286"/>
      <c r="AC556" s="66"/>
      <c r="AD556" s="66"/>
      <c r="AE556" s="66"/>
      <c r="AF556" s="66"/>
      <c r="AG556" s="66"/>
    </row>
    <row r="557" spans="28:33" ht="21.75" customHeight="1">
      <c r="AB557" s="286"/>
      <c r="AC557" s="66"/>
      <c r="AD557" s="66"/>
      <c r="AE557" s="66"/>
      <c r="AF557" s="66"/>
      <c r="AG557" s="66"/>
    </row>
    <row r="558" spans="28:33" ht="21.75" customHeight="1">
      <c r="AB558" s="286"/>
      <c r="AC558" s="66"/>
      <c r="AD558" s="66"/>
      <c r="AE558" s="66"/>
      <c r="AF558" s="66"/>
      <c r="AG558" s="66"/>
    </row>
    <row r="559" spans="28:33" ht="21.75" customHeight="1">
      <c r="AB559" s="286"/>
      <c r="AC559" s="66"/>
      <c r="AD559" s="66"/>
      <c r="AE559" s="66"/>
      <c r="AF559" s="66"/>
      <c r="AG559" s="66"/>
    </row>
    <row r="560" spans="28:33" ht="21.75" customHeight="1">
      <c r="AB560" s="286"/>
      <c r="AC560" s="66"/>
      <c r="AD560" s="66"/>
      <c r="AE560" s="66"/>
      <c r="AF560" s="66"/>
      <c r="AG560" s="66"/>
    </row>
    <row r="561" spans="28:33" ht="21.75" customHeight="1">
      <c r="AB561" s="286"/>
      <c r="AC561" s="66"/>
      <c r="AD561" s="66"/>
      <c r="AE561" s="66"/>
      <c r="AF561" s="66"/>
      <c r="AG561" s="66"/>
    </row>
    <row r="562" spans="28:33" ht="21.75" customHeight="1">
      <c r="AB562" s="286"/>
      <c r="AC562" s="66"/>
      <c r="AD562" s="66"/>
      <c r="AE562" s="66"/>
      <c r="AF562" s="66"/>
      <c r="AG562" s="66"/>
    </row>
    <row r="563" spans="28:33" ht="21.75" customHeight="1">
      <c r="AB563" s="286"/>
      <c r="AC563" s="66"/>
      <c r="AD563" s="66"/>
      <c r="AE563" s="66"/>
      <c r="AF563" s="66"/>
      <c r="AG563" s="66"/>
    </row>
    <row r="564" spans="28:33" ht="21.75" customHeight="1">
      <c r="AB564" s="286"/>
      <c r="AC564" s="66"/>
      <c r="AD564" s="66"/>
      <c r="AE564" s="66"/>
      <c r="AF564" s="66"/>
      <c r="AG564" s="66"/>
    </row>
    <row r="565" spans="28:33" ht="21.75" customHeight="1">
      <c r="AB565" s="286"/>
      <c r="AC565" s="66"/>
      <c r="AD565" s="66"/>
      <c r="AE565" s="66"/>
      <c r="AF565" s="66"/>
      <c r="AG565" s="66"/>
    </row>
    <row r="566" spans="28:33" ht="21.75" customHeight="1">
      <c r="AB566" s="286"/>
      <c r="AC566" s="66"/>
      <c r="AD566" s="66"/>
      <c r="AE566" s="66"/>
      <c r="AF566" s="66"/>
      <c r="AG566" s="66"/>
    </row>
    <row r="567" spans="28:33" ht="21.75" customHeight="1">
      <c r="AB567" s="286"/>
      <c r="AC567" s="66"/>
      <c r="AD567" s="66"/>
      <c r="AE567" s="66"/>
      <c r="AF567" s="66"/>
      <c r="AG567" s="66"/>
    </row>
    <row r="568" spans="28:33" ht="21.75" customHeight="1">
      <c r="AB568" s="286"/>
      <c r="AC568" s="66"/>
      <c r="AD568" s="66"/>
      <c r="AE568" s="66"/>
      <c r="AF568" s="66"/>
      <c r="AG568" s="66"/>
    </row>
    <row r="569" spans="28:33" ht="21.75" customHeight="1">
      <c r="AB569" s="286"/>
      <c r="AC569" s="66"/>
      <c r="AD569" s="66"/>
      <c r="AE569" s="66"/>
      <c r="AF569" s="66"/>
      <c r="AG569" s="66"/>
    </row>
    <row r="570" spans="28:33" ht="21.75" customHeight="1">
      <c r="AB570" s="286"/>
      <c r="AC570" s="66"/>
      <c r="AD570" s="66"/>
      <c r="AE570" s="66"/>
      <c r="AF570" s="66"/>
      <c r="AG570" s="66"/>
    </row>
    <row r="571" spans="28:33" ht="21.75" customHeight="1">
      <c r="AB571" s="286"/>
      <c r="AC571" s="66"/>
      <c r="AD571" s="66"/>
      <c r="AE571" s="66"/>
      <c r="AF571" s="66"/>
      <c r="AG571" s="66"/>
    </row>
    <row r="572" spans="28:33" ht="21.75" customHeight="1">
      <c r="AB572" s="286"/>
      <c r="AC572" s="66"/>
      <c r="AD572" s="66"/>
      <c r="AE572" s="66"/>
      <c r="AF572" s="66"/>
      <c r="AG572" s="66"/>
    </row>
    <row r="573" spans="28:33" ht="21.75" customHeight="1">
      <c r="AB573" s="286"/>
      <c r="AC573" s="66"/>
      <c r="AD573" s="66"/>
      <c r="AE573" s="66"/>
      <c r="AF573" s="66"/>
      <c r="AG573" s="66"/>
    </row>
    <row r="574" spans="28:33" ht="21.75" customHeight="1">
      <c r="AB574" s="286"/>
      <c r="AC574" s="66"/>
      <c r="AD574" s="66"/>
      <c r="AE574" s="66"/>
      <c r="AF574" s="66"/>
      <c r="AG574" s="66"/>
    </row>
    <row r="575" spans="28:33" ht="21.75" customHeight="1">
      <c r="AB575" s="286"/>
      <c r="AC575" s="66"/>
      <c r="AD575" s="66"/>
      <c r="AE575" s="66"/>
      <c r="AF575" s="66"/>
      <c r="AG575" s="66"/>
    </row>
    <row r="576" spans="28:33" ht="21.75" customHeight="1">
      <c r="AB576" s="286"/>
      <c r="AC576" s="66"/>
      <c r="AD576" s="66"/>
      <c r="AE576" s="66"/>
      <c r="AF576" s="66"/>
      <c r="AG576" s="66"/>
    </row>
    <row r="577" spans="28:33" ht="21.75" customHeight="1">
      <c r="AB577" s="286"/>
      <c r="AC577" s="66"/>
      <c r="AD577" s="66"/>
      <c r="AE577" s="66"/>
      <c r="AF577" s="66"/>
      <c r="AG577" s="66"/>
    </row>
    <row r="578" spans="28:33" ht="21.75" customHeight="1">
      <c r="AB578" s="286"/>
      <c r="AC578" s="66"/>
      <c r="AD578" s="66"/>
      <c r="AE578" s="66"/>
      <c r="AF578" s="66"/>
      <c r="AG578" s="66"/>
    </row>
    <row r="579" spans="28:33" ht="21.75" customHeight="1">
      <c r="AB579" s="286"/>
      <c r="AC579" s="66"/>
      <c r="AD579" s="66"/>
      <c r="AE579" s="66"/>
      <c r="AF579" s="66"/>
      <c r="AG579" s="66"/>
    </row>
    <row r="580" spans="28:33" ht="21.75" customHeight="1">
      <c r="AB580" s="286"/>
      <c r="AC580" s="66"/>
      <c r="AD580" s="66"/>
      <c r="AE580" s="66"/>
      <c r="AF580" s="66"/>
      <c r="AG580" s="66"/>
    </row>
    <row r="581" spans="28:33" ht="21.75" customHeight="1">
      <c r="AB581" s="286"/>
      <c r="AC581" s="66"/>
      <c r="AD581" s="66"/>
      <c r="AE581" s="66"/>
      <c r="AF581" s="66"/>
      <c r="AG581" s="66"/>
    </row>
    <row r="582" spans="28:33" ht="21.75" customHeight="1">
      <c r="AB582" s="286"/>
      <c r="AC582" s="66"/>
      <c r="AD582" s="66"/>
      <c r="AE582" s="66"/>
      <c r="AF582" s="66"/>
      <c r="AG582" s="66"/>
    </row>
    <row r="583" spans="28:33" ht="21.75" customHeight="1">
      <c r="AB583" s="286"/>
      <c r="AC583" s="66"/>
      <c r="AD583" s="66"/>
      <c r="AE583" s="66"/>
      <c r="AF583" s="66"/>
      <c r="AG583" s="66"/>
    </row>
    <row r="584" spans="28:33" ht="21.75" customHeight="1">
      <c r="AB584" s="286"/>
      <c r="AC584" s="66"/>
      <c r="AD584" s="66"/>
      <c r="AE584" s="66"/>
      <c r="AF584" s="66"/>
      <c r="AG584" s="66"/>
    </row>
    <row r="585" spans="28:33" ht="21.75" customHeight="1">
      <c r="AB585" s="286"/>
      <c r="AC585" s="66"/>
      <c r="AD585" s="66"/>
      <c r="AE585" s="66"/>
      <c r="AF585" s="66"/>
      <c r="AG585" s="66"/>
    </row>
    <row r="586" spans="28:33" ht="21.75" customHeight="1">
      <c r="AB586" s="286"/>
      <c r="AC586" s="66"/>
      <c r="AD586" s="66"/>
      <c r="AE586" s="66"/>
      <c r="AF586" s="66"/>
      <c r="AG586" s="66"/>
    </row>
    <row r="587" spans="28:33" ht="21.75" customHeight="1">
      <c r="AB587" s="286"/>
      <c r="AC587" s="66"/>
      <c r="AD587" s="66"/>
      <c r="AE587" s="66"/>
      <c r="AF587" s="66"/>
      <c r="AG587" s="66"/>
    </row>
    <row r="588" spans="28:33" ht="21.75" customHeight="1">
      <c r="AB588" s="286"/>
      <c r="AC588" s="66"/>
      <c r="AD588" s="66"/>
      <c r="AE588" s="66"/>
      <c r="AF588" s="66"/>
      <c r="AG588" s="66"/>
    </row>
    <row r="589" spans="28:33" ht="21.75" customHeight="1">
      <c r="AB589" s="286"/>
      <c r="AC589" s="66"/>
      <c r="AD589" s="66"/>
      <c r="AE589" s="66"/>
      <c r="AF589" s="66"/>
      <c r="AG589" s="66"/>
    </row>
    <row r="590" spans="28:33" ht="21.75" customHeight="1">
      <c r="AB590" s="286"/>
      <c r="AC590" s="66"/>
      <c r="AD590" s="66"/>
      <c r="AE590" s="66"/>
      <c r="AF590" s="66"/>
      <c r="AG590" s="66"/>
    </row>
    <row r="591" spans="28:33" ht="21.75" customHeight="1">
      <c r="AB591" s="286"/>
      <c r="AC591" s="66"/>
      <c r="AD591" s="66"/>
      <c r="AE591" s="66"/>
      <c r="AF591" s="66"/>
      <c r="AG591" s="66"/>
    </row>
    <row r="592" spans="28:33" ht="21.75" customHeight="1">
      <c r="AB592" s="286"/>
      <c r="AC592" s="66"/>
      <c r="AD592" s="66"/>
      <c r="AE592" s="66"/>
      <c r="AF592" s="66"/>
      <c r="AG592" s="66"/>
    </row>
    <row r="593" spans="28:33" ht="21.75" customHeight="1">
      <c r="AB593" s="286"/>
      <c r="AC593" s="66"/>
      <c r="AD593" s="66"/>
      <c r="AE593" s="66"/>
      <c r="AF593" s="66"/>
      <c r="AG593" s="66"/>
    </row>
    <row r="594" spans="28:33" ht="21.75" customHeight="1">
      <c r="AB594" s="286"/>
      <c r="AC594" s="66"/>
      <c r="AD594" s="66"/>
      <c r="AE594" s="66"/>
      <c r="AF594" s="66"/>
      <c r="AG594" s="66"/>
    </row>
    <row r="595" spans="28:33" ht="21.75" customHeight="1">
      <c r="AB595" s="286"/>
      <c r="AC595" s="66"/>
      <c r="AD595" s="66"/>
      <c r="AE595" s="66"/>
      <c r="AF595" s="66"/>
      <c r="AG595" s="66"/>
    </row>
    <row r="596" spans="28:33" ht="21.75" customHeight="1">
      <c r="AB596" s="286"/>
      <c r="AC596" s="66"/>
      <c r="AD596" s="66"/>
      <c r="AE596" s="66"/>
      <c r="AF596" s="66"/>
      <c r="AG596" s="66"/>
    </row>
    <row r="597" spans="28:33" ht="21.75" customHeight="1">
      <c r="AB597" s="286"/>
      <c r="AC597" s="66"/>
      <c r="AD597" s="66"/>
      <c r="AE597" s="66"/>
      <c r="AF597" s="66"/>
      <c r="AG597" s="66"/>
    </row>
    <row r="598" spans="28:33" ht="21.75" customHeight="1">
      <c r="AB598" s="286"/>
      <c r="AC598" s="66"/>
      <c r="AD598" s="66"/>
      <c r="AE598" s="66"/>
      <c r="AF598" s="66"/>
      <c r="AG598" s="66"/>
    </row>
    <row r="599" spans="28:33" ht="21.75" customHeight="1">
      <c r="AB599" s="286"/>
      <c r="AC599" s="66"/>
      <c r="AD599" s="66"/>
      <c r="AE599" s="66"/>
      <c r="AF599" s="66"/>
      <c r="AG599" s="66"/>
    </row>
    <row r="600" spans="28:33" ht="21.75" customHeight="1">
      <c r="AB600" s="286"/>
      <c r="AC600" s="66"/>
      <c r="AD600" s="66"/>
      <c r="AE600" s="66"/>
      <c r="AF600" s="66"/>
      <c r="AG600" s="66"/>
    </row>
    <row r="601" spans="28:33" ht="21.75" customHeight="1">
      <c r="AB601" s="286"/>
      <c r="AC601" s="66"/>
      <c r="AD601" s="66"/>
      <c r="AE601" s="66"/>
      <c r="AF601" s="66"/>
      <c r="AG601" s="66"/>
    </row>
    <row r="602" spans="28:33" ht="21.75" customHeight="1">
      <c r="AB602" s="286"/>
      <c r="AC602" s="66"/>
      <c r="AD602" s="66"/>
      <c r="AE602" s="66"/>
      <c r="AF602" s="66"/>
      <c r="AG602" s="66"/>
    </row>
    <row r="603" spans="28:33" ht="21.75" customHeight="1">
      <c r="AB603" s="286"/>
      <c r="AC603" s="66"/>
      <c r="AD603" s="66"/>
      <c r="AE603" s="66"/>
      <c r="AF603" s="66"/>
      <c r="AG603" s="66"/>
    </row>
    <row r="604" spans="28:33" ht="21.75" customHeight="1">
      <c r="AB604" s="286"/>
      <c r="AC604" s="66"/>
      <c r="AD604" s="66"/>
      <c r="AE604" s="66"/>
      <c r="AF604" s="66"/>
      <c r="AG604" s="66"/>
    </row>
    <row r="605" spans="28:33" ht="21.75" customHeight="1">
      <c r="AB605" s="286"/>
      <c r="AC605" s="66"/>
      <c r="AD605" s="66"/>
      <c r="AE605" s="66"/>
      <c r="AF605" s="66"/>
      <c r="AG605" s="66"/>
    </row>
    <row r="606" spans="28:33" ht="21.75" customHeight="1">
      <c r="AB606" s="286"/>
      <c r="AC606" s="66"/>
      <c r="AD606" s="66"/>
      <c r="AE606" s="66"/>
      <c r="AF606" s="66"/>
      <c r="AG606" s="66"/>
    </row>
    <row r="607" spans="28:33" ht="21.75" customHeight="1">
      <c r="AB607" s="286"/>
      <c r="AC607" s="66"/>
      <c r="AD607" s="66"/>
      <c r="AE607" s="66"/>
      <c r="AF607" s="66"/>
      <c r="AG607" s="66"/>
    </row>
    <row r="608" spans="28:33" ht="21.75" customHeight="1">
      <c r="AB608" s="286"/>
      <c r="AC608" s="66"/>
      <c r="AD608" s="66"/>
      <c r="AE608" s="66"/>
      <c r="AF608" s="66"/>
      <c r="AG608" s="66"/>
    </row>
    <row r="609" spans="28:33" ht="21.75" customHeight="1">
      <c r="AB609" s="286"/>
      <c r="AC609" s="66"/>
      <c r="AD609" s="66"/>
      <c r="AE609" s="66"/>
      <c r="AF609" s="66"/>
      <c r="AG609" s="66"/>
    </row>
    <row r="610" spans="28:33" ht="21.75" customHeight="1">
      <c r="AB610" s="286"/>
      <c r="AC610" s="66"/>
      <c r="AD610" s="66"/>
      <c r="AE610" s="66"/>
      <c r="AF610" s="66"/>
      <c r="AG610" s="66"/>
    </row>
    <row r="611" spans="28:33" ht="21.75" customHeight="1">
      <c r="AB611" s="286"/>
      <c r="AC611" s="66"/>
      <c r="AD611" s="66"/>
      <c r="AE611" s="66"/>
      <c r="AF611" s="66"/>
      <c r="AG611" s="66"/>
    </row>
    <row r="612" spans="28:33" ht="21.75" customHeight="1">
      <c r="AB612" s="286"/>
      <c r="AC612" s="66"/>
      <c r="AD612" s="66"/>
      <c r="AE612" s="66"/>
      <c r="AF612" s="66"/>
      <c r="AG612" s="66"/>
    </row>
    <row r="613" spans="28:33" ht="21.75" customHeight="1">
      <c r="AB613" s="286"/>
      <c r="AC613" s="66"/>
      <c r="AD613" s="66"/>
      <c r="AE613" s="66"/>
      <c r="AF613" s="66"/>
      <c r="AG613" s="66"/>
    </row>
    <row r="614" spans="28:33" ht="21.75" customHeight="1">
      <c r="AB614" s="286"/>
      <c r="AC614" s="66"/>
      <c r="AD614" s="66"/>
      <c r="AE614" s="66"/>
      <c r="AF614" s="66"/>
      <c r="AG614" s="66"/>
    </row>
    <row r="615" spans="28:33" ht="21.75" customHeight="1">
      <c r="AB615" s="286"/>
      <c r="AC615" s="66"/>
      <c r="AD615" s="66"/>
      <c r="AE615" s="66"/>
      <c r="AF615" s="66"/>
      <c r="AG615" s="66"/>
    </row>
    <row r="616" spans="28:33" ht="21.75" customHeight="1">
      <c r="AB616" s="286"/>
      <c r="AC616" s="66"/>
      <c r="AD616" s="66"/>
      <c r="AE616" s="66"/>
      <c r="AF616" s="66"/>
      <c r="AG616" s="66"/>
    </row>
    <row r="617" spans="28:33" ht="21.75" customHeight="1">
      <c r="AB617" s="286"/>
      <c r="AC617" s="66"/>
      <c r="AD617" s="66"/>
      <c r="AE617" s="66"/>
      <c r="AF617" s="66"/>
      <c r="AG617" s="66"/>
    </row>
    <row r="618" spans="28:33" ht="21.75" customHeight="1">
      <c r="AB618" s="286"/>
      <c r="AC618" s="66"/>
      <c r="AD618" s="66"/>
      <c r="AE618" s="66"/>
      <c r="AF618" s="66"/>
      <c r="AG618" s="66"/>
    </row>
    <row r="619" spans="28:33" ht="21.75" customHeight="1">
      <c r="AB619" s="286"/>
      <c r="AC619" s="66"/>
      <c r="AD619" s="66"/>
      <c r="AE619" s="66"/>
      <c r="AF619" s="66"/>
      <c r="AG619" s="66"/>
    </row>
    <row r="620" spans="28:33" ht="21.75" customHeight="1">
      <c r="AB620" s="286"/>
      <c r="AC620" s="66"/>
      <c r="AD620" s="66"/>
      <c r="AE620" s="66"/>
      <c r="AF620" s="66"/>
      <c r="AG620" s="66"/>
    </row>
    <row r="621" spans="28:33" ht="21.75" customHeight="1">
      <c r="AB621" s="286"/>
      <c r="AC621" s="66"/>
      <c r="AD621" s="66"/>
      <c r="AE621" s="66"/>
      <c r="AF621" s="66"/>
      <c r="AG621" s="66"/>
    </row>
    <row r="622" spans="28:33" ht="21.75" customHeight="1">
      <c r="AB622" s="286"/>
      <c r="AC622" s="66"/>
      <c r="AD622" s="66"/>
      <c r="AE622" s="66"/>
      <c r="AF622" s="66"/>
      <c r="AG622" s="66"/>
    </row>
    <row r="623" spans="28:33" ht="21.75" customHeight="1">
      <c r="AB623" s="286"/>
      <c r="AC623" s="66"/>
      <c r="AD623" s="66"/>
      <c r="AE623" s="66"/>
      <c r="AF623" s="66"/>
      <c r="AG623" s="66"/>
    </row>
    <row r="624" spans="28:33" ht="21.75" customHeight="1">
      <c r="AB624" s="286"/>
      <c r="AC624" s="66"/>
      <c r="AD624" s="66"/>
      <c r="AE624" s="66"/>
      <c r="AF624" s="66"/>
      <c r="AG624" s="66"/>
    </row>
    <row r="625" spans="28:33" ht="21.75" customHeight="1">
      <c r="AB625" s="286"/>
      <c r="AC625" s="66"/>
      <c r="AD625" s="66"/>
      <c r="AE625" s="66"/>
      <c r="AF625" s="66"/>
      <c r="AG625" s="66"/>
    </row>
    <row r="626" spans="28:33" ht="21.75" customHeight="1">
      <c r="AB626" s="286"/>
      <c r="AC626" s="66"/>
      <c r="AD626" s="66"/>
      <c r="AE626" s="66"/>
      <c r="AF626" s="66"/>
      <c r="AG626" s="66"/>
    </row>
    <row r="627" spans="28:33" ht="21.75" customHeight="1">
      <c r="AB627" s="286"/>
      <c r="AC627" s="66"/>
      <c r="AD627" s="66"/>
      <c r="AE627" s="66"/>
      <c r="AF627" s="66"/>
      <c r="AG627" s="66"/>
    </row>
    <row r="628" spans="28:33" ht="21.75" customHeight="1">
      <c r="AB628" s="286"/>
      <c r="AC628" s="66"/>
      <c r="AD628" s="66"/>
      <c r="AE628" s="66"/>
      <c r="AF628" s="66"/>
      <c r="AG628" s="66"/>
    </row>
    <row r="629" spans="28:33" ht="21.75" customHeight="1">
      <c r="AB629" s="286"/>
      <c r="AC629" s="66"/>
      <c r="AD629" s="66"/>
      <c r="AE629" s="66"/>
      <c r="AF629" s="66"/>
      <c r="AG629" s="66"/>
    </row>
    <row r="630" spans="28:33" ht="21.75" customHeight="1">
      <c r="AB630" s="286"/>
      <c r="AC630" s="66"/>
      <c r="AD630" s="66"/>
      <c r="AE630" s="66"/>
      <c r="AF630" s="66"/>
      <c r="AG630" s="66"/>
    </row>
    <row r="631" spans="28:33" ht="21.75" customHeight="1">
      <c r="AB631" s="286"/>
      <c r="AC631" s="66"/>
      <c r="AD631" s="66"/>
      <c r="AE631" s="66"/>
      <c r="AF631" s="66"/>
      <c r="AG631" s="66"/>
    </row>
    <row r="632" spans="28:33" ht="21.75" customHeight="1">
      <c r="AB632" s="286"/>
      <c r="AC632" s="66"/>
      <c r="AD632" s="66"/>
      <c r="AE632" s="66"/>
      <c r="AF632" s="66"/>
      <c r="AG632" s="66"/>
    </row>
    <row r="633" spans="28:33" ht="21.75" customHeight="1">
      <c r="AB633" s="286"/>
      <c r="AC633" s="66"/>
      <c r="AD633" s="66"/>
      <c r="AE633" s="66"/>
      <c r="AF633" s="66"/>
      <c r="AG633" s="66"/>
    </row>
    <row r="634" spans="28:33" ht="21.75" customHeight="1">
      <c r="AB634" s="286"/>
      <c r="AC634" s="66"/>
      <c r="AD634" s="66"/>
      <c r="AE634" s="66"/>
      <c r="AF634" s="66"/>
      <c r="AG634" s="66"/>
    </row>
    <row r="635" spans="28:33" ht="21.75" customHeight="1">
      <c r="AB635" s="286"/>
      <c r="AC635" s="66"/>
      <c r="AD635" s="66"/>
      <c r="AE635" s="66"/>
      <c r="AF635" s="66"/>
      <c r="AG635" s="66"/>
    </row>
    <row r="636" spans="28:33" ht="21.75" customHeight="1">
      <c r="AB636" s="286"/>
      <c r="AC636" s="66"/>
      <c r="AD636" s="66"/>
      <c r="AE636" s="66"/>
      <c r="AF636" s="66"/>
      <c r="AG636" s="66"/>
    </row>
    <row r="637" spans="28:33" ht="21.75" customHeight="1">
      <c r="AB637" s="286"/>
      <c r="AC637" s="66"/>
      <c r="AD637" s="66"/>
      <c r="AE637" s="66"/>
      <c r="AF637" s="66"/>
      <c r="AG637" s="66"/>
    </row>
    <row r="638" spans="28:33" ht="21.75" customHeight="1">
      <c r="AB638" s="286"/>
      <c r="AC638" s="66"/>
      <c r="AD638" s="66"/>
      <c r="AE638" s="66"/>
      <c r="AF638" s="66"/>
      <c r="AG638" s="66"/>
    </row>
    <row r="639" spans="28:33" ht="21.75" customHeight="1">
      <c r="AB639" s="286"/>
      <c r="AC639" s="66"/>
      <c r="AD639" s="66"/>
      <c r="AE639" s="66"/>
      <c r="AF639" s="66"/>
      <c r="AG639" s="66"/>
    </row>
    <row r="640" spans="28:33" ht="21.75" customHeight="1">
      <c r="AB640" s="286"/>
      <c r="AC640" s="66"/>
      <c r="AD640" s="66"/>
      <c r="AE640" s="66"/>
      <c r="AF640" s="66"/>
      <c r="AG640" s="66"/>
    </row>
    <row r="641" spans="28:33" ht="21.75" customHeight="1">
      <c r="AB641" s="286"/>
      <c r="AC641" s="66"/>
      <c r="AD641" s="66"/>
      <c r="AE641" s="66"/>
      <c r="AF641" s="66"/>
      <c r="AG641" s="66"/>
    </row>
    <row r="642" spans="28:33" ht="21.75" customHeight="1">
      <c r="AB642" s="286"/>
      <c r="AC642" s="66"/>
      <c r="AD642" s="66"/>
      <c r="AE642" s="66"/>
      <c r="AF642" s="66"/>
      <c r="AG642" s="66"/>
    </row>
    <row r="643" spans="28:33" ht="21.75" customHeight="1">
      <c r="AB643" s="286"/>
      <c r="AC643" s="66"/>
      <c r="AD643" s="66"/>
      <c r="AE643" s="66"/>
      <c r="AF643" s="66"/>
      <c r="AG643" s="66"/>
    </row>
    <row r="644" spans="28:33" ht="21.75" customHeight="1">
      <c r="AB644" s="286"/>
      <c r="AC644" s="66"/>
      <c r="AD644" s="66"/>
      <c r="AE644" s="66"/>
      <c r="AF644" s="66"/>
      <c r="AG644" s="66"/>
    </row>
    <row r="645" spans="28:33" ht="21.75" customHeight="1">
      <c r="AB645" s="286"/>
      <c r="AC645" s="66"/>
      <c r="AD645" s="66"/>
      <c r="AE645" s="66"/>
      <c r="AF645" s="66"/>
      <c r="AG645" s="66"/>
    </row>
    <row r="646" spans="28:33" ht="21.75" customHeight="1">
      <c r="AB646" s="286"/>
      <c r="AC646" s="66"/>
      <c r="AD646" s="66"/>
      <c r="AE646" s="66"/>
      <c r="AF646" s="66"/>
      <c r="AG646" s="66"/>
    </row>
    <row r="647" spans="28:33" ht="21.75" customHeight="1">
      <c r="AB647" s="286"/>
      <c r="AC647" s="66"/>
      <c r="AD647" s="66"/>
      <c r="AE647" s="66"/>
      <c r="AF647" s="66"/>
      <c r="AG647" s="66"/>
    </row>
    <row r="648" spans="28:33" ht="21.75" customHeight="1">
      <c r="AB648" s="286"/>
      <c r="AC648" s="66"/>
      <c r="AD648" s="66"/>
      <c r="AE648" s="66"/>
      <c r="AF648" s="66"/>
      <c r="AG648" s="66"/>
    </row>
    <row r="649" spans="28:33" ht="21.75" customHeight="1">
      <c r="AB649" s="286"/>
      <c r="AC649" s="66"/>
      <c r="AD649" s="66"/>
      <c r="AE649" s="66"/>
      <c r="AF649" s="66"/>
      <c r="AG649" s="66"/>
    </row>
    <row r="650" spans="28:33" ht="21.75" customHeight="1">
      <c r="AB650" s="286"/>
      <c r="AC650" s="66"/>
      <c r="AD650" s="66"/>
      <c r="AE650" s="66"/>
      <c r="AF650" s="66"/>
      <c r="AG650" s="66"/>
    </row>
    <row r="651" spans="28:33" ht="21.75" customHeight="1">
      <c r="AB651" s="286"/>
      <c r="AC651" s="66"/>
      <c r="AD651" s="66"/>
      <c r="AE651" s="66"/>
      <c r="AF651" s="66"/>
      <c r="AG651" s="66"/>
    </row>
    <row r="652" spans="28:33" ht="21.75" customHeight="1">
      <c r="AB652" s="286"/>
      <c r="AC652" s="66"/>
      <c r="AD652" s="66"/>
      <c r="AE652" s="66"/>
      <c r="AF652" s="66"/>
      <c r="AG652" s="66"/>
    </row>
    <row r="653" spans="28:33" ht="21.75" customHeight="1">
      <c r="AB653" s="286"/>
      <c r="AC653" s="66"/>
      <c r="AD653" s="66"/>
      <c r="AE653" s="66"/>
      <c r="AF653" s="66"/>
      <c r="AG653" s="66"/>
    </row>
    <row r="654" spans="28:33" ht="21.75" customHeight="1">
      <c r="AB654" s="286"/>
      <c r="AC654" s="66"/>
      <c r="AD654" s="66"/>
      <c r="AE654" s="66"/>
      <c r="AF654" s="66"/>
      <c r="AG654" s="66"/>
    </row>
    <row r="655" spans="28:33" ht="21.75" customHeight="1">
      <c r="AB655" s="286"/>
      <c r="AC655" s="66"/>
      <c r="AD655" s="66"/>
      <c r="AE655" s="66"/>
      <c r="AF655" s="66"/>
      <c r="AG655" s="66"/>
    </row>
    <row r="656" spans="28:33" ht="21.75" customHeight="1">
      <c r="AB656" s="286"/>
      <c r="AC656" s="66"/>
      <c r="AD656" s="66"/>
      <c r="AE656" s="66"/>
      <c r="AF656" s="66"/>
      <c r="AG656" s="66"/>
    </row>
    <row r="657" spans="28:33" ht="21.75" customHeight="1">
      <c r="AB657" s="286"/>
      <c r="AC657" s="66"/>
      <c r="AD657" s="66"/>
      <c r="AE657" s="66"/>
      <c r="AF657" s="66"/>
      <c r="AG657" s="66"/>
    </row>
    <row r="658" spans="28:33" ht="21.75" customHeight="1">
      <c r="AB658" s="286"/>
      <c r="AC658" s="66"/>
      <c r="AD658" s="66"/>
      <c r="AE658" s="66"/>
      <c r="AF658" s="66"/>
      <c r="AG658" s="66"/>
    </row>
    <row r="659" spans="28:33" ht="21.75" customHeight="1">
      <c r="AB659" s="286"/>
      <c r="AC659" s="66"/>
      <c r="AD659" s="66"/>
      <c r="AE659" s="66"/>
      <c r="AF659" s="66"/>
      <c r="AG659" s="66"/>
    </row>
    <row r="660" spans="28:33" ht="21.75" customHeight="1">
      <c r="AB660" s="286"/>
      <c r="AC660" s="66"/>
      <c r="AD660" s="66"/>
      <c r="AE660" s="66"/>
      <c r="AF660" s="66"/>
      <c r="AG660" s="66"/>
    </row>
    <row r="661" spans="28:33" ht="21.75" customHeight="1">
      <c r="AB661" s="286"/>
      <c r="AC661" s="66"/>
      <c r="AD661" s="66"/>
      <c r="AE661" s="66"/>
      <c r="AF661" s="66"/>
      <c r="AG661" s="66"/>
    </row>
    <row r="662" spans="28:33" ht="21.75" customHeight="1">
      <c r="AB662" s="286"/>
      <c r="AC662" s="66"/>
      <c r="AD662" s="66"/>
      <c r="AE662" s="66"/>
      <c r="AF662" s="66"/>
      <c r="AG662" s="66"/>
    </row>
    <row r="663" spans="28:33" ht="21.75" customHeight="1">
      <c r="AB663" s="286"/>
      <c r="AC663" s="66"/>
      <c r="AD663" s="66"/>
      <c r="AE663" s="66"/>
      <c r="AF663" s="66"/>
      <c r="AG663" s="66"/>
    </row>
    <row r="664" spans="28:33" ht="21.75" customHeight="1">
      <c r="AB664" s="286"/>
      <c r="AC664" s="66"/>
      <c r="AD664" s="66"/>
      <c r="AE664" s="66"/>
      <c r="AF664" s="66"/>
      <c r="AG664" s="66"/>
    </row>
    <row r="665" spans="28:33" ht="21.75" customHeight="1">
      <c r="AB665" s="286"/>
      <c r="AC665" s="66"/>
      <c r="AD665" s="66"/>
      <c r="AE665" s="66"/>
      <c r="AF665" s="66"/>
      <c r="AG665" s="66"/>
    </row>
    <row r="666" spans="28:33" ht="21.75" customHeight="1">
      <c r="AB666" s="286"/>
      <c r="AC666" s="66"/>
      <c r="AD666" s="66"/>
      <c r="AE666" s="66"/>
      <c r="AF666" s="66"/>
      <c r="AG666" s="66"/>
    </row>
    <row r="667" spans="28:33" ht="21.75" customHeight="1">
      <c r="AB667" s="286"/>
      <c r="AC667" s="66"/>
      <c r="AD667" s="66"/>
      <c r="AE667" s="66"/>
      <c r="AF667" s="66"/>
      <c r="AG667" s="66"/>
    </row>
    <row r="668" spans="28:33" ht="21.75" customHeight="1">
      <c r="AB668" s="286"/>
      <c r="AC668" s="66"/>
      <c r="AD668" s="66"/>
      <c r="AE668" s="66"/>
      <c r="AF668" s="66"/>
      <c r="AG668" s="66"/>
    </row>
    <row r="669" spans="28:33" ht="21.75" customHeight="1">
      <c r="AB669" s="286"/>
      <c r="AC669" s="66"/>
      <c r="AD669" s="66"/>
      <c r="AE669" s="66"/>
      <c r="AF669" s="66"/>
      <c r="AG669" s="66"/>
    </row>
    <row r="670" spans="28:33" ht="21.75" customHeight="1">
      <c r="AB670" s="286"/>
      <c r="AC670" s="66"/>
      <c r="AD670" s="66"/>
      <c r="AE670" s="66"/>
      <c r="AF670" s="66"/>
      <c r="AG670" s="66"/>
    </row>
    <row r="671" spans="28:33" ht="21.75" customHeight="1">
      <c r="AB671" s="286"/>
      <c r="AC671" s="66"/>
      <c r="AD671" s="66"/>
      <c r="AE671" s="66"/>
      <c r="AF671" s="66"/>
      <c r="AG671" s="66"/>
    </row>
    <row r="672" spans="28:33" ht="21.75" customHeight="1">
      <c r="AB672" s="286"/>
      <c r="AC672" s="66"/>
      <c r="AD672" s="66"/>
      <c r="AE672" s="66"/>
      <c r="AF672" s="66"/>
      <c r="AG672" s="66"/>
    </row>
    <row r="673" spans="28:33" ht="21.75" customHeight="1">
      <c r="AB673" s="286"/>
      <c r="AC673" s="66"/>
      <c r="AD673" s="66"/>
      <c r="AE673" s="66"/>
      <c r="AF673" s="66"/>
      <c r="AG673" s="66"/>
    </row>
    <row r="674" spans="28:33" ht="21.75" customHeight="1">
      <c r="AB674" s="286"/>
      <c r="AC674" s="66"/>
      <c r="AD674" s="66"/>
      <c r="AE674" s="66"/>
      <c r="AF674" s="66"/>
      <c r="AG674" s="66"/>
    </row>
    <row r="675" spans="28:33" ht="21.75" customHeight="1">
      <c r="AB675" s="286"/>
      <c r="AC675" s="66"/>
      <c r="AD675" s="66"/>
      <c r="AE675" s="66"/>
      <c r="AF675" s="66"/>
      <c r="AG675" s="66"/>
    </row>
    <row r="676" spans="28:33" ht="21.75" customHeight="1">
      <c r="AB676" s="286"/>
      <c r="AC676" s="66"/>
      <c r="AD676" s="66"/>
      <c r="AE676" s="66"/>
      <c r="AF676" s="66"/>
      <c r="AG676" s="66"/>
    </row>
    <row r="677" spans="28:33" ht="21.75" customHeight="1">
      <c r="AB677" s="286"/>
      <c r="AC677" s="66"/>
      <c r="AD677" s="66"/>
      <c r="AE677" s="66"/>
      <c r="AF677" s="66"/>
      <c r="AG677" s="66"/>
    </row>
    <row r="678" spans="28:33" ht="21.75" customHeight="1">
      <c r="AB678" s="286"/>
      <c r="AC678" s="66"/>
      <c r="AD678" s="66"/>
      <c r="AE678" s="66"/>
      <c r="AF678" s="66"/>
      <c r="AG678" s="66"/>
    </row>
    <row r="679" spans="28:33" ht="21.75" customHeight="1">
      <c r="AB679" s="286"/>
      <c r="AC679" s="66"/>
      <c r="AD679" s="66"/>
      <c r="AE679" s="66"/>
      <c r="AF679" s="66"/>
      <c r="AG679" s="66"/>
    </row>
    <row r="680" spans="28:33" ht="21.75" customHeight="1">
      <c r="AB680" s="286"/>
      <c r="AC680" s="66"/>
      <c r="AD680" s="66"/>
      <c r="AE680" s="66"/>
      <c r="AF680" s="66"/>
      <c r="AG680" s="66"/>
    </row>
    <row r="681" spans="28:33" ht="21.75" customHeight="1">
      <c r="AB681" s="286"/>
      <c r="AC681" s="66"/>
      <c r="AD681" s="66"/>
      <c r="AE681" s="66"/>
      <c r="AF681" s="66"/>
      <c r="AG681" s="66"/>
    </row>
    <row r="682" spans="28:33" ht="21.75" customHeight="1">
      <c r="AB682" s="286"/>
      <c r="AC682" s="66"/>
      <c r="AD682" s="66"/>
      <c r="AE682" s="66"/>
      <c r="AF682" s="66"/>
      <c r="AG682" s="66"/>
    </row>
    <row r="683" spans="28:33" ht="21.75" customHeight="1">
      <c r="AB683" s="286"/>
      <c r="AC683" s="66"/>
      <c r="AD683" s="66"/>
      <c r="AE683" s="66"/>
      <c r="AF683" s="66"/>
      <c r="AG683" s="66"/>
    </row>
    <row r="684" spans="28:33" ht="21.75" customHeight="1">
      <c r="AB684" s="286"/>
      <c r="AC684" s="66"/>
      <c r="AD684" s="66"/>
      <c r="AE684" s="66"/>
      <c r="AF684" s="66"/>
      <c r="AG684" s="66"/>
    </row>
    <row r="685" spans="28:33" ht="21.75" customHeight="1">
      <c r="AB685" s="286"/>
      <c r="AC685" s="66"/>
      <c r="AD685" s="66"/>
      <c r="AE685" s="66"/>
      <c r="AF685" s="66"/>
      <c r="AG685" s="66"/>
    </row>
    <row r="686" spans="28:33" ht="21.75" customHeight="1">
      <c r="AB686" s="286"/>
      <c r="AC686" s="66"/>
      <c r="AD686" s="66"/>
      <c r="AE686" s="66"/>
      <c r="AF686" s="66"/>
      <c r="AG686" s="66"/>
    </row>
    <row r="687" spans="28:33" ht="21.75" customHeight="1">
      <c r="AB687" s="286"/>
      <c r="AC687" s="66"/>
      <c r="AD687" s="66"/>
      <c r="AE687" s="66"/>
      <c r="AF687" s="66"/>
      <c r="AG687" s="66"/>
    </row>
    <row r="688" spans="28:33" ht="21.75" customHeight="1">
      <c r="AB688" s="286"/>
      <c r="AC688" s="66"/>
      <c r="AD688" s="66"/>
      <c r="AE688" s="66"/>
      <c r="AF688" s="66"/>
      <c r="AG688" s="66"/>
    </row>
    <row r="689" spans="28:33" ht="21.75" customHeight="1">
      <c r="AB689" s="286"/>
      <c r="AC689" s="66"/>
      <c r="AD689" s="66"/>
      <c r="AE689" s="66"/>
      <c r="AF689" s="66"/>
      <c r="AG689" s="66"/>
    </row>
    <row r="690" spans="28:33" ht="21.75" customHeight="1">
      <c r="AB690" s="286"/>
      <c r="AC690" s="66"/>
      <c r="AD690" s="66"/>
      <c r="AE690" s="66"/>
      <c r="AF690" s="66"/>
      <c r="AG690" s="66"/>
    </row>
    <row r="691" spans="28:33" ht="21.75" customHeight="1">
      <c r="AB691" s="286"/>
      <c r="AC691" s="66"/>
      <c r="AD691" s="66"/>
      <c r="AE691" s="66"/>
      <c r="AF691" s="66"/>
      <c r="AG691" s="66"/>
    </row>
    <row r="692" spans="28:33" ht="21.75" customHeight="1">
      <c r="AB692" s="286"/>
      <c r="AC692" s="66"/>
      <c r="AD692" s="66"/>
      <c r="AE692" s="66"/>
      <c r="AF692" s="66"/>
      <c r="AG692" s="66"/>
    </row>
    <row r="693" spans="28:33" ht="21.75" customHeight="1">
      <c r="AB693" s="286"/>
      <c r="AC693" s="66"/>
      <c r="AD693" s="66"/>
      <c r="AE693" s="66"/>
      <c r="AF693" s="66"/>
      <c r="AG693" s="66"/>
    </row>
    <row r="694" spans="28:33" ht="21.75" customHeight="1">
      <c r="AB694" s="286"/>
      <c r="AC694" s="66"/>
      <c r="AD694" s="66"/>
      <c r="AE694" s="66"/>
      <c r="AF694" s="66"/>
      <c r="AG694" s="66"/>
    </row>
    <row r="695" spans="28:33" ht="21.75" customHeight="1">
      <c r="AB695" s="286"/>
      <c r="AC695" s="66"/>
      <c r="AD695" s="66"/>
      <c r="AE695" s="66"/>
      <c r="AF695" s="66"/>
      <c r="AG695" s="66"/>
    </row>
    <row r="696" spans="28:33" ht="21.75" customHeight="1">
      <c r="AB696" s="286"/>
      <c r="AC696" s="66"/>
      <c r="AD696" s="66"/>
      <c r="AE696" s="66"/>
      <c r="AF696" s="66"/>
      <c r="AG696" s="66"/>
    </row>
    <row r="697" spans="28:33" ht="21.75" customHeight="1">
      <c r="AB697" s="286"/>
      <c r="AC697" s="66"/>
      <c r="AD697" s="66"/>
      <c r="AE697" s="66"/>
      <c r="AF697" s="66"/>
      <c r="AG697" s="66"/>
    </row>
    <row r="698" spans="28:33" ht="21.75" customHeight="1">
      <c r="AB698" s="286"/>
      <c r="AC698" s="66"/>
      <c r="AD698" s="66"/>
      <c r="AE698" s="66"/>
      <c r="AF698" s="66"/>
      <c r="AG698" s="66"/>
    </row>
    <row r="699" spans="28:33" ht="21.75" customHeight="1">
      <c r="AB699" s="286"/>
      <c r="AC699" s="66"/>
      <c r="AD699" s="66"/>
      <c r="AE699" s="66"/>
      <c r="AF699" s="66"/>
      <c r="AG699" s="66"/>
    </row>
    <row r="700" spans="28:33" ht="21.75" customHeight="1">
      <c r="AB700" s="286"/>
      <c r="AC700" s="66"/>
      <c r="AD700" s="66"/>
      <c r="AE700" s="66"/>
      <c r="AF700" s="66"/>
      <c r="AG700" s="66"/>
    </row>
    <row r="701" spans="28:33" ht="21.75" customHeight="1">
      <c r="AB701" s="286"/>
      <c r="AC701" s="66"/>
      <c r="AD701" s="66"/>
      <c r="AE701" s="66"/>
      <c r="AF701" s="66"/>
      <c r="AG701" s="66"/>
    </row>
    <row r="702" spans="28:33" ht="21.75" customHeight="1">
      <c r="AB702" s="286"/>
      <c r="AC702" s="66"/>
      <c r="AD702" s="66"/>
      <c r="AE702" s="66"/>
      <c r="AF702" s="66"/>
      <c r="AG702" s="66"/>
    </row>
    <row r="703" spans="28:33" ht="21.75" customHeight="1">
      <c r="AB703" s="286"/>
      <c r="AC703" s="66"/>
      <c r="AD703" s="66"/>
      <c r="AE703" s="66"/>
      <c r="AF703" s="66"/>
      <c r="AG703" s="66"/>
    </row>
    <row r="704" spans="28:33" ht="21.75" customHeight="1">
      <c r="AB704" s="286"/>
      <c r="AC704" s="66"/>
      <c r="AD704" s="66"/>
      <c r="AE704" s="66"/>
      <c r="AF704" s="66"/>
      <c r="AG704" s="66"/>
    </row>
    <row r="705" spans="28:33" ht="21.75" customHeight="1">
      <c r="AB705" s="286"/>
      <c r="AC705" s="66"/>
      <c r="AD705" s="66"/>
      <c r="AE705" s="66"/>
      <c r="AF705" s="66"/>
      <c r="AG705" s="66"/>
    </row>
    <row r="706" spans="28:33" ht="21.75" customHeight="1">
      <c r="AB706" s="286"/>
      <c r="AC706" s="66"/>
      <c r="AD706" s="66"/>
      <c r="AE706" s="66"/>
      <c r="AF706" s="66"/>
      <c r="AG706" s="66"/>
    </row>
    <row r="707" spans="28:33" ht="21.75" customHeight="1">
      <c r="AB707" s="286"/>
      <c r="AC707" s="66"/>
      <c r="AD707" s="66"/>
      <c r="AE707" s="66"/>
      <c r="AF707" s="66"/>
      <c r="AG707" s="66"/>
    </row>
    <row r="708" spans="28:33" ht="21.75" customHeight="1">
      <c r="AB708" s="286"/>
      <c r="AC708" s="66"/>
      <c r="AD708" s="66"/>
      <c r="AE708" s="66"/>
      <c r="AF708" s="66"/>
      <c r="AG708" s="66"/>
    </row>
    <row r="709" spans="28:33" ht="21.75" customHeight="1">
      <c r="AB709" s="286"/>
      <c r="AC709" s="66"/>
      <c r="AD709" s="66"/>
      <c r="AE709" s="66"/>
      <c r="AF709" s="66"/>
      <c r="AG709" s="66"/>
    </row>
    <row r="710" spans="28:33" ht="21.75" customHeight="1">
      <c r="AB710" s="286"/>
      <c r="AC710" s="66"/>
      <c r="AD710" s="66"/>
      <c r="AE710" s="66"/>
      <c r="AF710" s="66"/>
      <c r="AG710" s="66"/>
    </row>
    <row r="711" spans="28:33" ht="21.75" customHeight="1">
      <c r="AB711" s="286"/>
      <c r="AC711" s="66"/>
      <c r="AD711" s="66"/>
      <c r="AE711" s="66"/>
      <c r="AF711" s="66"/>
      <c r="AG711" s="66"/>
    </row>
    <row r="712" spans="28:33" ht="21.75" customHeight="1">
      <c r="AB712" s="286"/>
      <c r="AC712" s="66"/>
      <c r="AD712" s="66"/>
      <c r="AE712" s="66"/>
      <c r="AF712" s="66"/>
      <c r="AG712" s="66"/>
    </row>
    <row r="713" spans="28:33" ht="21.75" customHeight="1">
      <c r="AB713" s="286"/>
      <c r="AC713" s="66"/>
      <c r="AD713" s="66"/>
      <c r="AE713" s="66"/>
      <c r="AF713" s="66"/>
      <c r="AG713" s="66"/>
    </row>
    <row r="714" spans="28:33" ht="21.75" customHeight="1">
      <c r="AB714" s="286"/>
      <c r="AC714" s="66"/>
      <c r="AD714" s="66"/>
      <c r="AE714" s="66"/>
      <c r="AF714" s="66"/>
      <c r="AG714" s="66"/>
    </row>
    <row r="715" spans="28:33" ht="21.75" customHeight="1">
      <c r="AB715" s="286"/>
      <c r="AC715" s="66"/>
      <c r="AD715" s="66"/>
      <c r="AE715" s="66"/>
      <c r="AF715" s="66"/>
      <c r="AG715" s="66"/>
    </row>
    <row r="716" spans="28:33" ht="21.75" customHeight="1">
      <c r="AB716" s="286"/>
      <c r="AC716" s="66"/>
      <c r="AD716" s="66"/>
      <c r="AE716" s="66"/>
      <c r="AF716" s="66"/>
      <c r="AG716" s="66"/>
    </row>
    <row r="717" spans="28:33" ht="21.75" customHeight="1">
      <c r="AB717" s="286"/>
      <c r="AC717" s="66"/>
      <c r="AD717" s="66"/>
      <c r="AE717" s="66"/>
      <c r="AF717" s="66"/>
      <c r="AG717" s="66"/>
    </row>
    <row r="718" spans="28:33" ht="21.75" customHeight="1">
      <c r="AB718" s="286"/>
      <c r="AC718" s="66"/>
      <c r="AD718" s="66"/>
      <c r="AE718" s="66"/>
      <c r="AF718" s="66"/>
      <c r="AG718" s="66"/>
    </row>
    <row r="719" spans="28:33" ht="21.75" customHeight="1">
      <c r="AB719" s="286"/>
      <c r="AC719" s="66"/>
      <c r="AD719" s="66"/>
      <c r="AE719" s="66"/>
      <c r="AF719" s="66"/>
      <c r="AG719" s="66"/>
    </row>
    <row r="720" spans="28:33" ht="21.75" customHeight="1">
      <c r="AB720" s="286"/>
      <c r="AC720" s="66"/>
      <c r="AD720" s="66"/>
      <c r="AE720" s="66"/>
      <c r="AF720" s="66"/>
      <c r="AG720" s="66"/>
    </row>
    <row r="721" spans="28:33" ht="21.75" customHeight="1">
      <c r="AB721" s="286"/>
      <c r="AC721" s="66"/>
      <c r="AD721" s="66"/>
      <c r="AE721" s="66"/>
      <c r="AF721" s="66"/>
      <c r="AG721" s="66"/>
    </row>
    <row r="722" spans="28:33" ht="21.75" customHeight="1">
      <c r="AB722" s="286"/>
      <c r="AC722" s="66"/>
      <c r="AD722" s="66"/>
      <c r="AE722" s="66"/>
      <c r="AF722" s="66"/>
      <c r="AG722" s="66"/>
    </row>
    <row r="723" spans="28:33" ht="21.75" customHeight="1">
      <c r="AB723" s="286"/>
      <c r="AC723" s="66"/>
      <c r="AD723" s="66"/>
      <c r="AE723" s="66"/>
      <c r="AF723" s="66"/>
      <c r="AG723" s="66"/>
    </row>
    <row r="724" spans="28:33" ht="21.75" customHeight="1">
      <c r="AB724" s="286"/>
      <c r="AC724" s="66"/>
      <c r="AD724" s="66"/>
      <c r="AE724" s="66"/>
      <c r="AF724" s="66"/>
      <c r="AG724" s="66"/>
    </row>
    <row r="725" spans="28:33" ht="21.75" customHeight="1">
      <c r="AB725" s="286"/>
      <c r="AC725" s="66"/>
      <c r="AD725" s="66"/>
      <c r="AE725" s="66"/>
      <c r="AF725" s="66"/>
      <c r="AG725" s="66"/>
    </row>
    <row r="726" spans="28:33" ht="21.75" customHeight="1">
      <c r="AB726" s="286"/>
      <c r="AC726" s="66"/>
      <c r="AD726" s="66"/>
      <c r="AE726" s="66"/>
      <c r="AF726" s="66"/>
      <c r="AG726" s="66"/>
    </row>
    <row r="727" spans="28:33" ht="21.75" customHeight="1">
      <c r="AB727" s="286"/>
      <c r="AC727" s="66"/>
      <c r="AD727" s="66"/>
      <c r="AE727" s="66"/>
      <c r="AF727" s="66"/>
      <c r="AG727" s="66"/>
    </row>
    <row r="728" spans="28:33" ht="21.75" customHeight="1">
      <c r="AB728" s="286"/>
      <c r="AC728" s="66"/>
      <c r="AD728" s="66"/>
      <c r="AE728" s="66"/>
      <c r="AF728" s="66"/>
      <c r="AG728" s="66"/>
    </row>
    <row r="729" spans="28:33" ht="21.75" customHeight="1">
      <c r="AB729" s="286"/>
      <c r="AC729" s="66"/>
      <c r="AD729" s="66"/>
      <c r="AE729" s="66"/>
      <c r="AF729" s="66"/>
      <c r="AG729" s="66"/>
    </row>
    <row r="730" spans="28:33" ht="21.75" customHeight="1">
      <c r="AB730" s="286"/>
      <c r="AC730" s="66"/>
      <c r="AD730" s="66"/>
      <c r="AE730" s="66"/>
      <c r="AF730" s="66"/>
      <c r="AG730" s="66"/>
    </row>
    <row r="731" spans="28:33" ht="21.75" customHeight="1">
      <c r="AB731" s="286"/>
      <c r="AC731" s="66"/>
      <c r="AD731" s="66"/>
      <c r="AE731" s="66"/>
      <c r="AF731" s="66"/>
      <c r="AG731" s="66"/>
    </row>
    <row r="732" spans="28:33" ht="21.75" customHeight="1">
      <c r="AB732" s="286"/>
      <c r="AC732" s="66"/>
      <c r="AD732" s="66"/>
      <c r="AE732" s="66"/>
      <c r="AF732" s="66"/>
      <c r="AG732" s="66"/>
    </row>
    <row r="733" spans="28:33" ht="21.75" customHeight="1">
      <c r="AB733" s="286"/>
      <c r="AC733" s="66"/>
      <c r="AD733" s="66"/>
      <c r="AE733" s="66"/>
      <c r="AF733" s="66"/>
      <c r="AG733" s="66"/>
    </row>
    <row r="734" spans="28:33" ht="21.75" customHeight="1">
      <c r="AB734" s="286"/>
      <c r="AC734" s="66"/>
      <c r="AD734" s="66"/>
      <c r="AE734" s="66"/>
      <c r="AF734" s="66"/>
      <c r="AG734" s="66"/>
    </row>
    <row r="735" spans="28:33" ht="21.75" customHeight="1">
      <c r="AB735" s="286"/>
      <c r="AC735" s="66"/>
      <c r="AD735" s="66"/>
      <c r="AE735" s="66"/>
      <c r="AF735" s="66"/>
      <c r="AG735" s="66"/>
    </row>
    <row r="736" spans="28:33" ht="21.75" customHeight="1">
      <c r="AB736" s="286"/>
      <c r="AC736" s="66"/>
      <c r="AD736" s="66"/>
      <c r="AE736" s="66"/>
      <c r="AF736" s="66"/>
      <c r="AG736" s="66"/>
    </row>
    <row r="737" spans="28:33" ht="21.75" customHeight="1">
      <c r="AB737" s="286"/>
      <c r="AC737" s="66"/>
      <c r="AD737" s="66"/>
      <c r="AE737" s="66"/>
      <c r="AF737" s="66"/>
      <c r="AG737" s="66"/>
    </row>
    <row r="738" spans="28:33" ht="21.75" customHeight="1">
      <c r="AB738" s="286"/>
      <c r="AC738" s="66"/>
      <c r="AD738" s="66"/>
      <c r="AE738" s="66"/>
      <c r="AF738" s="66"/>
      <c r="AG738" s="66"/>
    </row>
    <row r="739" spans="28:33" ht="21.75" customHeight="1">
      <c r="AB739" s="286"/>
      <c r="AC739" s="66"/>
      <c r="AD739" s="66"/>
      <c r="AE739" s="66"/>
      <c r="AF739" s="66"/>
      <c r="AG739" s="66"/>
    </row>
    <row r="740" spans="28:33" ht="21.75" customHeight="1">
      <c r="AB740" s="286"/>
      <c r="AC740" s="66"/>
      <c r="AD740" s="66"/>
      <c r="AE740" s="66"/>
      <c r="AF740" s="66"/>
      <c r="AG740" s="66"/>
    </row>
    <row r="741" spans="28:33" ht="21.75" customHeight="1">
      <c r="AB741" s="286"/>
      <c r="AC741" s="66"/>
      <c r="AD741" s="66"/>
      <c r="AE741" s="66"/>
      <c r="AF741" s="66"/>
      <c r="AG741" s="66"/>
    </row>
    <row r="742" spans="28:33" ht="21.75" customHeight="1">
      <c r="AB742" s="286"/>
      <c r="AC742" s="66"/>
      <c r="AD742" s="66"/>
      <c r="AE742" s="66"/>
      <c r="AF742" s="66"/>
      <c r="AG742" s="66"/>
    </row>
    <row r="743" spans="28:33" ht="21.75" customHeight="1">
      <c r="AB743" s="286"/>
      <c r="AC743" s="66"/>
      <c r="AD743" s="66"/>
      <c r="AE743" s="66"/>
      <c r="AF743" s="66"/>
      <c r="AG743" s="66"/>
    </row>
    <row r="744" spans="28:33" ht="21.75" customHeight="1">
      <c r="AB744" s="286"/>
      <c r="AC744" s="66"/>
      <c r="AD744" s="66"/>
      <c r="AE744" s="66"/>
      <c r="AF744" s="66"/>
      <c r="AG744" s="66"/>
    </row>
    <row r="745" spans="28:33" ht="21.75" customHeight="1">
      <c r="AB745" s="286"/>
      <c r="AC745" s="66"/>
      <c r="AD745" s="66"/>
      <c r="AE745" s="66"/>
      <c r="AF745" s="66"/>
      <c r="AG745" s="66"/>
    </row>
    <row r="746" spans="28:33" ht="21.75" customHeight="1">
      <c r="AB746" s="286"/>
      <c r="AC746" s="66"/>
      <c r="AD746" s="66"/>
      <c r="AE746" s="66"/>
      <c r="AF746" s="66"/>
      <c r="AG746" s="66"/>
    </row>
    <row r="747" spans="28:33" ht="21.75" customHeight="1">
      <c r="AB747" s="286"/>
      <c r="AC747" s="66"/>
      <c r="AD747" s="66"/>
      <c r="AE747" s="66"/>
      <c r="AF747" s="66"/>
      <c r="AG747" s="66"/>
    </row>
    <row r="748" spans="28:33" ht="21.75" customHeight="1">
      <c r="AB748" s="286"/>
      <c r="AC748" s="66"/>
      <c r="AD748" s="66"/>
      <c r="AE748" s="66"/>
      <c r="AF748" s="66"/>
      <c r="AG748" s="66"/>
    </row>
    <row r="749" spans="28:33" ht="21.75" customHeight="1">
      <c r="AB749" s="286"/>
      <c r="AC749" s="66"/>
      <c r="AD749" s="66"/>
      <c r="AE749" s="66"/>
      <c r="AF749" s="66"/>
      <c r="AG749" s="66"/>
    </row>
    <row r="750" spans="28:33" ht="21.75" customHeight="1">
      <c r="AB750" s="286"/>
      <c r="AC750" s="66"/>
      <c r="AD750" s="66"/>
      <c r="AE750" s="66"/>
      <c r="AF750" s="66"/>
      <c r="AG750" s="66"/>
    </row>
    <row r="751" spans="28:33" ht="21.75" customHeight="1">
      <c r="AB751" s="286"/>
      <c r="AC751" s="66"/>
      <c r="AD751" s="66"/>
      <c r="AE751" s="66"/>
      <c r="AF751" s="66"/>
      <c r="AG751" s="66"/>
    </row>
    <row r="752" spans="28:33" ht="21.75" customHeight="1">
      <c r="AB752" s="286"/>
      <c r="AC752" s="66"/>
      <c r="AD752" s="66"/>
      <c r="AE752" s="66"/>
      <c r="AF752" s="66"/>
      <c r="AG752" s="66"/>
    </row>
    <row r="753" spans="28:33" ht="21.75" customHeight="1">
      <c r="AB753" s="286"/>
      <c r="AC753" s="66"/>
      <c r="AD753" s="66"/>
      <c r="AE753" s="66"/>
      <c r="AF753" s="66"/>
      <c r="AG753" s="66"/>
    </row>
    <row r="754" spans="28:33" ht="21.75" customHeight="1">
      <c r="AB754" s="286"/>
      <c r="AC754" s="66"/>
      <c r="AD754" s="66"/>
      <c r="AE754" s="66"/>
      <c r="AF754" s="66"/>
      <c r="AG754" s="66"/>
    </row>
    <row r="755" spans="28:33" ht="21.75" customHeight="1">
      <c r="AB755" s="286"/>
      <c r="AC755" s="66"/>
      <c r="AD755" s="66"/>
      <c r="AE755" s="66"/>
      <c r="AF755" s="66"/>
      <c r="AG755" s="66"/>
    </row>
    <row r="756" spans="28:33" ht="21.75" customHeight="1">
      <c r="AB756" s="286"/>
      <c r="AC756" s="66"/>
      <c r="AD756" s="66"/>
      <c r="AE756" s="66"/>
      <c r="AF756" s="66"/>
      <c r="AG756" s="66"/>
    </row>
    <row r="757" spans="28:33" ht="21.75" customHeight="1">
      <c r="AB757" s="286"/>
      <c r="AC757" s="66"/>
      <c r="AD757" s="66"/>
      <c r="AE757" s="66"/>
      <c r="AF757" s="66"/>
      <c r="AG757" s="66"/>
    </row>
    <row r="758" spans="28:33" ht="21.75" customHeight="1">
      <c r="AB758" s="286"/>
      <c r="AC758" s="66"/>
      <c r="AD758" s="66"/>
      <c r="AE758" s="66"/>
      <c r="AF758" s="66"/>
      <c r="AG758" s="66"/>
    </row>
    <row r="759" spans="28:33" ht="21.75" customHeight="1">
      <c r="AB759" s="286"/>
      <c r="AC759" s="66"/>
      <c r="AD759" s="66"/>
      <c r="AE759" s="66"/>
      <c r="AF759" s="66"/>
      <c r="AG759" s="66"/>
    </row>
    <row r="760" spans="28:33" ht="21.75" customHeight="1">
      <c r="AB760" s="286"/>
      <c r="AC760" s="66"/>
      <c r="AD760" s="66"/>
      <c r="AE760" s="66"/>
      <c r="AF760" s="66"/>
      <c r="AG760" s="66"/>
    </row>
    <row r="761" spans="28:33" ht="21.75" customHeight="1">
      <c r="AB761" s="286"/>
      <c r="AC761" s="66"/>
      <c r="AD761" s="66"/>
      <c r="AE761" s="66"/>
      <c r="AF761" s="66"/>
      <c r="AG761" s="66"/>
    </row>
    <row r="762" spans="28:33" ht="21.75" customHeight="1">
      <c r="AB762" s="286"/>
      <c r="AC762" s="66"/>
      <c r="AD762" s="66"/>
      <c r="AE762" s="66"/>
      <c r="AF762" s="66"/>
      <c r="AG762" s="66"/>
    </row>
    <row r="763" spans="28:33" ht="21.75" customHeight="1">
      <c r="AB763" s="286"/>
      <c r="AC763" s="66"/>
      <c r="AD763" s="66"/>
      <c r="AE763" s="66"/>
      <c r="AF763" s="66"/>
      <c r="AG763" s="66"/>
    </row>
    <row r="764" spans="28:33" ht="21.75" customHeight="1">
      <c r="AB764" s="286"/>
      <c r="AC764" s="66"/>
      <c r="AD764" s="66"/>
      <c r="AE764" s="66"/>
      <c r="AF764" s="66"/>
      <c r="AG764" s="66"/>
    </row>
    <row r="765" spans="28:33" ht="21.75" customHeight="1">
      <c r="AB765" s="286"/>
      <c r="AC765" s="66"/>
      <c r="AD765" s="66"/>
      <c r="AE765" s="66"/>
      <c r="AF765" s="66"/>
      <c r="AG765" s="66"/>
    </row>
    <row r="766" spans="28:33" ht="21.75" customHeight="1">
      <c r="AB766" s="286"/>
      <c r="AC766" s="66"/>
      <c r="AD766" s="66"/>
      <c r="AE766" s="66"/>
      <c r="AF766" s="66"/>
      <c r="AG766" s="66"/>
    </row>
    <row r="767" spans="28:33" ht="21.75" customHeight="1">
      <c r="AB767" s="286"/>
      <c r="AC767" s="66"/>
      <c r="AD767" s="66"/>
      <c r="AE767" s="66"/>
      <c r="AF767" s="66"/>
      <c r="AG767" s="66"/>
    </row>
    <row r="768" spans="28:33" ht="21.75" customHeight="1">
      <c r="AB768" s="286"/>
      <c r="AC768" s="66"/>
      <c r="AD768" s="66"/>
      <c r="AE768" s="66"/>
      <c r="AF768" s="66"/>
      <c r="AG768" s="66"/>
    </row>
    <row r="769" spans="28:33" ht="21.75" customHeight="1">
      <c r="AB769" s="286"/>
      <c r="AC769" s="66"/>
      <c r="AD769" s="66"/>
      <c r="AE769" s="66"/>
      <c r="AF769" s="66"/>
      <c r="AG769" s="66"/>
    </row>
    <row r="770" spans="28:33" ht="21.75" customHeight="1">
      <c r="AB770" s="286"/>
      <c r="AC770" s="66"/>
      <c r="AD770" s="66"/>
      <c r="AE770" s="66"/>
      <c r="AF770" s="66"/>
      <c r="AG770" s="66"/>
    </row>
    <row r="771" spans="28:33" ht="21.75" customHeight="1">
      <c r="AB771" s="286"/>
      <c r="AC771" s="66"/>
      <c r="AD771" s="66"/>
      <c r="AE771" s="66"/>
      <c r="AF771" s="66"/>
      <c r="AG771" s="66"/>
    </row>
    <row r="772" spans="28:33" ht="21.75" customHeight="1">
      <c r="AB772" s="286"/>
      <c r="AC772" s="66"/>
      <c r="AD772" s="66"/>
      <c r="AE772" s="66"/>
      <c r="AF772" s="66"/>
      <c r="AG772" s="66"/>
    </row>
    <row r="773" spans="28:33" ht="21.75" customHeight="1">
      <c r="AB773" s="286"/>
      <c r="AC773" s="66"/>
      <c r="AD773" s="66"/>
      <c r="AE773" s="66"/>
      <c r="AF773" s="66"/>
      <c r="AG773" s="66"/>
    </row>
    <row r="774" spans="28:33" ht="21.75" customHeight="1">
      <c r="AB774" s="286"/>
      <c r="AC774" s="66"/>
      <c r="AD774" s="66"/>
      <c r="AE774" s="66"/>
      <c r="AF774" s="66"/>
      <c r="AG774" s="66"/>
    </row>
    <row r="775" spans="28:33" ht="21.75" customHeight="1">
      <c r="AB775" s="286"/>
      <c r="AC775" s="66"/>
      <c r="AD775" s="66"/>
      <c r="AE775" s="66"/>
      <c r="AF775" s="66"/>
      <c r="AG775" s="66"/>
    </row>
    <row r="776" spans="28:33" ht="21.75" customHeight="1">
      <c r="AB776" s="286"/>
      <c r="AC776" s="66"/>
      <c r="AD776" s="66"/>
      <c r="AE776" s="66"/>
      <c r="AF776" s="66"/>
      <c r="AG776" s="66"/>
    </row>
    <row r="777" spans="28:33" ht="21.75" customHeight="1">
      <c r="AB777" s="286"/>
      <c r="AC777" s="66"/>
      <c r="AD777" s="66"/>
      <c r="AE777" s="66"/>
      <c r="AF777" s="66"/>
      <c r="AG777" s="66"/>
    </row>
    <row r="778" spans="28:33" ht="21.75" customHeight="1">
      <c r="AB778" s="286"/>
      <c r="AC778" s="66"/>
      <c r="AD778" s="66"/>
      <c r="AE778" s="66"/>
      <c r="AF778" s="66"/>
      <c r="AG778" s="66"/>
    </row>
    <row r="779" spans="28:33" ht="21.75" customHeight="1">
      <c r="AB779" s="286"/>
      <c r="AC779" s="66"/>
      <c r="AD779" s="66"/>
      <c r="AE779" s="66"/>
      <c r="AF779" s="66"/>
      <c r="AG779" s="66"/>
    </row>
    <row r="780" spans="28:33" ht="21.75" customHeight="1">
      <c r="AB780" s="286"/>
      <c r="AC780" s="66"/>
      <c r="AD780" s="66"/>
      <c r="AE780" s="66"/>
      <c r="AF780" s="66"/>
      <c r="AG780" s="66"/>
    </row>
    <row r="781" spans="28:33" ht="21.75" customHeight="1">
      <c r="AB781" s="286"/>
      <c r="AC781" s="66"/>
      <c r="AD781" s="66"/>
      <c r="AE781" s="66"/>
      <c r="AF781" s="66"/>
      <c r="AG781" s="66"/>
    </row>
    <row r="782" spans="28:33" ht="21.75" customHeight="1">
      <c r="AB782" s="286"/>
      <c r="AC782" s="66"/>
      <c r="AD782" s="66"/>
      <c r="AE782" s="66"/>
      <c r="AF782" s="66"/>
      <c r="AG782" s="66"/>
    </row>
    <row r="783" spans="28:33" ht="21.75" customHeight="1">
      <c r="AB783" s="286"/>
      <c r="AC783" s="66"/>
      <c r="AD783" s="66"/>
      <c r="AE783" s="66"/>
      <c r="AF783" s="66"/>
      <c r="AG783" s="66"/>
    </row>
    <row r="784" spans="28:33" ht="21.75" customHeight="1">
      <c r="AB784" s="286"/>
      <c r="AC784" s="66"/>
      <c r="AD784" s="66"/>
      <c r="AE784" s="66"/>
      <c r="AF784" s="66"/>
      <c r="AG784" s="66"/>
    </row>
    <row r="785" spans="28:33" ht="21.75" customHeight="1">
      <c r="AB785" s="286"/>
      <c r="AC785" s="66"/>
      <c r="AD785" s="66"/>
      <c r="AE785" s="66"/>
      <c r="AF785" s="66"/>
      <c r="AG785" s="66"/>
    </row>
    <row r="786" spans="28:33" ht="21.75" customHeight="1">
      <c r="AB786" s="286"/>
      <c r="AC786" s="66"/>
      <c r="AD786" s="66"/>
      <c r="AE786" s="66"/>
      <c r="AF786" s="66"/>
      <c r="AG786" s="66"/>
    </row>
    <row r="787" spans="28:33" ht="21.75" customHeight="1">
      <c r="AB787" s="286"/>
      <c r="AC787" s="66"/>
      <c r="AD787" s="66"/>
      <c r="AE787" s="66"/>
      <c r="AF787" s="66"/>
      <c r="AG787" s="66"/>
    </row>
    <row r="788" spans="28:33" ht="21.75" customHeight="1">
      <c r="AB788" s="286"/>
      <c r="AC788" s="66"/>
      <c r="AD788" s="66"/>
      <c r="AE788" s="66"/>
      <c r="AF788" s="66"/>
      <c r="AG788" s="66"/>
    </row>
    <row r="789" spans="28:33" ht="21.75" customHeight="1">
      <c r="AB789" s="286"/>
      <c r="AC789" s="66"/>
      <c r="AD789" s="66"/>
      <c r="AE789" s="66"/>
      <c r="AF789" s="66"/>
      <c r="AG789" s="66"/>
    </row>
    <row r="790" spans="28:33" ht="21.75" customHeight="1">
      <c r="AB790" s="286"/>
      <c r="AC790" s="66"/>
      <c r="AD790" s="66"/>
      <c r="AE790" s="66"/>
      <c r="AF790" s="66"/>
      <c r="AG790" s="66"/>
    </row>
    <row r="791" spans="28:33" ht="21.75" customHeight="1">
      <c r="AB791" s="286"/>
      <c r="AC791" s="66"/>
      <c r="AD791" s="66"/>
      <c r="AE791" s="66"/>
      <c r="AF791" s="66"/>
      <c r="AG791" s="66"/>
    </row>
    <row r="792" spans="28:33" ht="21.75" customHeight="1">
      <c r="AB792" s="286"/>
      <c r="AC792" s="66"/>
      <c r="AD792" s="66"/>
      <c r="AE792" s="66"/>
      <c r="AF792" s="66"/>
      <c r="AG792" s="66"/>
    </row>
    <row r="793" spans="28:33" ht="21.75" customHeight="1">
      <c r="AB793" s="286"/>
      <c r="AC793" s="66"/>
      <c r="AD793" s="66"/>
      <c r="AE793" s="66"/>
      <c r="AF793" s="66"/>
      <c r="AG793" s="66"/>
    </row>
    <row r="794" spans="28:33" ht="21.75" customHeight="1">
      <c r="AB794" s="286"/>
      <c r="AC794" s="66"/>
      <c r="AD794" s="66"/>
      <c r="AE794" s="66"/>
      <c r="AF794" s="66"/>
      <c r="AG794" s="66"/>
    </row>
    <row r="795" spans="28:33" ht="21.75" customHeight="1">
      <c r="AB795" s="286"/>
      <c r="AC795" s="66"/>
      <c r="AD795" s="66"/>
      <c r="AE795" s="66"/>
      <c r="AF795" s="66"/>
      <c r="AG795" s="66"/>
    </row>
    <row r="796" spans="28:33" ht="21.75" customHeight="1">
      <c r="AB796" s="286"/>
      <c r="AC796" s="66"/>
      <c r="AD796" s="66"/>
      <c r="AE796" s="66"/>
      <c r="AF796" s="66"/>
      <c r="AG796" s="66"/>
    </row>
    <row r="797" spans="28:33" ht="21.75" customHeight="1">
      <c r="AB797" s="286"/>
      <c r="AC797" s="66"/>
      <c r="AD797" s="66"/>
      <c r="AE797" s="66"/>
      <c r="AF797" s="66"/>
      <c r="AG797" s="66"/>
    </row>
    <row r="798" spans="28:33" ht="21.75" customHeight="1">
      <c r="AB798" s="286"/>
      <c r="AC798" s="66"/>
      <c r="AD798" s="66"/>
      <c r="AE798" s="66"/>
      <c r="AF798" s="66"/>
      <c r="AG798" s="66"/>
    </row>
    <row r="799" spans="28:33" ht="21.75" customHeight="1">
      <c r="AB799" s="286"/>
      <c r="AC799" s="66"/>
      <c r="AD799" s="66"/>
      <c r="AE799" s="66"/>
      <c r="AF799" s="66"/>
      <c r="AG799" s="66"/>
    </row>
    <row r="800" spans="28:33" ht="21.75" customHeight="1">
      <c r="AB800" s="286"/>
      <c r="AC800" s="66"/>
      <c r="AD800" s="66"/>
      <c r="AE800" s="66"/>
      <c r="AF800" s="66"/>
      <c r="AG800" s="66"/>
    </row>
    <row r="801" spans="28:33" ht="21.75" customHeight="1">
      <c r="AB801" s="286"/>
      <c r="AC801" s="66"/>
      <c r="AD801" s="66"/>
      <c r="AE801" s="66"/>
      <c r="AF801" s="66"/>
      <c r="AG801" s="66"/>
    </row>
    <row r="802" spans="28:33" ht="21.75" customHeight="1">
      <c r="AB802" s="286"/>
      <c r="AC802" s="66"/>
      <c r="AD802" s="66"/>
      <c r="AE802" s="66"/>
      <c r="AF802" s="66"/>
      <c r="AG802" s="66"/>
    </row>
    <row r="803" spans="28:33" ht="21.75" customHeight="1">
      <c r="AB803" s="286"/>
      <c r="AC803" s="66"/>
      <c r="AD803" s="66"/>
      <c r="AE803" s="66"/>
      <c r="AF803" s="66"/>
      <c r="AG803" s="66"/>
    </row>
    <row r="804" spans="28:33" ht="21.75" customHeight="1">
      <c r="AB804" s="286"/>
      <c r="AC804" s="66"/>
      <c r="AD804" s="66"/>
      <c r="AE804" s="66"/>
      <c r="AF804" s="66"/>
      <c r="AG804" s="66"/>
    </row>
    <row r="805" spans="28:33" ht="21.75" customHeight="1">
      <c r="AB805" s="286"/>
      <c r="AC805" s="66"/>
      <c r="AD805" s="66"/>
      <c r="AE805" s="66"/>
      <c r="AF805" s="66"/>
      <c r="AG805" s="66"/>
    </row>
    <row r="806" spans="28:33" ht="21.75" customHeight="1">
      <c r="AB806" s="286"/>
      <c r="AC806" s="66"/>
      <c r="AD806" s="66"/>
      <c r="AE806" s="66"/>
      <c r="AF806" s="66"/>
      <c r="AG806" s="66"/>
    </row>
    <row r="807" spans="28:33" ht="21.75" customHeight="1">
      <c r="AB807" s="286"/>
      <c r="AC807" s="66"/>
      <c r="AD807" s="66"/>
      <c r="AE807" s="66"/>
      <c r="AF807" s="66"/>
      <c r="AG807" s="66"/>
    </row>
    <row r="808" spans="28:33" ht="21.75" customHeight="1">
      <c r="AB808" s="286"/>
      <c r="AC808" s="66"/>
      <c r="AD808" s="66"/>
      <c r="AE808" s="66"/>
      <c r="AF808" s="66"/>
      <c r="AG808" s="66"/>
    </row>
    <row r="809" spans="28:33" ht="21.75" customHeight="1">
      <c r="AB809" s="286"/>
      <c r="AC809" s="66"/>
      <c r="AD809" s="66"/>
      <c r="AE809" s="66"/>
      <c r="AF809" s="66"/>
      <c r="AG809" s="66"/>
    </row>
    <row r="810" spans="28:33" ht="21.75" customHeight="1">
      <c r="AB810" s="286"/>
      <c r="AC810" s="66"/>
      <c r="AD810" s="66"/>
      <c r="AE810" s="66"/>
      <c r="AF810" s="66"/>
      <c r="AG810" s="66"/>
    </row>
    <row r="811" spans="28:33" ht="21.75" customHeight="1">
      <c r="AB811" s="286"/>
      <c r="AC811" s="66"/>
      <c r="AD811" s="66"/>
      <c r="AE811" s="66"/>
      <c r="AF811" s="66"/>
      <c r="AG811" s="66"/>
    </row>
    <row r="812" spans="28:33" ht="21.75" customHeight="1">
      <c r="AB812" s="286"/>
      <c r="AC812" s="66"/>
      <c r="AD812" s="66"/>
      <c r="AE812" s="66"/>
      <c r="AF812" s="66"/>
      <c r="AG812" s="66"/>
    </row>
    <row r="813" spans="28:33" ht="21.75" customHeight="1">
      <c r="AB813" s="286"/>
      <c r="AC813" s="66"/>
      <c r="AD813" s="66"/>
      <c r="AE813" s="66"/>
      <c r="AF813" s="66"/>
      <c r="AG813" s="66"/>
    </row>
    <row r="814" spans="28:33" ht="21.75" customHeight="1">
      <c r="AB814" s="286"/>
      <c r="AC814" s="66"/>
      <c r="AD814" s="66"/>
      <c r="AE814" s="66"/>
      <c r="AF814" s="66"/>
      <c r="AG814" s="66"/>
    </row>
    <row r="815" spans="28:33" ht="21.75" customHeight="1">
      <c r="AB815" s="286"/>
      <c r="AC815" s="66"/>
      <c r="AD815" s="66"/>
      <c r="AE815" s="66"/>
      <c r="AF815" s="66"/>
      <c r="AG815" s="66"/>
    </row>
    <row r="816" spans="28:33" ht="21.75" customHeight="1">
      <c r="AB816" s="286"/>
      <c r="AC816" s="66"/>
      <c r="AD816" s="66"/>
      <c r="AE816" s="66"/>
      <c r="AF816" s="66"/>
      <c r="AG816" s="66"/>
    </row>
    <row r="817" spans="28:33" ht="21.75" customHeight="1">
      <c r="AB817" s="286"/>
      <c r="AC817" s="66"/>
      <c r="AD817" s="66"/>
      <c r="AE817" s="66"/>
      <c r="AF817" s="66"/>
      <c r="AG817" s="66"/>
    </row>
    <row r="818" spans="28:33" ht="21.75" customHeight="1">
      <c r="AB818" s="286"/>
      <c r="AC818" s="66"/>
      <c r="AD818" s="66"/>
      <c r="AE818" s="66"/>
      <c r="AF818" s="66"/>
      <c r="AG818" s="66"/>
    </row>
    <row r="819" spans="28:33" ht="21.75" customHeight="1">
      <c r="AB819" s="286"/>
      <c r="AC819" s="66"/>
      <c r="AD819" s="66"/>
      <c r="AE819" s="66"/>
      <c r="AF819" s="66"/>
      <c r="AG819" s="66"/>
    </row>
    <row r="820" spans="28:33" ht="21.75" customHeight="1">
      <c r="AB820" s="286"/>
      <c r="AC820" s="66"/>
      <c r="AD820" s="66"/>
      <c r="AE820" s="66"/>
      <c r="AF820" s="66"/>
      <c r="AG820" s="66"/>
    </row>
    <row r="821" spans="28:33" ht="21.75" customHeight="1">
      <c r="AB821" s="286"/>
      <c r="AC821" s="66"/>
      <c r="AD821" s="66"/>
      <c r="AE821" s="66"/>
      <c r="AF821" s="66"/>
      <c r="AG821" s="66"/>
    </row>
    <row r="822" spans="28:33" ht="21.75" customHeight="1">
      <c r="AB822" s="286"/>
      <c r="AC822" s="66"/>
      <c r="AD822" s="66"/>
      <c r="AE822" s="66"/>
      <c r="AF822" s="66"/>
      <c r="AG822" s="66"/>
    </row>
    <row r="823" spans="28:33" ht="21.75" customHeight="1">
      <c r="AB823" s="286"/>
      <c r="AC823" s="66"/>
      <c r="AD823" s="66"/>
      <c r="AE823" s="66"/>
      <c r="AF823" s="66"/>
      <c r="AG823" s="66"/>
    </row>
    <row r="824" spans="28:33" ht="21.75" customHeight="1">
      <c r="AB824" s="286"/>
      <c r="AC824" s="66"/>
      <c r="AD824" s="66"/>
      <c r="AE824" s="66"/>
      <c r="AF824" s="66"/>
      <c r="AG824" s="66"/>
    </row>
    <row r="825" spans="28:33" ht="21.75" customHeight="1">
      <c r="AB825" s="286"/>
      <c r="AC825" s="66"/>
      <c r="AD825" s="66"/>
      <c r="AE825" s="66"/>
      <c r="AF825" s="66"/>
      <c r="AG825" s="66"/>
    </row>
    <row r="826" spans="28:33" ht="21.75" customHeight="1">
      <c r="AB826" s="286"/>
      <c r="AC826" s="66"/>
      <c r="AD826" s="66"/>
      <c r="AE826" s="66"/>
      <c r="AF826" s="66"/>
      <c r="AG826" s="66"/>
    </row>
    <row r="827" spans="28:33" ht="21.75" customHeight="1">
      <c r="AB827" s="286"/>
      <c r="AC827" s="66"/>
      <c r="AD827" s="66"/>
      <c r="AE827" s="66"/>
      <c r="AF827" s="66"/>
      <c r="AG827" s="66"/>
    </row>
    <row r="828" spans="28:33" ht="21.75" customHeight="1">
      <c r="AB828" s="286"/>
      <c r="AC828" s="66"/>
      <c r="AD828" s="66"/>
      <c r="AE828" s="66"/>
      <c r="AF828" s="66"/>
      <c r="AG828" s="66"/>
    </row>
    <row r="829" spans="28:33" ht="21.75" customHeight="1">
      <c r="AB829" s="286"/>
      <c r="AC829" s="66"/>
      <c r="AD829" s="66"/>
      <c r="AE829" s="66"/>
      <c r="AF829" s="66"/>
      <c r="AG829" s="66"/>
    </row>
    <row r="830" spans="28:33" ht="21.75" customHeight="1">
      <c r="AB830" s="286"/>
      <c r="AC830" s="66"/>
      <c r="AD830" s="66"/>
      <c r="AE830" s="66"/>
      <c r="AF830" s="66"/>
      <c r="AG830" s="66"/>
    </row>
    <row r="831" spans="28:33" ht="21.75" customHeight="1">
      <c r="AB831" s="286"/>
      <c r="AC831" s="66"/>
      <c r="AD831" s="66"/>
      <c r="AE831" s="66"/>
      <c r="AF831" s="66"/>
      <c r="AG831" s="66"/>
    </row>
    <row r="832" spans="28:33" ht="21.75" customHeight="1">
      <c r="AB832" s="286"/>
      <c r="AC832" s="66"/>
      <c r="AD832" s="66"/>
      <c r="AE832" s="66"/>
      <c r="AF832" s="66"/>
      <c r="AG832" s="66"/>
    </row>
    <row r="833" spans="28:33" ht="21.75" customHeight="1">
      <c r="AB833" s="286"/>
      <c r="AC833" s="66"/>
      <c r="AD833" s="66"/>
      <c r="AE833" s="66"/>
      <c r="AF833" s="66"/>
      <c r="AG833" s="66"/>
    </row>
    <row r="834" spans="28:33" ht="21.75" customHeight="1">
      <c r="AB834" s="286"/>
      <c r="AC834" s="66"/>
      <c r="AD834" s="66"/>
      <c r="AE834" s="66"/>
      <c r="AF834" s="66"/>
      <c r="AG834" s="66"/>
    </row>
    <row r="835" spans="28:33" ht="21.75" customHeight="1">
      <c r="AB835" s="286"/>
      <c r="AC835" s="66"/>
      <c r="AD835" s="66"/>
      <c r="AE835" s="66"/>
      <c r="AF835" s="66"/>
      <c r="AG835" s="66"/>
    </row>
    <row r="836" spans="28:33" ht="21.75" customHeight="1">
      <c r="AB836" s="286"/>
      <c r="AC836" s="66"/>
      <c r="AD836" s="66"/>
      <c r="AE836" s="66"/>
      <c r="AF836" s="66"/>
      <c r="AG836" s="66"/>
    </row>
    <row r="837" spans="28:33" ht="21.75" customHeight="1">
      <c r="AB837" s="286"/>
      <c r="AC837" s="66"/>
      <c r="AD837" s="66"/>
      <c r="AE837" s="66"/>
      <c r="AF837" s="66"/>
      <c r="AG837" s="66"/>
    </row>
    <row r="838" spans="28:33" ht="21.75" customHeight="1">
      <c r="AB838" s="286"/>
      <c r="AC838" s="66"/>
      <c r="AD838" s="66"/>
      <c r="AE838" s="66"/>
      <c r="AF838" s="66"/>
      <c r="AG838" s="66"/>
    </row>
    <row r="839" spans="28:33" ht="21.75" customHeight="1">
      <c r="AB839" s="286"/>
      <c r="AC839" s="66"/>
      <c r="AD839" s="66"/>
      <c r="AE839" s="66"/>
      <c r="AF839" s="66"/>
      <c r="AG839" s="66"/>
    </row>
    <row r="840" spans="28:33" ht="21.75" customHeight="1">
      <c r="AB840" s="286"/>
      <c r="AC840" s="66"/>
      <c r="AD840" s="66"/>
      <c r="AE840" s="66"/>
      <c r="AF840" s="66"/>
      <c r="AG840" s="66"/>
    </row>
    <row r="841" spans="28:33" ht="21.75" customHeight="1">
      <c r="AB841" s="286"/>
      <c r="AC841" s="66"/>
      <c r="AD841" s="66"/>
      <c r="AE841" s="66"/>
      <c r="AF841" s="66"/>
      <c r="AG841" s="66"/>
    </row>
    <row r="842" spans="28:33" ht="21.75" customHeight="1">
      <c r="AB842" s="286"/>
      <c r="AC842" s="66"/>
      <c r="AD842" s="66"/>
      <c r="AE842" s="66"/>
      <c r="AF842" s="66"/>
      <c r="AG842" s="66"/>
    </row>
    <row r="843" spans="28:33" ht="21.75" customHeight="1">
      <c r="AB843" s="286"/>
      <c r="AC843" s="66"/>
      <c r="AD843" s="66"/>
      <c r="AE843" s="66"/>
      <c r="AF843" s="66"/>
      <c r="AG843" s="66"/>
    </row>
    <row r="844" spans="28:33" ht="21.75" customHeight="1">
      <c r="AB844" s="286"/>
      <c r="AC844" s="66"/>
      <c r="AD844" s="66"/>
      <c r="AE844" s="66"/>
      <c r="AF844" s="66"/>
      <c r="AG844" s="66"/>
    </row>
    <row r="845" spans="28:33" ht="21.75" customHeight="1">
      <c r="AB845" s="286"/>
      <c r="AC845" s="66"/>
      <c r="AD845" s="66"/>
      <c r="AE845" s="66"/>
      <c r="AF845" s="66"/>
      <c r="AG845" s="66"/>
    </row>
    <row r="846" spans="28:33" ht="21.75" customHeight="1">
      <c r="AB846" s="286"/>
      <c r="AC846" s="66"/>
      <c r="AD846" s="66"/>
      <c r="AE846" s="66"/>
      <c r="AF846" s="66"/>
      <c r="AG846" s="66"/>
    </row>
    <row r="847" spans="28:33" ht="21.75" customHeight="1">
      <c r="AB847" s="286"/>
      <c r="AC847" s="66"/>
      <c r="AD847" s="66"/>
      <c r="AE847" s="66"/>
      <c r="AF847" s="66"/>
      <c r="AG847" s="66"/>
    </row>
    <row r="848" spans="28:33" ht="21.75" customHeight="1">
      <c r="AB848" s="286"/>
      <c r="AC848" s="66"/>
      <c r="AD848" s="66"/>
      <c r="AE848" s="66"/>
      <c r="AF848" s="66"/>
      <c r="AG848" s="66"/>
    </row>
    <row r="849" spans="28:33" ht="21.75" customHeight="1">
      <c r="AB849" s="286"/>
      <c r="AC849" s="66"/>
      <c r="AD849" s="66"/>
      <c r="AE849" s="66"/>
      <c r="AF849" s="66"/>
      <c r="AG849" s="66"/>
    </row>
    <row r="850" spans="28:33" ht="21.75" customHeight="1">
      <c r="AB850" s="286"/>
      <c r="AC850" s="66"/>
      <c r="AD850" s="66"/>
      <c r="AE850" s="66"/>
      <c r="AF850" s="66"/>
      <c r="AG850" s="66"/>
    </row>
    <row r="851" spans="28:33" ht="21.75" customHeight="1">
      <c r="AB851" s="286"/>
      <c r="AC851" s="66"/>
      <c r="AD851" s="66"/>
      <c r="AE851" s="66"/>
      <c r="AF851" s="66"/>
      <c r="AG851" s="66"/>
    </row>
    <row r="852" spans="28:33" ht="21.75" customHeight="1">
      <c r="AB852" s="286"/>
      <c r="AC852" s="66"/>
      <c r="AD852" s="66"/>
      <c r="AE852" s="66"/>
      <c r="AF852" s="66"/>
      <c r="AG852" s="66"/>
    </row>
    <row r="853" spans="28:33" ht="21.75" customHeight="1">
      <c r="AB853" s="286"/>
      <c r="AC853" s="66"/>
      <c r="AD853" s="66"/>
      <c r="AE853" s="66"/>
      <c r="AF853" s="66"/>
      <c r="AG853" s="66"/>
    </row>
    <row r="854" spans="28:33" ht="21.75" customHeight="1">
      <c r="AB854" s="286"/>
      <c r="AC854" s="66"/>
      <c r="AD854" s="66"/>
      <c r="AE854" s="66"/>
      <c r="AF854" s="66"/>
      <c r="AG854" s="66"/>
    </row>
    <row r="855" spans="28:33" ht="21.75" customHeight="1">
      <c r="AB855" s="286"/>
      <c r="AC855" s="66"/>
      <c r="AD855" s="66"/>
      <c r="AE855" s="66"/>
      <c r="AF855" s="66"/>
      <c r="AG855" s="66"/>
    </row>
    <row r="856" spans="28:33" ht="21.75" customHeight="1">
      <c r="AB856" s="286"/>
      <c r="AC856" s="66"/>
      <c r="AD856" s="66"/>
      <c r="AE856" s="66"/>
      <c r="AF856" s="66"/>
      <c r="AG856" s="66"/>
    </row>
    <row r="857" spans="28:33" ht="21.75" customHeight="1">
      <c r="AB857" s="286"/>
      <c r="AC857" s="66"/>
      <c r="AD857" s="66"/>
      <c r="AE857" s="66"/>
      <c r="AF857" s="66"/>
      <c r="AG857" s="66"/>
    </row>
    <row r="858" spans="28:33" ht="21.75" customHeight="1">
      <c r="AB858" s="286"/>
      <c r="AC858" s="66"/>
      <c r="AD858" s="66"/>
      <c r="AE858" s="66"/>
      <c r="AF858" s="66"/>
      <c r="AG858" s="66"/>
    </row>
    <row r="859" spans="28:33" ht="21.75" customHeight="1">
      <c r="AB859" s="286"/>
      <c r="AC859" s="66"/>
      <c r="AD859" s="66"/>
      <c r="AE859" s="66"/>
      <c r="AF859" s="66"/>
      <c r="AG859" s="66"/>
    </row>
    <row r="860" spans="28:33" ht="21.75" customHeight="1">
      <c r="AB860" s="286"/>
      <c r="AC860" s="66"/>
      <c r="AD860" s="66"/>
      <c r="AE860" s="66"/>
      <c r="AF860" s="66"/>
      <c r="AG860" s="66"/>
    </row>
    <row r="861" spans="28:33" ht="21.75" customHeight="1">
      <c r="AB861" s="286"/>
      <c r="AC861" s="66"/>
      <c r="AD861" s="66"/>
      <c r="AE861" s="66"/>
      <c r="AF861" s="66"/>
      <c r="AG861" s="66"/>
    </row>
    <row r="862" spans="28:33" ht="21.75" customHeight="1">
      <c r="AB862" s="286"/>
      <c r="AC862" s="66"/>
      <c r="AD862" s="66"/>
      <c r="AE862" s="66"/>
      <c r="AF862" s="66"/>
      <c r="AG862" s="66"/>
    </row>
    <row r="863" spans="28:33" ht="21.75" customHeight="1">
      <c r="AB863" s="286"/>
      <c r="AC863" s="66"/>
      <c r="AD863" s="66"/>
      <c r="AE863" s="66"/>
      <c r="AF863" s="66"/>
      <c r="AG863" s="66"/>
    </row>
    <row r="864" spans="28:33" ht="21.75" customHeight="1">
      <c r="AB864" s="286"/>
      <c r="AC864" s="66"/>
      <c r="AD864" s="66"/>
      <c r="AE864" s="66"/>
      <c r="AF864" s="66"/>
      <c r="AG864" s="66"/>
    </row>
    <row r="865" spans="28:33" ht="21.75" customHeight="1">
      <c r="AB865" s="286"/>
      <c r="AC865" s="66"/>
      <c r="AD865" s="66"/>
      <c r="AE865" s="66"/>
      <c r="AF865" s="66"/>
      <c r="AG865" s="66"/>
    </row>
    <row r="866" spans="28:33" ht="21.75" customHeight="1">
      <c r="AB866" s="286"/>
      <c r="AC866" s="66"/>
      <c r="AD866" s="66"/>
      <c r="AE866" s="66"/>
      <c r="AF866" s="66"/>
      <c r="AG866" s="66"/>
    </row>
    <row r="867" spans="28:33" ht="21.75" customHeight="1">
      <c r="AB867" s="286"/>
      <c r="AC867" s="66"/>
      <c r="AD867" s="66"/>
      <c r="AE867" s="66"/>
      <c r="AF867" s="66"/>
      <c r="AG867" s="66"/>
    </row>
    <row r="868" spans="28:33" ht="21.75" customHeight="1">
      <c r="AB868" s="286"/>
      <c r="AC868" s="66"/>
      <c r="AD868" s="66"/>
      <c r="AE868" s="66"/>
      <c r="AF868" s="66"/>
      <c r="AG868" s="66"/>
    </row>
    <row r="869" spans="28:33" ht="21.75" customHeight="1">
      <c r="AB869" s="286"/>
      <c r="AC869" s="66"/>
      <c r="AD869" s="66"/>
      <c r="AE869" s="66"/>
      <c r="AF869" s="66"/>
      <c r="AG869" s="66"/>
    </row>
    <row r="870" spans="28:33" ht="21.75" customHeight="1">
      <c r="AB870" s="286"/>
      <c r="AC870" s="66"/>
      <c r="AD870" s="66"/>
      <c r="AE870" s="66"/>
      <c r="AF870" s="66"/>
      <c r="AG870" s="66"/>
    </row>
    <row r="871" spans="28:33" ht="21.75" customHeight="1">
      <c r="AB871" s="286"/>
      <c r="AC871" s="66"/>
      <c r="AD871" s="66"/>
      <c r="AE871" s="66"/>
      <c r="AF871" s="66"/>
      <c r="AG871" s="66"/>
    </row>
    <row r="872" spans="28:33" ht="21.75" customHeight="1">
      <c r="AB872" s="286"/>
      <c r="AC872" s="66"/>
      <c r="AD872" s="66"/>
      <c r="AE872" s="66"/>
      <c r="AF872" s="66"/>
      <c r="AG872" s="66"/>
    </row>
    <row r="873" spans="28:33" ht="21.75" customHeight="1">
      <c r="AB873" s="286"/>
      <c r="AC873" s="66"/>
      <c r="AD873" s="66"/>
      <c r="AE873" s="66"/>
      <c r="AF873" s="66"/>
      <c r="AG873" s="66"/>
    </row>
    <row r="874" spans="28:33" ht="21.75" customHeight="1">
      <c r="AB874" s="286"/>
      <c r="AC874" s="66"/>
      <c r="AD874" s="66"/>
      <c r="AE874" s="66"/>
      <c r="AF874" s="66"/>
      <c r="AG874" s="66"/>
    </row>
    <row r="875" spans="28:33" ht="21.75" customHeight="1">
      <c r="AB875" s="286"/>
      <c r="AC875" s="66"/>
      <c r="AD875" s="66"/>
      <c r="AE875" s="66"/>
      <c r="AF875" s="66"/>
      <c r="AG875" s="66"/>
    </row>
    <row r="876" spans="28:33" ht="21.75" customHeight="1">
      <c r="AB876" s="286"/>
      <c r="AC876" s="66"/>
      <c r="AD876" s="66"/>
      <c r="AE876" s="66"/>
      <c r="AF876" s="66"/>
      <c r="AG876" s="66"/>
    </row>
    <row r="877" spans="28:33" ht="21.75" customHeight="1">
      <c r="AB877" s="286"/>
      <c r="AC877" s="66"/>
      <c r="AD877" s="66"/>
      <c r="AE877" s="66"/>
      <c r="AF877" s="66"/>
      <c r="AG877" s="66"/>
    </row>
    <row r="878" spans="28:33" ht="21.75" customHeight="1">
      <c r="AB878" s="286"/>
      <c r="AC878" s="66"/>
      <c r="AD878" s="66"/>
      <c r="AE878" s="66"/>
      <c r="AF878" s="66"/>
      <c r="AG878" s="66"/>
    </row>
    <row r="879" spans="28:33" ht="21.75" customHeight="1">
      <c r="AB879" s="286"/>
      <c r="AC879" s="66"/>
      <c r="AD879" s="66"/>
      <c r="AE879" s="66"/>
      <c r="AF879" s="66"/>
      <c r="AG879" s="66"/>
    </row>
    <row r="880" spans="28:33" ht="21.75" customHeight="1">
      <c r="AB880" s="286"/>
      <c r="AC880" s="66"/>
      <c r="AD880" s="66"/>
      <c r="AE880" s="66"/>
      <c r="AF880" s="66"/>
      <c r="AG880" s="66"/>
    </row>
    <row r="881" spans="28:33" ht="21.75" customHeight="1">
      <c r="AB881" s="286"/>
      <c r="AC881" s="66"/>
      <c r="AD881" s="66"/>
      <c r="AE881" s="66"/>
      <c r="AF881" s="66"/>
      <c r="AG881" s="66"/>
    </row>
    <row r="882" spans="28:33" ht="21.75" customHeight="1">
      <c r="AB882" s="286"/>
      <c r="AC882" s="66"/>
      <c r="AD882" s="66"/>
      <c r="AE882" s="66"/>
      <c r="AF882" s="66"/>
      <c r="AG882" s="66"/>
    </row>
    <row r="883" spans="28:33" ht="21.75" customHeight="1">
      <c r="AB883" s="286"/>
      <c r="AC883" s="66"/>
      <c r="AD883" s="66"/>
      <c r="AE883" s="66"/>
      <c r="AF883" s="66"/>
      <c r="AG883" s="66"/>
    </row>
    <row r="884" spans="28:33" ht="21.75" customHeight="1">
      <c r="AB884" s="286"/>
      <c r="AC884" s="66"/>
      <c r="AD884" s="66"/>
      <c r="AE884" s="66"/>
      <c r="AF884" s="66"/>
      <c r="AG884" s="66"/>
    </row>
    <row r="885" spans="28:33" ht="21.75" customHeight="1">
      <c r="AB885" s="286"/>
      <c r="AC885" s="66"/>
      <c r="AD885" s="66"/>
      <c r="AE885" s="66"/>
      <c r="AF885" s="66"/>
      <c r="AG885" s="66"/>
    </row>
    <row r="886" spans="28:33" ht="21.75" customHeight="1">
      <c r="AB886" s="286"/>
      <c r="AC886" s="66"/>
      <c r="AD886" s="66"/>
      <c r="AE886" s="66"/>
      <c r="AF886" s="66"/>
      <c r="AG886" s="66"/>
    </row>
    <row r="887" spans="28:33" ht="21.75" customHeight="1">
      <c r="AB887" s="286"/>
      <c r="AC887" s="66"/>
      <c r="AD887" s="66"/>
      <c r="AE887" s="66"/>
      <c r="AF887" s="66"/>
      <c r="AG887" s="66"/>
    </row>
    <row r="888" spans="28:33" ht="21.75" customHeight="1">
      <c r="AB888" s="286"/>
      <c r="AC888" s="66"/>
      <c r="AD888" s="66"/>
      <c r="AE888" s="66"/>
      <c r="AF888" s="66"/>
      <c r="AG888" s="66"/>
    </row>
    <row r="889" spans="28:33" ht="21.75" customHeight="1">
      <c r="AB889" s="286"/>
      <c r="AC889" s="66"/>
      <c r="AD889" s="66"/>
      <c r="AE889" s="66"/>
      <c r="AF889" s="66"/>
      <c r="AG889" s="66"/>
    </row>
    <row r="890" spans="28:33" ht="21.75" customHeight="1">
      <c r="AB890" s="286"/>
      <c r="AC890" s="66"/>
      <c r="AD890" s="66"/>
      <c r="AE890" s="66"/>
      <c r="AF890" s="66"/>
      <c r="AG890" s="66"/>
    </row>
    <row r="891" spans="28:33" ht="21.75" customHeight="1">
      <c r="AB891" s="286"/>
      <c r="AC891" s="66"/>
      <c r="AD891" s="66"/>
      <c r="AE891" s="66"/>
      <c r="AF891" s="66"/>
      <c r="AG891" s="66"/>
    </row>
    <row r="892" spans="28:33" ht="21.75" customHeight="1">
      <c r="AB892" s="286"/>
      <c r="AC892" s="66"/>
      <c r="AD892" s="66"/>
      <c r="AE892" s="66"/>
      <c r="AF892" s="66"/>
      <c r="AG892" s="66"/>
    </row>
    <row r="893" spans="28:33" ht="21.75" customHeight="1">
      <c r="AB893" s="286"/>
      <c r="AC893" s="66"/>
      <c r="AD893" s="66"/>
      <c r="AE893" s="66"/>
      <c r="AF893" s="66"/>
      <c r="AG893" s="66"/>
    </row>
    <row r="894" spans="28:33" ht="21.75" customHeight="1">
      <c r="AB894" s="286"/>
      <c r="AC894" s="66"/>
      <c r="AD894" s="66"/>
      <c r="AE894" s="66"/>
      <c r="AF894" s="66"/>
      <c r="AG894" s="66"/>
    </row>
    <row r="895" spans="28:33" ht="21.75" customHeight="1">
      <c r="AB895" s="286"/>
      <c r="AC895" s="66"/>
      <c r="AD895" s="66"/>
      <c r="AE895" s="66"/>
      <c r="AF895" s="66"/>
      <c r="AG895" s="66"/>
    </row>
    <row r="896" spans="28:33" ht="21.75" customHeight="1">
      <c r="AB896" s="286"/>
      <c r="AC896" s="66"/>
      <c r="AD896" s="66"/>
      <c r="AE896" s="66"/>
      <c r="AF896" s="66"/>
      <c r="AG896" s="66"/>
    </row>
    <row r="897" spans="28:33" ht="21.75" customHeight="1">
      <c r="AB897" s="286"/>
      <c r="AC897" s="66"/>
      <c r="AD897" s="66"/>
      <c r="AE897" s="66"/>
      <c r="AF897" s="66"/>
      <c r="AG897" s="66"/>
    </row>
    <row r="898" spans="28:33" ht="21.75" customHeight="1">
      <c r="AB898" s="286"/>
      <c r="AC898" s="66"/>
      <c r="AD898" s="66"/>
      <c r="AE898" s="66"/>
      <c r="AF898" s="66"/>
      <c r="AG898" s="66"/>
    </row>
    <row r="899" spans="28:33" ht="21.75" customHeight="1">
      <c r="AB899" s="286"/>
      <c r="AC899" s="66"/>
      <c r="AD899" s="66"/>
      <c r="AE899" s="66"/>
      <c r="AF899" s="66"/>
      <c r="AG899" s="66"/>
    </row>
    <row r="900" spans="28:33" ht="21.75" customHeight="1">
      <c r="AB900" s="286"/>
      <c r="AC900" s="66"/>
      <c r="AD900" s="66"/>
      <c r="AE900" s="66"/>
      <c r="AF900" s="66"/>
      <c r="AG900" s="66"/>
    </row>
    <row r="901" spans="28:33" ht="21.75" customHeight="1">
      <c r="AB901" s="286"/>
      <c r="AC901" s="66"/>
      <c r="AD901" s="66"/>
      <c r="AE901" s="66"/>
      <c r="AF901" s="66"/>
      <c r="AG901" s="66"/>
    </row>
    <row r="902" spans="28:33" ht="21.75" customHeight="1">
      <c r="AB902" s="286"/>
      <c r="AC902" s="66"/>
      <c r="AD902" s="66"/>
      <c r="AE902" s="66"/>
      <c r="AF902" s="66"/>
      <c r="AG902" s="66"/>
    </row>
    <row r="903" spans="28:33" ht="21.75" customHeight="1">
      <c r="AB903" s="286"/>
      <c r="AC903" s="66"/>
      <c r="AD903" s="66"/>
      <c r="AE903" s="66"/>
      <c r="AF903" s="66"/>
      <c r="AG903" s="66"/>
    </row>
    <row r="904" spans="28:33" ht="21.75" customHeight="1">
      <c r="AB904" s="286"/>
      <c r="AC904" s="66"/>
      <c r="AD904" s="66"/>
      <c r="AE904" s="66"/>
      <c r="AF904" s="66"/>
      <c r="AG904" s="66"/>
    </row>
    <row r="905" spans="28:33" ht="21.75" customHeight="1">
      <c r="AB905" s="286"/>
      <c r="AC905" s="66"/>
      <c r="AD905" s="66"/>
      <c r="AE905" s="66"/>
      <c r="AF905" s="66"/>
      <c r="AG905" s="66"/>
    </row>
    <row r="906" spans="28:33" ht="21.75" customHeight="1">
      <c r="AB906" s="286"/>
      <c r="AC906" s="66"/>
      <c r="AD906" s="66"/>
      <c r="AE906" s="66"/>
      <c r="AF906" s="66"/>
      <c r="AG906" s="66"/>
    </row>
    <row r="907" spans="28:33" ht="21.75" customHeight="1">
      <c r="AB907" s="286"/>
      <c r="AC907" s="66"/>
      <c r="AD907" s="66"/>
      <c r="AE907" s="66"/>
      <c r="AF907" s="66"/>
      <c r="AG907" s="66"/>
    </row>
    <row r="908" spans="28:33" ht="21.75" customHeight="1">
      <c r="AB908" s="286"/>
      <c r="AC908" s="66"/>
      <c r="AD908" s="66"/>
      <c r="AE908" s="66"/>
      <c r="AF908" s="66"/>
      <c r="AG908" s="66"/>
    </row>
    <row r="909" spans="28:33" ht="21.75" customHeight="1">
      <c r="AB909" s="286"/>
      <c r="AC909" s="66"/>
      <c r="AD909" s="66"/>
      <c r="AE909" s="66"/>
      <c r="AF909" s="66"/>
      <c r="AG909" s="66"/>
    </row>
    <row r="910" spans="28:33" ht="21.75" customHeight="1">
      <c r="AB910" s="286"/>
      <c r="AC910" s="66"/>
      <c r="AD910" s="66"/>
      <c r="AE910" s="66"/>
      <c r="AF910" s="66"/>
      <c r="AG910" s="66"/>
    </row>
    <row r="911" spans="28:33" ht="21.75" customHeight="1">
      <c r="AB911" s="286"/>
      <c r="AC911" s="66"/>
      <c r="AD911" s="66"/>
      <c r="AE911" s="66"/>
      <c r="AF911" s="66"/>
      <c r="AG911" s="66"/>
    </row>
    <row r="912" spans="28:33" ht="21.75" customHeight="1">
      <c r="AB912" s="286"/>
      <c r="AC912" s="66"/>
      <c r="AD912" s="66"/>
      <c r="AE912" s="66"/>
      <c r="AF912" s="66"/>
      <c r="AG912" s="66"/>
    </row>
    <row r="913" spans="28:33" ht="21.75" customHeight="1">
      <c r="AB913" s="286"/>
      <c r="AC913" s="66"/>
      <c r="AD913" s="66"/>
      <c r="AE913" s="66"/>
      <c r="AF913" s="66"/>
      <c r="AG913" s="66"/>
    </row>
    <row r="914" spans="28:33" ht="21.75" customHeight="1">
      <c r="AB914" s="286"/>
      <c r="AC914" s="66"/>
      <c r="AD914" s="66"/>
      <c r="AE914" s="66"/>
      <c r="AF914" s="66"/>
      <c r="AG914" s="66"/>
    </row>
    <row r="915" spans="28:33" ht="21.75" customHeight="1">
      <c r="AB915" s="286"/>
      <c r="AC915" s="66"/>
      <c r="AD915" s="66"/>
      <c r="AE915" s="66"/>
      <c r="AF915" s="66"/>
      <c r="AG915" s="66"/>
    </row>
    <row r="916" spans="28:33" ht="21.75" customHeight="1">
      <c r="AB916" s="286"/>
      <c r="AC916" s="66"/>
      <c r="AD916" s="66"/>
      <c r="AE916" s="66"/>
      <c r="AF916" s="66"/>
      <c r="AG916" s="66"/>
    </row>
    <row r="917" spans="28:33" ht="21.75" customHeight="1">
      <c r="AB917" s="286"/>
      <c r="AC917" s="66"/>
      <c r="AD917" s="66"/>
      <c r="AE917" s="66"/>
      <c r="AF917" s="66"/>
      <c r="AG917" s="66"/>
    </row>
    <row r="918" spans="28:33" ht="21.75" customHeight="1">
      <c r="AB918" s="286"/>
      <c r="AC918" s="66"/>
      <c r="AD918" s="66"/>
      <c r="AE918" s="66"/>
      <c r="AF918" s="66"/>
      <c r="AG918" s="66"/>
    </row>
    <row r="919" spans="28:33" ht="21.75" customHeight="1">
      <c r="AB919" s="286"/>
      <c r="AC919" s="66"/>
      <c r="AD919" s="66"/>
      <c r="AE919" s="66"/>
      <c r="AF919" s="66"/>
      <c r="AG919" s="66"/>
    </row>
    <row r="920" spans="28:33" ht="21.75" customHeight="1">
      <c r="AB920" s="286"/>
      <c r="AC920" s="66"/>
      <c r="AD920" s="66"/>
      <c r="AE920" s="66"/>
      <c r="AF920" s="66"/>
      <c r="AG920" s="66"/>
    </row>
    <row r="921" spans="28:33" ht="21.75" customHeight="1">
      <c r="AB921" s="286"/>
      <c r="AC921" s="66"/>
      <c r="AD921" s="66"/>
      <c r="AE921" s="66"/>
      <c r="AF921" s="66"/>
      <c r="AG921" s="66"/>
    </row>
    <row r="922" spans="28:33" ht="21.75" customHeight="1">
      <c r="AB922" s="286"/>
      <c r="AC922" s="66"/>
      <c r="AD922" s="66"/>
      <c r="AE922" s="66"/>
      <c r="AF922" s="66"/>
      <c r="AG922" s="66"/>
    </row>
    <row r="923" spans="28:33" ht="21.75" customHeight="1">
      <c r="AB923" s="286"/>
      <c r="AC923" s="66"/>
      <c r="AD923" s="66"/>
      <c r="AE923" s="66"/>
      <c r="AF923" s="66"/>
      <c r="AG923" s="66"/>
    </row>
    <row r="924" spans="28:33" ht="21.75" customHeight="1">
      <c r="AB924" s="286"/>
      <c r="AC924" s="66"/>
      <c r="AD924" s="66"/>
      <c r="AE924" s="66"/>
      <c r="AF924" s="66"/>
      <c r="AG924" s="66"/>
    </row>
    <row r="925" spans="28:33" ht="21.75" customHeight="1">
      <c r="AB925" s="286"/>
      <c r="AC925" s="66"/>
      <c r="AD925" s="66"/>
      <c r="AE925" s="66"/>
      <c r="AF925" s="66"/>
      <c r="AG925" s="66"/>
    </row>
    <row r="926" spans="28:33" ht="21.75" customHeight="1">
      <c r="AB926" s="286"/>
      <c r="AC926" s="66"/>
      <c r="AD926" s="66"/>
      <c r="AE926" s="66"/>
      <c r="AF926" s="66"/>
      <c r="AG926" s="66"/>
    </row>
    <row r="927" spans="28:33" ht="21.75" customHeight="1">
      <c r="AB927" s="286"/>
      <c r="AC927" s="66"/>
      <c r="AD927" s="66"/>
      <c r="AE927" s="66"/>
      <c r="AF927" s="66"/>
      <c r="AG927" s="66"/>
    </row>
    <row r="928" spans="28:33" ht="21.75" customHeight="1">
      <c r="AB928" s="286"/>
      <c r="AC928" s="66"/>
      <c r="AD928" s="66"/>
      <c r="AE928" s="66"/>
      <c r="AF928" s="66"/>
      <c r="AG928" s="66"/>
    </row>
    <row r="929" spans="28:33" ht="21.75" customHeight="1">
      <c r="AB929" s="286"/>
      <c r="AC929" s="66"/>
      <c r="AD929" s="66"/>
      <c r="AE929" s="66"/>
      <c r="AF929" s="66"/>
      <c r="AG929" s="66"/>
    </row>
    <row r="930" spans="28:33" ht="21.75" customHeight="1">
      <c r="AB930" s="286"/>
      <c r="AC930" s="66"/>
      <c r="AD930" s="66"/>
      <c r="AE930" s="66"/>
      <c r="AF930" s="66"/>
      <c r="AG930" s="66"/>
    </row>
    <row r="931" spans="28:33" ht="21.75" customHeight="1">
      <c r="AB931" s="286"/>
      <c r="AC931" s="66"/>
      <c r="AD931" s="66"/>
      <c r="AE931" s="66"/>
      <c r="AF931" s="66"/>
      <c r="AG931" s="66"/>
    </row>
    <row r="932" spans="28:33" ht="21.75" customHeight="1">
      <c r="AB932" s="286"/>
      <c r="AC932" s="66"/>
      <c r="AD932" s="66"/>
      <c r="AE932" s="66"/>
      <c r="AF932" s="66"/>
      <c r="AG932" s="66"/>
    </row>
    <row r="933" spans="28:33" ht="21.75" customHeight="1">
      <c r="AB933" s="286"/>
      <c r="AC933" s="66"/>
      <c r="AD933" s="66"/>
      <c r="AE933" s="66"/>
      <c r="AF933" s="66"/>
      <c r="AG933" s="66"/>
    </row>
    <row r="934" spans="28:33" ht="21.75" customHeight="1">
      <c r="AB934" s="286"/>
      <c r="AC934" s="66"/>
      <c r="AD934" s="66"/>
      <c r="AE934" s="66"/>
      <c r="AF934" s="66"/>
      <c r="AG934" s="66"/>
    </row>
    <row r="935" spans="28:33" ht="21.75" customHeight="1">
      <c r="AB935" s="286"/>
      <c r="AC935" s="66"/>
      <c r="AD935" s="66"/>
      <c r="AE935" s="66"/>
      <c r="AF935" s="66"/>
      <c r="AG935" s="66"/>
    </row>
    <row r="936" spans="28:33" ht="21.75" customHeight="1">
      <c r="AB936" s="286"/>
      <c r="AC936" s="66"/>
      <c r="AD936" s="66"/>
      <c r="AE936" s="66"/>
      <c r="AF936" s="66"/>
      <c r="AG936" s="66"/>
    </row>
    <row r="937" spans="28:33" ht="21.75" customHeight="1">
      <c r="AB937" s="286"/>
      <c r="AC937" s="66"/>
      <c r="AD937" s="66"/>
      <c r="AE937" s="66"/>
      <c r="AF937" s="66"/>
      <c r="AG937" s="66"/>
    </row>
    <row r="938" spans="28:33" ht="21.75" customHeight="1">
      <c r="AB938" s="286"/>
      <c r="AC938" s="66"/>
      <c r="AD938" s="66"/>
      <c r="AE938" s="66"/>
      <c r="AF938" s="66"/>
      <c r="AG938" s="66"/>
    </row>
    <row r="939" spans="28:33" ht="21.75" customHeight="1">
      <c r="AB939" s="286"/>
      <c r="AC939" s="66"/>
      <c r="AD939" s="66"/>
      <c r="AE939" s="66"/>
      <c r="AF939" s="66"/>
      <c r="AG939" s="66"/>
    </row>
    <row r="940" spans="28:33" ht="21.75" customHeight="1">
      <c r="AB940" s="286"/>
      <c r="AC940" s="66"/>
      <c r="AD940" s="66"/>
      <c r="AE940" s="66"/>
      <c r="AF940" s="66"/>
      <c r="AG940" s="66"/>
    </row>
    <row r="941" spans="28:33" ht="21.75" customHeight="1">
      <c r="AB941" s="286"/>
      <c r="AC941" s="66"/>
      <c r="AD941" s="66"/>
      <c r="AE941" s="66"/>
      <c r="AF941" s="66"/>
      <c r="AG941" s="66"/>
    </row>
    <row r="942" spans="28:33" ht="21.75" customHeight="1">
      <c r="AB942" s="286"/>
      <c r="AC942" s="66"/>
      <c r="AD942" s="66"/>
      <c r="AE942" s="66"/>
      <c r="AF942" s="66"/>
      <c r="AG942" s="66"/>
    </row>
    <row r="943" spans="28:33" ht="21.75" customHeight="1">
      <c r="AB943" s="286"/>
      <c r="AC943" s="66"/>
      <c r="AD943" s="66"/>
      <c r="AE943" s="66"/>
      <c r="AF943" s="66"/>
      <c r="AG943" s="66"/>
    </row>
    <row r="944" spans="28:33" ht="21.75" customHeight="1">
      <c r="AB944" s="286"/>
      <c r="AC944" s="66"/>
      <c r="AD944" s="66"/>
      <c r="AE944" s="66"/>
      <c r="AF944" s="66"/>
      <c r="AG944" s="66"/>
    </row>
    <row r="945" spans="28:33" ht="21.75" customHeight="1">
      <c r="AB945" s="286"/>
      <c r="AC945" s="66"/>
      <c r="AD945" s="66"/>
      <c r="AE945" s="66"/>
      <c r="AF945" s="66"/>
      <c r="AG945" s="66"/>
    </row>
    <row r="946" spans="28:33" ht="21.75" customHeight="1">
      <c r="AB946" s="286"/>
      <c r="AC946" s="66"/>
      <c r="AD946" s="66"/>
      <c r="AE946" s="66"/>
      <c r="AF946" s="66"/>
      <c r="AG946" s="66"/>
    </row>
    <row r="947" spans="28:33" ht="21.75" customHeight="1">
      <c r="AB947" s="286"/>
      <c r="AC947" s="66"/>
      <c r="AD947" s="66"/>
      <c r="AE947" s="66"/>
      <c r="AF947" s="66"/>
      <c r="AG947" s="66"/>
    </row>
    <row r="948" spans="28:33" ht="21.75" customHeight="1">
      <c r="AB948" s="286"/>
      <c r="AC948" s="66"/>
      <c r="AD948" s="66"/>
      <c r="AE948" s="66"/>
      <c r="AF948" s="66"/>
      <c r="AG948" s="66"/>
    </row>
    <row r="949" spans="28:33" ht="21.75" customHeight="1">
      <c r="AB949" s="286"/>
      <c r="AC949" s="66"/>
      <c r="AD949" s="66"/>
      <c r="AE949" s="66"/>
      <c r="AF949" s="66"/>
      <c r="AG949" s="66"/>
    </row>
    <row r="950" spans="28:33" ht="21.75" customHeight="1">
      <c r="AB950" s="286"/>
      <c r="AC950" s="66"/>
      <c r="AD950" s="66"/>
      <c r="AE950" s="66"/>
      <c r="AF950" s="66"/>
      <c r="AG950" s="66"/>
    </row>
    <row r="951" spans="28:33" ht="21.75" customHeight="1">
      <c r="AB951" s="286"/>
      <c r="AC951" s="66"/>
      <c r="AD951" s="66"/>
      <c r="AE951" s="66"/>
      <c r="AF951" s="66"/>
      <c r="AG951" s="66"/>
    </row>
    <row r="952" spans="28:33" ht="21.75" customHeight="1">
      <c r="AB952" s="286"/>
      <c r="AC952" s="66"/>
      <c r="AD952" s="66"/>
      <c r="AE952" s="66"/>
      <c r="AF952" s="66"/>
      <c r="AG952" s="66"/>
    </row>
    <row r="953" spans="28:33" ht="21.75" customHeight="1">
      <c r="AB953" s="286"/>
      <c r="AC953" s="66"/>
      <c r="AD953" s="66"/>
      <c r="AE953" s="66"/>
      <c r="AF953" s="66"/>
      <c r="AG953" s="66"/>
    </row>
    <row r="954" spans="28:33" ht="21.75" customHeight="1">
      <c r="AB954" s="286"/>
      <c r="AC954" s="66"/>
      <c r="AD954" s="66"/>
      <c r="AE954" s="66"/>
      <c r="AF954" s="66"/>
      <c r="AG954" s="66"/>
    </row>
    <row r="955" spans="28:33" ht="21.75" customHeight="1">
      <c r="AB955" s="286"/>
      <c r="AC955" s="66"/>
      <c r="AD955" s="66"/>
      <c r="AE955" s="66"/>
      <c r="AF955" s="66"/>
      <c r="AG955" s="66"/>
    </row>
    <row r="956" spans="28:33" ht="21.75" customHeight="1">
      <c r="AB956" s="286"/>
      <c r="AC956" s="66"/>
      <c r="AD956" s="66"/>
      <c r="AE956" s="66"/>
      <c r="AF956" s="66"/>
      <c r="AG956" s="66"/>
    </row>
    <row r="957" spans="28:33" ht="21.75" customHeight="1">
      <c r="AB957" s="286"/>
      <c r="AC957" s="66"/>
      <c r="AD957" s="66"/>
      <c r="AE957" s="66"/>
      <c r="AF957" s="66"/>
      <c r="AG957" s="66"/>
    </row>
    <row r="958" spans="28:33" ht="21.75" customHeight="1">
      <c r="AB958" s="286"/>
      <c r="AC958" s="66"/>
      <c r="AD958" s="66"/>
      <c r="AE958" s="66"/>
      <c r="AF958" s="66"/>
      <c r="AG958" s="66"/>
    </row>
    <row r="959" spans="28:33" ht="21.75" customHeight="1">
      <c r="AB959" s="286"/>
      <c r="AC959" s="66"/>
      <c r="AD959" s="66"/>
      <c r="AE959" s="66"/>
      <c r="AF959" s="66"/>
      <c r="AG959" s="66"/>
    </row>
    <row r="960" spans="28:33" ht="21.75" customHeight="1">
      <c r="AB960" s="286"/>
      <c r="AC960" s="66"/>
      <c r="AD960" s="66"/>
      <c r="AE960" s="66"/>
      <c r="AF960" s="66"/>
      <c r="AG960" s="66"/>
    </row>
    <row r="961" spans="28:33" ht="21.75" customHeight="1">
      <c r="AB961" s="286"/>
      <c r="AC961" s="66"/>
      <c r="AD961" s="66"/>
      <c r="AE961" s="66"/>
      <c r="AF961" s="66"/>
      <c r="AG961" s="66"/>
    </row>
    <row r="962" spans="28:33" ht="21.75" customHeight="1">
      <c r="AB962" s="286"/>
      <c r="AC962" s="66"/>
      <c r="AD962" s="66"/>
      <c r="AE962" s="66"/>
      <c r="AF962" s="66"/>
      <c r="AG962" s="66"/>
    </row>
    <row r="963" spans="28:33" ht="21.75" customHeight="1">
      <c r="AB963" s="286"/>
      <c r="AC963" s="66"/>
      <c r="AD963" s="66"/>
      <c r="AE963" s="66"/>
      <c r="AF963" s="66"/>
      <c r="AG963" s="66"/>
    </row>
    <row r="964" spans="28:33" ht="21.75" customHeight="1">
      <c r="AB964" s="286"/>
      <c r="AC964" s="66"/>
      <c r="AD964" s="66"/>
      <c r="AE964" s="66"/>
      <c r="AF964" s="66"/>
      <c r="AG964" s="66"/>
    </row>
    <row r="965" spans="28:33" ht="21.75" customHeight="1">
      <c r="AB965" s="286"/>
      <c r="AC965" s="66"/>
      <c r="AD965" s="66"/>
      <c r="AE965" s="66"/>
      <c r="AF965" s="66"/>
      <c r="AG965" s="66"/>
    </row>
    <row r="966" spans="28:33" ht="21.75" customHeight="1">
      <c r="AB966" s="286"/>
      <c r="AC966" s="66"/>
      <c r="AD966" s="66"/>
      <c r="AE966" s="66"/>
      <c r="AF966" s="66"/>
      <c r="AG966" s="66"/>
    </row>
    <row r="967" spans="28:33" ht="21.75" customHeight="1">
      <c r="AB967" s="286"/>
      <c r="AC967" s="66"/>
      <c r="AD967" s="66"/>
      <c r="AE967" s="66"/>
      <c r="AF967" s="66"/>
      <c r="AG967" s="66"/>
    </row>
    <row r="968" spans="28:33" ht="21.75" customHeight="1">
      <c r="AB968" s="286"/>
      <c r="AC968" s="66"/>
      <c r="AD968" s="66"/>
      <c r="AE968" s="66"/>
      <c r="AF968" s="66"/>
      <c r="AG968" s="66"/>
    </row>
    <row r="969" spans="28:33" ht="21.75" customHeight="1">
      <c r="AB969" s="286"/>
      <c r="AC969" s="66"/>
      <c r="AD969" s="66"/>
      <c r="AE969" s="66"/>
      <c r="AF969" s="66"/>
      <c r="AG969" s="66"/>
    </row>
    <row r="970" spans="28:33" ht="21.75" customHeight="1">
      <c r="AB970" s="286"/>
      <c r="AC970" s="66"/>
      <c r="AD970" s="66"/>
      <c r="AE970" s="66"/>
      <c r="AF970" s="66"/>
      <c r="AG970" s="66"/>
    </row>
    <row r="971" spans="28:33" ht="21.75" customHeight="1">
      <c r="AB971" s="286"/>
      <c r="AC971" s="66"/>
      <c r="AD971" s="66"/>
      <c r="AE971" s="66"/>
      <c r="AF971" s="66"/>
      <c r="AG971" s="66"/>
    </row>
    <row r="972" spans="28:33" ht="21.75" customHeight="1">
      <c r="AB972" s="286"/>
      <c r="AC972" s="66"/>
      <c r="AD972" s="66"/>
      <c r="AE972" s="66"/>
      <c r="AF972" s="66"/>
      <c r="AG972" s="66"/>
    </row>
    <row r="973" spans="28:33" ht="21.75" customHeight="1">
      <c r="AB973" s="286"/>
      <c r="AC973" s="66"/>
      <c r="AD973" s="66"/>
      <c r="AE973" s="66"/>
      <c r="AF973" s="66"/>
      <c r="AG973" s="66"/>
    </row>
    <row r="974" spans="28:33" ht="21.75" customHeight="1">
      <c r="AB974" s="286"/>
      <c r="AC974" s="66"/>
      <c r="AD974" s="66"/>
      <c r="AE974" s="66"/>
      <c r="AF974" s="66"/>
      <c r="AG974" s="66"/>
    </row>
    <row r="975" spans="28:33" ht="21.75" customHeight="1">
      <c r="AB975" s="286"/>
      <c r="AC975" s="66"/>
      <c r="AD975" s="66"/>
      <c r="AE975" s="66"/>
      <c r="AF975" s="66"/>
      <c r="AG975" s="66"/>
    </row>
    <row r="976" spans="28:33" ht="21.75" customHeight="1">
      <c r="AB976" s="286"/>
      <c r="AC976" s="66"/>
      <c r="AD976" s="66"/>
      <c r="AE976" s="66"/>
      <c r="AF976" s="66"/>
      <c r="AG976" s="66"/>
    </row>
    <row r="977" spans="28:33" ht="21.75" customHeight="1">
      <c r="AB977" s="286"/>
      <c r="AC977" s="66"/>
      <c r="AD977" s="66"/>
      <c r="AE977" s="66"/>
      <c r="AF977" s="66"/>
      <c r="AG977" s="66"/>
    </row>
    <row r="978" spans="28:33" ht="21.75" customHeight="1">
      <c r="AB978" s="286"/>
      <c r="AC978" s="66"/>
      <c r="AD978" s="66"/>
      <c r="AE978" s="66"/>
      <c r="AF978" s="66"/>
      <c r="AG978" s="66"/>
    </row>
    <row r="979" spans="28:33" ht="21.75" customHeight="1">
      <c r="AB979" s="286"/>
      <c r="AC979" s="66"/>
      <c r="AD979" s="66"/>
      <c r="AE979" s="66"/>
      <c r="AF979" s="66"/>
      <c r="AG979" s="66"/>
    </row>
    <row r="980" spans="28:33" ht="21.75" customHeight="1">
      <c r="AB980" s="286"/>
      <c r="AC980" s="66"/>
      <c r="AD980" s="66"/>
      <c r="AE980" s="66"/>
      <c r="AF980" s="66"/>
      <c r="AG980" s="66"/>
    </row>
    <row r="981" spans="28:33" ht="21.75" customHeight="1">
      <c r="AB981" s="286"/>
      <c r="AC981" s="66"/>
      <c r="AD981" s="66"/>
      <c r="AE981" s="66"/>
      <c r="AF981" s="66"/>
      <c r="AG981" s="66"/>
    </row>
    <row r="982" spans="28:33" ht="21.75" customHeight="1">
      <c r="AB982" s="286"/>
      <c r="AC982" s="66"/>
      <c r="AD982" s="66"/>
      <c r="AE982" s="66"/>
      <c r="AF982" s="66"/>
      <c r="AG982" s="66"/>
    </row>
    <row r="983" spans="28:33" ht="21.75" customHeight="1">
      <c r="AB983" s="286"/>
      <c r="AC983" s="66"/>
      <c r="AD983" s="66"/>
      <c r="AE983" s="66"/>
      <c r="AF983" s="66"/>
      <c r="AG983" s="66"/>
    </row>
    <row r="984" spans="28:33" ht="21.75" customHeight="1">
      <c r="AB984" s="286"/>
      <c r="AC984" s="66"/>
      <c r="AD984" s="66"/>
      <c r="AE984" s="66"/>
      <c r="AF984" s="66"/>
      <c r="AG984" s="66"/>
    </row>
    <row r="985" spans="28:33" ht="21.75" customHeight="1">
      <c r="AB985" s="286"/>
      <c r="AC985" s="66"/>
      <c r="AD985" s="66"/>
      <c r="AE985" s="66"/>
      <c r="AF985" s="66"/>
      <c r="AG985" s="66"/>
    </row>
    <row r="986" spans="28:33" ht="21.75" customHeight="1">
      <c r="AB986" s="286"/>
      <c r="AC986" s="66"/>
      <c r="AD986" s="66"/>
      <c r="AE986" s="66"/>
      <c r="AF986" s="66"/>
      <c r="AG986" s="66"/>
    </row>
    <row r="987" spans="28:33" ht="21.75" customHeight="1">
      <c r="AB987" s="286"/>
      <c r="AC987" s="66"/>
      <c r="AD987" s="66"/>
      <c r="AE987" s="66"/>
      <c r="AF987" s="66"/>
      <c r="AG987" s="66"/>
    </row>
    <row r="988" spans="28:33" ht="21.75" customHeight="1">
      <c r="AB988" s="286"/>
      <c r="AC988" s="66"/>
      <c r="AD988" s="66"/>
      <c r="AE988" s="66"/>
      <c r="AF988" s="66"/>
      <c r="AG988" s="66"/>
    </row>
    <row r="989" spans="28:33" ht="21.75" customHeight="1">
      <c r="AB989" s="286"/>
      <c r="AC989" s="66"/>
      <c r="AD989" s="66"/>
      <c r="AE989" s="66"/>
      <c r="AF989" s="66"/>
      <c r="AG989" s="66"/>
    </row>
    <row r="990" spans="28:33" ht="21.75" customHeight="1">
      <c r="AB990" s="286"/>
      <c r="AC990" s="66"/>
      <c r="AD990" s="66"/>
      <c r="AE990" s="66"/>
      <c r="AF990" s="66"/>
      <c r="AG990" s="66"/>
    </row>
    <row r="991" spans="28:33" ht="21.75" customHeight="1">
      <c r="AB991" s="286"/>
      <c r="AC991" s="66"/>
      <c r="AD991" s="66"/>
      <c r="AE991" s="66"/>
      <c r="AF991" s="66"/>
      <c r="AG991" s="66"/>
    </row>
    <row r="992" spans="28:33" ht="21.75" customHeight="1">
      <c r="AB992" s="286"/>
      <c r="AC992" s="66"/>
      <c r="AD992" s="66"/>
      <c r="AE992" s="66"/>
      <c r="AF992" s="66"/>
      <c r="AG992" s="66"/>
    </row>
    <row r="993" spans="28:33" ht="21.75" customHeight="1">
      <c r="AB993" s="286"/>
      <c r="AC993" s="66"/>
      <c r="AD993" s="66"/>
      <c r="AE993" s="66"/>
      <c r="AF993" s="66"/>
      <c r="AG993" s="66"/>
    </row>
    <row r="994" spans="28:33" ht="21.75" customHeight="1">
      <c r="AB994" s="286"/>
      <c r="AC994" s="66"/>
      <c r="AD994" s="66"/>
      <c r="AE994" s="66"/>
      <c r="AF994" s="66"/>
      <c r="AG994" s="66"/>
    </row>
    <row r="995" spans="28:33" ht="21.75" customHeight="1">
      <c r="AB995" s="286"/>
      <c r="AC995" s="66"/>
      <c r="AD995" s="66"/>
      <c r="AE995" s="66"/>
      <c r="AF995" s="66"/>
      <c r="AG995" s="66"/>
    </row>
    <row r="996" spans="28:33" ht="21.75" customHeight="1">
      <c r="AB996" s="286"/>
      <c r="AC996" s="66"/>
      <c r="AD996" s="66"/>
      <c r="AE996" s="66"/>
      <c r="AF996" s="66"/>
      <c r="AG996" s="66"/>
    </row>
    <row r="997" spans="28:33" ht="21.75" customHeight="1">
      <c r="AB997" s="286"/>
      <c r="AC997" s="66"/>
      <c r="AD997" s="66"/>
      <c r="AE997" s="66"/>
      <c r="AF997" s="66"/>
      <c r="AG997" s="66"/>
    </row>
    <row r="998" spans="28:33" ht="21.75" customHeight="1">
      <c r="AB998" s="286"/>
      <c r="AC998" s="66"/>
      <c r="AD998" s="66"/>
      <c r="AE998" s="66"/>
      <c r="AF998" s="66"/>
      <c r="AG998" s="66"/>
    </row>
    <row r="999" spans="28:33" ht="21.75" customHeight="1">
      <c r="AB999" s="286"/>
      <c r="AC999" s="66"/>
      <c r="AD999" s="66"/>
      <c r="AE999" s="66"/>
      <c r="AF999" s="66"/>
      <c r="AG999" s="66"/>
    </row>
    <row r="1000" spans="28:33" ht="21.75" customHeight="1">
      <c r="AB1000" s="286"/>
      <c r="AC1000" s="66"/>
      <c r="AD1000" s="66"/>
      <c r="AE1000" s="66"/>
      <c r="AF1000" s="66"/>
      <c r="AG1000" s="66"/>
    </row>
    <row r="1001" spans="28:33" ht="21.75" customHeight="1">
      <c r="AB1001" s="286"/>
      <c r="AC1001" s="66"/>
      <c r="AD1001" s="66"/>
      <c r="AE1001" s="66"/>
      <c r="AF1001" s="66"/>
      <c r="AG1001" s="66"/>
    </row>
    <row r="1002" spans="28:33" ht="21.75" customHeight="1">
      <c r="AB1002" s="286"/>
      <c r="AC1002" s="66"/>
      <c r="AD1002" s="66"/>
      <c r="AE1002" s="66"/>
      <c r="AF1002" s="66"/>
      <c r="AG1002" s="66"/>
    </row>
    <row r="1003" spans="28:33" ht="21.75" customHeight="1">
      <c r="AB1003" s="286"/>
      <c r="AC1003" s="66"/>
      <c r="AD1003" s="66"/>
      <c r="AE1003" s="66"/>
      <c r="AF1003" s="66"/>
      <c r="AG1003" s="66"/>
    </row>
    <row r="1004" spans="28:33" ht="21.75" customHeight="1">
      <c r="AB1004" s="286"/>
      <c r="AC1004" s="66"/>
      <c r="AD1004" s="66"/>
      <c r="AE1004" s="66"/>
      <c r="AF1004" s="66"/>
      <c r="AG1004" s="66"/>
    </row>
    <row r="1005" spans="28:33" ht="21.75" customHeight="1">
      <c r="AB1005" s="286"/>
      <c r="AC1005" s="66"/>
      <c r="AD1005" s="66"/>
      <c r="AE1005" s="66"/>
      <c r="AF1005" s="66"/>
      <c r="AG1005" s="66"/>
    </row>
    <row r="1006" spans="28:33" ht="21.75" customHeight="1">
      <c r="AB1006" s="286"/>
      <c r="AC1006" s="66"/>
      <c r="AD1006" s="66"/>
      <c r="AE1006" s="66"/>
      <c r="AF1006" s="66"/>
      <c r="AG1006" s="66"/>
    </row>
    <row r="1007" spans="28:33" ht="21.75" customHeight="1">
      <c r="AB1007" s="286"/>
      <c r="AC1007" s="66"/>
      <c r="AD1007" s="66"/>
      <c r="AE1007" s="66"/>
      <c r="AF1007" s="66"/>
      <c r="AG1007" s="66"/>
    </row>
    <row r="1008" spans="28:33" ht="21.75" customHeight="1">
      <c r="AB1008" s="286"/>
      <c r="AC1008" s="66"/>
      <c r="AD1008" s="66"/>
      <c r="AE1008" s="66"/>
      <c r="AF1008" s="66"/>
      <c r="AG1008" s="66"/>
    </row>
    <row r="1009" spans="28:33" ht="21.75" customHeight="1">
      <c r="AB1009" s="286"/>
      <c r="AC1009" s="66"/>
      <c r="AD1009" s="66"/>
      <c r="AE1009" s="66"/>
      <c r="AF1009" s="66"/>
      <c r="AG1009" s="66"/>
    </row>
    <row r="1010" spans="28:33" ht="21.75" customHeight="1">
      <c r="AB1010" s="286"/>
      <c r="AC1010" s="66"/>
      <c r="AD1010" s="66"/>
      <c r="AE1010" s="66"/>
      <c r="AF1010" s="66"/>
      <c r="AG1010" s="66"/>
    </row>
    <row r="1011" spans="28:33" ht="21.75" customHeight="1">
      <c r="AB1011" s="286"/>
      <c r="AC1011" s="66"/>
      <c r="AD1011" s="66"/>
      <c r="AE1011" s="66"/>
      <c r="AF1011" s="66"/>
      <c r="AG1011" s="66"/>
    </row>
  </sheetData>
  <conditionalFormatting sqref="AG2:AG250">
    <cfRule type="expression" dxfId="0" priority="1">
      <formula>AG2&gt;AD2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00"/>
  <sheetViews>
    <sheetView workbookViewId="0"/>
  </sheetViews>
  <sheetFormatPr defaultColWidth="12.6640625" defaultRowHeight="15.75" customHeight="1"/>
  <cols>
    <col min="1" max="1" width="27" customWidth="1"/>
    <col min="2" max="2" width="6.21875" customWidth="1"/>
    <col min="3" max="3" width="7.77734375" customWidth="1"/>
    <col min="4" max="4" width="10" customWidth="1"/>
  </cols>
  <sheetData>
    <row r="1" spans="1:4">
      <c r="A1" s="17" t="s">
        <v>2275</v>
      </c>
      <c r="B1" s="17" t="s">
        <v>2511</v>
      </c>
      <c r="C1" s="17" t="s">
        <v>2512</v>
      </c>
      <c r="D1" s="17" t="s">
        <v>2513</v>
      </c>
    </row>
    <row r="2" spans="1:4" ht="15.75" customHeight="1">
      <c r="A2" s="33" t="s">
        <v>1359</v>
      </c>
      <c r="B2" s="17">
        <v>1</v>
      </c>
      <c r="C2" s="17">
        <v>0</v>
      </c>
      <c r="D2" s="17">
        <f t="shared" ref="D2:D100" si="0">B2-C2</f>
        <v>1</v>
      </c>
    </row>
    <row r="3" spans="1:4">
      <c r="A3" s="17" t="s">
        <v>1360</v>
      </c>
      <c r="B3" s="17">
        <v>1</v>
      </c>
      <c r="C3" s="17">
        <v>0</v>
      </c>
      <c r="D3" s="17">
        <f t="shared" si="0"/>
        <v>1</v>
      </c>
    </row>
    <row r="4" spans="1:4">
      <c r="A4" s="17" t="s">
        <v>1402</v>
      </c>
      <c r="B4" s="17">
        <v>1</v>
      </c>
      <c r="C4" s="17">
        <v>0</v>
      </c>
      <c r="D4" s="17">
        <f t="shared" si="0"/>
        <v>1</v>
      </c>
    </row>
    <row r="5" spans="1:4">
      <c r="A5" s="17" t="s">
        <v>66</v>
      </c>
      <c r="B5" s="17">
        <v>2</v>
      </c>
      <c r="C5" s="17">
        <v>0</v>
      </c>
      <c r="D5" s="17">
        <f t="shared" si="0"/>
        <v>2</v>
      </c>
    </row>
    <row r="6" spans="1:4">
      <c r="A6" s="17" t="s">
        <v>261</v>
      </c>
      <c r="B6" s="17">
        <v>1</v>
      </c>
      <c r="C6" s="17">
        <v>0</v>
      </c>
      <c r="D6" s="17">
        <f t="shared" si="0"/>
        <v>1</v>
      </c>
    </row>
    <row r="7" spans="1:4">
      <c r="A7" s="17" t="s">
        <v>105</v>
      </c>
      <c r="B7" s="17">
        <v>1</v>
      </c>
      <c r="C7" s="17">
        <v>0</v>
      </c>
      <c r="D7" s="17">
        <f t="shared" si="0"/>
        <v>1</v>
      </c>
    </row>
    <row r="8" spans="1:4">
      <c r="A8" s="17" t="s">
        <v>486</v>
      </c>
      <c r="B8" s="17">
        <v>1</v>
      </c>
      <c r="C8" s="17">
        <v>0</v>
      </c>
      <c r="D8" s="17">
        <f t="shared" si="0"/>
        <v>1</v>
      </c>
    </row>
    <row r="9" spans="1:4">
      <c r="A9" s="17" t="s">
        <v>1770</v>
      </c>
      <c r="B9" s="17">
        <v>2</v>
      </c>
      <c r="C9" s="17">
        <v>0</v>
      </c>
      <c r="D9" s="17">
        <f t="shared" si="0"/>
        <v>2</v>
      </c>
    </row>
    <row r="10" spans="1:4">
      <c r="A10" s="17" t="s">
        <v>1657</v>
      </c>
      <c r="B10" s="17">
        <v>2</v>
      </c>
      <c r="C10" s="17">
        <v>0</v>
      </c>
      <c r="D10" s="17">
        <f t="shared" si="0"/>
        <v>2</v>
      </c>
    </row>
    <row r="11" spans="1:4">
      <c r="A11" s="17" t="s">
        <v>217</v>
      </c>
      <c r="B11" s="17">
        <v>1</v>
      </c>
      <c r="C11" s="17">
        <v>0</v>
      </c>
      <c r="D11" s="17">
        <f t="shared" si="0"/>
        <v>1</v>
      </c>
    </row>
    <row r="12" spans="1:4">
      <c r="A12" s="17" t="s">
        <v>1776</v>
      </c>
      <c r="B12" s="17">
        <v>1</v>
      </c>
      <c r="C12" s="17">
        <v>0</v>
      </c>
      <c r="D12" s="17">
        <f t="shared" si="0"/>
        <v>1</v>
      </c>
    </row>
    <row r="13" spans="1:4">
      <c r="A13" s="17" t="s">
        <v>1578</v>
      </c>
      <c r="B13" s="17">
        <v>4</v>
      </c>
      <c r="C13" s="17">
        <v>0</v>
      </c>
      <c r="D13" s="17">
        <f t="shared" si="0"/>
        <v>4</v>
      </c>
    </row>
    <row r="14" spans="1:4">
      <c r="A14" s="17" t="s">
        <v>126</v>
      </c>
      <c r="B14" s="17">
        <v>2</v>
      </c>
      <c r="C14" s="17">
        <v>0</v>
      </c>
      <c r="D14" s="17">
        <f t="shared" si="0"/>
        <v>2</v>
      </c>
    </row>
    <row r="15" spans="1:4">
      <c r="A15" s="17" t="s">
        <v>697</v>
      </c>
      <c r="B15" s="17">
        <v>1</v>
      </c>
      <c r="C15" s="17">
        <v>0</v>
      </c>
      <c r="D15" s="17">
        <f t="shared" si="0"/>
        <v>1</v>
      </c>
    </row>
    <row r="16" spans="1:4">
      <c r="A16" s="17" t="s">
        <v>1684</v>
      </c>
      <c r="B16" s="17">
        <v>1</v>
      </c>
      <c r="C16" s="17">
        <v>0</v>
      </c>
      <c r="D16" s="17">
        <f t="shared" si="0"/>
        <v>1</v>
      </c>
    </row>
    <row r="17" spans="1:4">
      <c r="A17" s="17" t="s">
        <v>509</v>
      </c>
      <c r="B17" s="17">
        <v>1</v>
      </c>
      <c r="C17" s="17">
        <v>0</v>
      </c>
      <c r="D17" s="17">
        <f t="shared" si="0"/>
        <v>1</v>
      </c>
    </row>
    <row r="18" spans="1:4">
      <c r="A18" s="17" t="s">
        <v>992</v>
      </c>
      <c r="B18" s="17">
        <v>1</v>
      </c>
      <c r="C18" s="17">
        <v>0</v>
      </c>
      <c r="D18" s="17">
        <f t="shared" si="0"/>
        <v>1</v>
      </c>
    </row>
    <row r="19" spans="1:4">
      <c r="A19" s="17" t="s">
        <v>807</v>
      </c>
      <c r="B19" s="17">
        <v>1</v>
      </c>
      <c r="C19" s="17">
        <v>0</v>
      </c>
      <c r="D19" s="17">
        <f t="shared" si="0"/>
        <v>1</v>
      </c>
    </row>
    <row r="20" spans="1:4">
      <c r="A20" s="17" t="s">
        <v>221</v>
      </c>
      <c r="B20" s="17">
        <v>1</v>
      </c>
      <c r="C20" s="17">
        <v>0</v>
      </c>
      <c r="D20" s="17">
        <f t="shared" si="0"/>
        <v>1</v>
      </c>
    </row>
    <row r="21" spans="1:4">
      <c r="A21" s="17" t="s">
        <v>1550</v>
      </c>
      <c r="B21" s="17">
        <v>1</v>
      </c>
      <c r="C21" s="17">
        <v>0</v>
      </c>
      <c r="D21" s="17">
        <f t="shared" si="0"/>
        <v>1</v>
      </c>
    </row>
    <row r="22" spans="1:4">
      <c r="A22" s="17" t="s">
        <v>140</v>
      </c>
      <c r="B22" s="17">
        <v>3</v>
      </c>
      <c r="C22" s="17">
        <v>0</v>
      </c>
      <c r="D22" s="17">
        <f t="shared" si="0"/>
        <v>3</v>
      </c>
    </row>
    <row r="23" spans="1:4">
      <c r="A23" s="17" t="s">
        <v>1557</v>
      </c>
      <c r="B23" s="17">
        <v>2</v>
      </c>
      <c r="C23" s="17">
        <v>0</v>
      </c>
      <c r="D23" s="17">
        <f t="shared" si="0"/>
        <v>2</v>
      </c>
    </row>
    <row r="24" spans="1:4">
      <c r="A24" s="17" t="s">
        <v>405</v>
      </c>
      <c r="B24" s="17">
        <v>1</v>
      </c>
      <c r="C24" s="17">
        <v>0</v>
      </c>
      <c r="D24" s="17">
        <f t="shared" si="0"/>
        <v>1</v>
      </c>
    </row>
    <row r="25" spans="1:4">
      <c r="A25" s="17" t="s">
        <v>80</v>
      </c>
      <c r="B25" s="17">
        <v>2</v>
      </c>
      <c r="C25" s="17">
        <v>0</v>
      </c>
      <c r="D25" s="17">
        <f t="shared" si="0"/>
        <v>2</v>
      </c>
    </row>
    <row r="26" spans="1:4">
      <c r="A26" s="17" t="s">
        <v>1140</v>
      </c>
      <c r="B26" s="17">
        <v>1</v>
      </c>
      <c r="C26" s="17">
        <v>0</v>
      </c>
      <c r="D26" s="17">
        <f t="shared" si="0"/>
        <v>1</v>
      </c>
    </row>
    <row r="27" spans="1:4">
      <c r="A27" s="17" t="s">
        <v>125</v>
      </c>
      <c r="B27" s="17">
        <v>3</v>
      </c>
      <c r="C27" s="17">
        <v>0</v>
      </c>
      <c r="D27" s="17">
        <f t="shared" si="0"/>
        <v>3</v>
      </c>
    </row>
    <row r="28" spans="1:4" ht="13.2">
      <c r="A28" s="17" t="s">
        <v>1461</v>
      </c>
      <c r="B28" s="17">
        <v>2</v>
      </c>
      <c r="C28" s="17">
        <v>0</v>
      </c>
      <c r="D28" s="17">
        <f t="shared" si="0"/>
        <v>2</v>
      </c>
    </row>
    <row r="29" spans="1:4" ht="13.2">
      <c r="A29" s="17" t="s">
        <v>144</v>
      </c>
      <c r="B29" s="17">
        <v>1</v>
      </c>
      <c r="C29" s="17">
        <v>0</v>
      </c>
      <c r="D29" s="17">
        <f t="shared" si="0"/>
        <v>1</v>
      </c>
    </row>
    <row r="30" spans="1:4" ht="13.2">
      <c r="A30" s="17" t="s">
        <v>584</v>
      </c>
      <c r="B30" s="17">
        <v>2</v>
      </c>
      <c r="C30" s="17">
        <v>0</v>
      </c>
      <c r="D30" s="17">
        <f t="shared" si="0"/>
        <v>2</v>
      </c>
    </row>
    <row r="31" spans="1:4" ht="13.2">
      <c r="A31" s="17" t="s">
        <v>808</v>
      </c>
      <c r="B31" s="17">
        <v>1</v>
      </c>
      <c r="C31" s="17">
        <v>0</v>
      </c>
      <c r="D31" s="17">
        <f t="shared" si="0"/>
        <v>1</v>
      </c>
    </row>
    <row r="32" spans="1:4" ht="13.2">
      <c r="A32" s="17" t="s">
        <v>67</v>
      </c>
      <c r="B32" s="17">
        <v>2</v>
      </c>
      <c r="C32" s="17">
        <v>0</v>
      </c>
      <c r="D32" s="17">
        <f t="shared" si="0"/>
        <v>2</v>
      </c>
    </row>
    <row r="33" spans="1:4" ht="13.2">
      <c r="A33" s="17" t="s">
        <v>1583</v>
      </c>
      <c r="B33" s="17">
        <v>1</v>
      </c>
      <c r="C33" s="17">
        <v>0</v>
      </c>
      <c r="D33" s="17">
        <f t="shared" si="0"/>
        <v>1</v>
      </c>
    </row>
    <row r="34" spans="1:4" ht="13.2">
      <c r="A34" s="17" t="s">
        <v>1760</v>
      </c>
      <c r="B34" s="17">
        <v>2</v>
      </c>
      <c r="C34" s="17">
        <v>0</v>
      </c>
      <c r="D34" s="17">
        <f t="shared" si="0"/>
        <v>2</v>
      </c>
    </row>
    <row r="35" spans="1:4" ht="13.2">
      <c r="A35" s="17" t="s">
        <v>1734</v>
      </c>
      <c r="B35" s="17">
        <v>1</v>
      </c>
      <c r="C35" s="17">
        <v>0</v>
      </c>
      <c r="D35" s="17">
        <f t="shared" si="0"/>
        <v>1</v>
      </c>
    </row>
    <row r="36" spans="1:4" ht="13.2">
      <c r="A36" s="17" t="s">
        <v>1579</v>
      </c>
      <c r="B36" s="17">
        <v>4</v>
      </c>
      <c r="C36" s="17">
        <v>0</v>
      </c>
      <c r="D36" s="17">
        <f t="shared" si="0"/>
        <v>4</v>
      </c>
    </row>
    <row r="37" spans="1:4" ht="13.2">
      <c r="A37" s="17" t="s">
        <v>681</v>
      </c>
      <c r="B37" s="17">
        <v>2</v>
      </c>
      <c r="C37" s="17">
        <v>0</v>
      </c>
      <c r="D37" s="17">
        <f t="shared" si="0"/>
        <v>2</v>
      </c>
    </row>
    <row r="38" spans="1:4" ht="13.2">
      <c r="A38" s="17" t="s">
        <v>244</v>
      </c>
      <c r="B38" s="17">
        <v>1</v>
      </c>
      <c r="C38" s="17">
        <v>0</v>
      </c>
      <c r="D38" s="17">
        <f t="shared" si="0"/>
        <v>1</v>
      </c>
    </row>
    <row r="39" spans="1:4" ht="13.2">
      <c r="A39" s="17" t="s">
        <v>208</v>
      </c>
      <c r="B39" s="17">
        <v>1</v>
      </c>
      <c r="C39" s="17">
        <v>0</v>
      </c>
      <c r="D39" s="17">
        <f t="shared" si="0"/>
        <v>1</v>
      </c>
    </row>
    <row r="40" spans="1:4" ht="13.2">
      <c r="A40" s="17" t="s">
        <v>772</v>
      </c>
      <c r="B40" s="17">
        <v>2</v>
      </c>
      <c r="C40" s="17">
        <v>0</v>
      </c>
      <c r="D40" s="17">
        <f t="shared" si="0"/>
        <v>2</v>
      </c>
    </row>
    <row r="41" spans="1:4" ht="13.2">
      <c r="A41" s="17" t="s">
        <v>1524</v>
      </c>
      <c r="B41" s="17">
        <v>1</v>
      </c>
      <c r="C41" s="17">
        <v>0</v>
      </c>
      <c r="D41" s="17">
        <f t="shared" si="0"/>
        <v>1</v>
      </c>
    </row>
    <row r="42" spans="1:4" ht="13.2">
      <c r="A42" s="17" t="s">
        <v>1713</v>
      </c>
      <c r="B42" s="17">
        <v>1</v>
      </c>
      <c r="C42" s="17">
        <v>0</v>
      </c>
      <c r="D42" s="17">
        <f t="shared" si="0"/>
        <v>1</v>
      </c>
    </row>
    <row r="43" spans="1:4" ht="13.2">
      <c r="A43" s="17" t="s">
        <v>1581</v>
      </c>
      <c r="B43" s="17">
        <v>2</v>
      </c>
      <c r="C43" s="17">
        <v>0</v>
      </c>
      <c r="D43" s="17">
        <f t="shared" si="0"/>
        <v>2</v>
      </c>
    </row>
    <row r="44" spans="1:4" ht="13.2">
      <c r="A44" s="17" t="s">
        <v>116</v>
      </c>
      <c r="B44" s="17">
        <v>1</v>
      </c>
      <c r="C44" s="17">
        <v>0</v>
      </c>
      <c r="D44" s="17">
        <f t="shared" si="0"/>
        <v>1</v>
      </c>
    </row>
    <row r="45" spans="1:4" ht="13.2">
      <c r="A45" s="17" t="s">
        <v>369</v>
      </c>
      <c r="B45" s="17">
        <v>1</v>
      </c>
      <c r="C45" s="17">
        <v>0</v>
      </c>
      <c r="D45" s="17">
        <f t="shared" si="0"/>
        <v>1</v>
      </c>
    </row>
    <row r="46" spans="1:4" ht="13.2">
      <c r="A46" s="17" t="s">
        <v>167</v>
      </c>
      <c r="B46" s="17">
        <v>2</v>
      </c>
      <c r="C46" s="17">
        <v>0</v>
      </c>
      <c r="D46" s="17">
        <f t="shared" si="0"/>
        <v>2</v>
      </c>
    </row>
    <row r="47" spans="1:4" ht="13.2">
      <c r="A47" s="17" t="s">
        <v>1526</v>
      </c>
      <c r="B47" s="17">
        <v>1</v>
      </c>
      <c r="C47" s="17">
        <v>0</v>
      </c>
      <c r="D47" s="17">
        <f t="shared" si="0"/>
        <v>1</v>
      </c>
    </row>
    <row r="48" spans="1:4" ht="13.2">
      <c r="A48" s="17" t="s">
        <v>991</v>
      </c>
      <c r="B48" s="17">
        <v>2</v>
      </c>
      <c r="C48" s="17">
        <v>0</v>
      </c>
      <c r="D48" s="17">
        <f t="shared" si="0"/>
        <v>2</v>
      </c>
    </row>
    <row r="49" spans="1:4" ht="13.2">
      <c r="A49" s="17" t="s">
        <v>168</v>
      </c>
      <c r="B49" s="17">
        <v>1</v>
      </c>
      <c r="C49" s="17">
        <v>0</v>
      </c>
      <c r="D49" s="17">
        <f t="shared" si="0"/>
        <v>1</v>
      </c>
    </row>
    <row r="50" spans="1:4" ht="13.2">
      <c r="A50" s="17" t="s">
        <v>1525</v>
      </c>
      <c r="B50" s="17">
        <v>1</v>
      </c>
      <c r="C50" s="17">
        <v>0</v>
      </c>
      <c r="D50" s="17">
        <f t="shared" si="0"/>
        <v>1</v>
      </c>
    </row>
    <row r="51" spans="1:4" ht="13.2">
      <c r="A51" s="17" t="s">
        <v>1685</v>
      </c>
      <c r="B51" s="17">
        <v>1</v>
      </c>
      <c r="C51" s="17">
        <v>0</v>
      </c>
      <c r="D51" s="17">
        <f t="shared" si="0"/>
        <v>1</v>
      </c>
    </row>
    <row r="52" spans="1:4" ht="13.2">
      <c r="A52" s="17" t="s">
        <v>135</v>
      </c>
      <c r="B52" s="17">
        <v>2</v>
      </c>
      <c r="C52" s="17">
        <v>0</v>
      </c>
      <c r="D52" s="17">
        <f t="shared" si="0"/>
        <v>2</v>
      </c>
    </row>
    <row r="53" spans="1:4" ht="13.2">
      <c r="A53" s="17" t="s">
        <v>82</v>
      </c>
      <c r="B53" s="17">
        <v>1</v>
      </c>
      <c r="C53" s="17">
        <v>0</v>
      </c>
      <c r="D53" s="17">
        <f t="shared" si="0"/>
        <v>1</v>
      </c>
    </row>
    <row r="54" spans="1:4" ht="13.2">
      <c r="A54" s="17" t="s">
        <v>94</v>
      </c>
      <c r="B54" s="17">
        <v>2</v>
      </c>
      <c r="C54" s="17">
        <v>0</v>
      </c>
      <c r="D54" s="17">
        <f t="shared" si="0"/>
        <v>2</v>
      </c>
    </row>
    <row r="55" spans="1:4" ht="13.2">
      <c r="A55" s="17" t="s">
        <v>1358</v>
      </c>
      <c r="B55" s="17">
        <v>1</v>
      </c>
      <c r="C55" s="17">
        <v>0</v>
      </c>
      <c r="D55" s="17">
        <f t="shared" si="0"/>
        <v>1</v>
      </c>
    </row>
    <row r="56" spans="1:4" ht="13.2">
      <c r="A56" s="17" t="s">
        <v>656</v>
      </c>
      <c r="B56" s="17">
        <v>1</v>
      </c>
      <c r="C56" s="17">
        <v>0</v>
      </c>
      <c r="D56" s="17">
        <f t="shared" si="0"/>
        <v>1</v>
      </c>
    </row>
    <row r="57" spans="1:4" ht="13.2">
      <c r="A57" s="17" t="s">
        <v>1028</v>
      </c>
      <c r="B57" s="17">
        <v>3</v>
      </c>
      <c r="C57" s="17">
        <v>0</v>
      </c>
      <c r="D57" s="17">
        <f t="shared" si="0"/>
        <v>3</v>
      </c>
    </row>
    <row r="58" spans="1:4" ht="13.2">
      <c r="A58" s="17" t="s">
        <v>1484</v>
      </c>
      <c r="B58" s="17">
        <v>1</v>
      </c>
      <c r="C58" s="17">
        <v>0</v>
      </c>
      <c r="D58" s="17">
        <f t="shared" si="0"/>
        <v>1</v>
      </c>
    </row>
    <row r="59" spans="1:4" ht="13.2">
      <c r="A59" s="17" t="s">
        <v>994</v>
      </c>
      <c r="B59" s="17">
        <v>2</v>
      </c>
      <c r="C59" s="17">
        <v>0</v>
      </c>
      <c r="D59" s="17">
        <f t="shared" si="0"/>
        <v>2</v>
      </c>
    </row>
    <row r="60" spans="1:4" ht="13.2">
      <c r="A60" s="17" t="s">
        <v>632</v>
      </c>
      <c r="B60" s="17">
        <v>1</v>
      </c>
      <c r="C60" s="17">
        <v>0</v>
      </c>
      <c r="D60" s="17">
        <f t="shared" si="0"/>
        <v>1</v>
      </c>
    </row>
    <row r="61" spans="1:4" ht="13.2">
      <c r="A61" s="17" t="s">
        <v>145</v>
      </c>
      <c r="B61" s="17">
        <v>1</v>
      </c>
      <c r="C61" s="17">
        <v>0</v>
      </c>
      <c r="D61" s="17">
        <f t="shared" si="0"/>
        <v>1</v>
      </c>
    </row>
    <row r="62" spans="1:4" ht="13.2">
      <c r="A62" s="17" t="s">
        <v>1141</v>
      </c>
      <c r="B62" s="17">
        <v>2</v>
      </c>
      <c r="C62" s="17">
        <v>0</v>
      </c>
      <c r="D62" s="17">
        <f t="shared" si="0"/>
        <v>2</v>
      </c>
    </row>
    <row r="63" spans="1:4" ht="13.2">
      <c r="A63" s="17" t="s">
        <v>748</v>
      </c>
      <c r="B63" s="17">
        <v>3</v>
      </c>
      <c r="C63" s="17">
        <v>0</v>
      </c>
      <c r="D63" s="17">
        <f t="shared" si="0"/>
        <v>3</v>
      </c>
    </row>
    <row r="64" spans="1:4" ht="13.2">
      <c r="A64" s="17" t="s">
        <v>1124</v>
      </c>
      <c r="B64" s="17">
        <v>1</v>
      </c>
      <c r="C64" s="17">
        <v>0</v>
      </c>
      <c r="D64" s="17">
        <f t="shared" si="0"/>
        <v>1</v>
      </c>
    </row>
    <row r="65" spans="1:4" ht="13.2">
      <c r="A65" s="17" t="s">
        <v>81</v>
      </c>
      <c r="B65" s="17">
        <v>1</v>
      </c>
      <c r="C65" s="17">
        <v>0</v>
      </c>
      <c r="D65" s="17">
        <f t="shared" si="0"/>
        <v>1</v>
      </c>
    </row>
    <row r="66" spans="1:4" ht="13.2">
      <c r="A66" s="17" t="s">
        <v>1161</v>
      </c>
      <c r="B66" s="17">
        <v>1</v>
      </c>
      <c r="C66" s="17">
        <v>0</v>
      </c>
      <c r="D66" s="17">
        <f t="shared" si="0"/>
        <v>1</v>
      </c>
    </row>
    <row r="67" spans="1:4" ht="13.2">
      <c r="A67" s="17" t="s">
        <v>1580</v>
      </c>
      <c r="B67" s="17">
        <v>2</v>
      </c>
      <c r="C67" s="17">
        <v>0</v>
      </c>
      <c r="D67" s="17">
        <f t="shared" si="0"/>
        <v>2</v>
      </c>
    </row>
    <row r="68" spans="1:4" ht="13.2">
      <c r="A68" s="17" t="s">
        <v>533</v>
      </c>
      <c r="B68" s="17">
        <v>1</v>
      </c>
      <c r="C68" s="17">
        <v>0</v>
      </c>
      <c r="D68" s="17">
        <f t="shared" si="0"/>
        <v>1</v>
      </c>
    </row>
    <row r="69" spans="1:4" ht="13.2">
      <c r="A69" s="17" t="s">
        <v>137</v>
      </c>
      <c r="B69" s="17">
        <v>2</v>
      </c>
      <c r="C69" s="17">
        <v>0</v>
      </c>
      <c r="D69" s="17">
        <f t="shared" si="0"/>
        <v>2</v>
      </c>
    </row>
    <row r="70" spans="1:4" ht="13.2">
      <c r="A70" s="17" t="s">
        <v>142</v>
      </c>
      <c r="B70" s="17">
        <v>2</v>
      </c>
      <c r="C70" s="17">
        <v>0</v>
      </c>
      <c r="D70" s="17">
        <f t="shared" si="0"/>
        <v>2</v>
      </c>
    </row>
    <row r="71" spans="1:4" ht="13.2">
      <c r="A71" s="17" t="s">
        <v>1712</v>
      </c>
      <c r="B71" s="17">
        <v>1</v>
      </c>
      <c r="C71" s="17">
        <v>0</v>
      </c>
      <c r="D71" s="17">
        <f t="shared" si="0"/>
        <v>1</v>
      </c>
    </row>
    <row r="72" spans="1:4" ht="13.2">
      <c r="A72" s="17" t="s">
        <v>1413</v>
      </c>
      <c r="B72" s="17">
        <v>1</v>
      </c>
      <c r="C72" s="17">
        <v>0</v>
      </c>
      <c r="D72" s="17">
        <f t="shared" si="0"/>
        <v>1</v>
      </c>
    </row>
    <row r="73" spans="1:4" ht="13.2">
      <c r="A73" s="17" t="s">
        <v>1538</v>
      </c>
      <c r="B73" s="17">
        <v>1</v>
      </c>
      <c r="C73" s="17">
        <v>0</v>
      </c>
      <c r="D73" s="17">
        <f t="shared" si="0"/>
        <v>1</v>
      </c>
    </row>
    <row r="74" spans="1:4" ht="13.2">
      <c r="A74" s="17" t="s">
        <v>1453</v>
      </c>
      <c r="B74" s="17">
        <v>1</v>
      </c>
      <c r="C74" s="17">
        <v>0</v>
      </c>
      <c r="D74" s="17">
        <f t="shared" si="0"/>
        <v>1</v>
      </c>
    </row>
    <row r="75" spans="1:4" ht="13.2">
      <c r="A75" s="17" t="s">
        <v>1539</v>
      </c>
      <c r="B75" s="17">
        <v>2</v>
      </c>
      <c r="C75" s="17">
        <v>0</v>
      </c>
      <c r="D75" s="17">
        <f t="shared" si="0"/>
        <v>2</v>
      </c>
    </row>
    <row r="76" spans="1:4" ht="13.2">
      <c r="A76" s="17" t="s">
        <v>1627</v>
      </c>
      <c r="B76" s="17">
        <v>1</v>
      </c>
      <c r="C76" s="17">
        <v>0</v>
      </c>
      <c r="D76" s="17">
        <f t="shared" si="0"/>
        <v>1</v>
      </c>
    </row>
    <row r="77" spans="1:4" ht="14.4">
      <c r="A77" s="33" t="s">
        <v>95</v>
      </c>
      <c r="B77" s="17">
        <v>2</v>
      </c>
      <c r="C77" s="17">
        <v>0</v>
      </c>
      <c r="D77" s="17">
        <f t="shared" si="0"/>
        <v>2</v>
      </c>
    </row>
    <row r="78" spans="1:4" ht="14.4">
      <c r="A78" s="33" t="s">
        <v>1029</v>
      </c>
      <c r="B78" s="17">
        <v>3</v>
      </c>
      <c r="C78" s="17">
        <v>0</v>
      </c>
      <c r="D78" s="17">
        <f t="shared" si="0"/>
        <v>3</v>
      </c>
    </row>
    <row r="79" spans="1:4" ht="13.2">
      <c r="A79" s="17" t="s">
        <v>587</v>
      </c>
      <c r="B79" s="17">
        <v>2</v>
      </c>
      <c r="C79" s="17">
        <v>0</v>
      </c>
      <c r="D79" s="17">
        <f t="shared" si="0"/>
        <v>2</v>
      </c>
    </row>
    <row r="80" spans="1:4" ht="13.2">
      <c r="A80" s="17" t="s">
        <v>1104</v>
      </c>
      <c r="B80" s="17">
        <v>2</v>
      </c>
      <c r="C80" s="17">
        <v>0</v>
      </c>
      <c r="D80" s="17">
        <f t="shared" si="0"/>
        <v>2</v>
      </c>
    </row>
    <row r="81" spans="1:4" ht="13.2">
      <c r="A81" s="17" t="s">
        <v>507</v>
      </c>
      <c r="B81" s="17">
        <v>1</v>
      </c>
      <c r="C81" s="17">
        <v>0</v>
      </c>
      <c r="D81" s="17">
        <f t="shared" si="0"/>
        <v>1</v>
      </c>
    </row>
    <row r="82" spans="1:4" ht="13.2">
      <c r="A82" s="17" t="s">
        <v>206</v>
      </c>
      <c r="B82" s="17">
        <v>1</v>
      </c>
      <c r="C82" s="17">
        <v>0</v>
      </c>
      <c r="D82" s="17">
        <f t="shared" si="0"/>
        <v>1</v>
      </c>
    </row>
    <row r="83" spans="1:4" ht="13.2">
      <c r="A83" s="17" t="s">
        <v>738</v>
      </c>
      <c r="B83" s="17">
        <v>1</v>
      </c>
      <c r="C83" s="17">
        <v>0</v>
      </c>
      <c r="D83" s="17">
        <f t="shared" si="0"/>
        <v>1</v>
      </c>
    </row>
    <row r="84" spans="1:4" ht="13.2">
      <c r="A84" s="17" t="s">
        <v>350</v>
      </c>
      <c r="B84" s="17">
        <v>2</v>
      </c>
      <c r="C84" s="17">
        <v>0</v>
      </c>
      <c r="D84" s="17">
        <f t="shared" si="0"/>
        <v>2</v>
      </c>
    </row>
    <row r="85" spans="1:4" ht="13.2">
      <c r="A85" s="17" t="s">
        <v>1549</v>
      </c>
      <c r="B85" s="17">
        <v>1</v>
      </c>
      <c r="C85" s="17">
        <v>0</v>
      </c>
      <c r="D85" s="17">
        <f t="shared" si="0"/>
        <v>1</v>
      </c>
    </row>
    <row r="86" spans="1:4" ht="13.2">
      <c r="A86" s="17" t="s">
        <v>1529</v>
      </c>
      <c r="B86" s="17">
        <v>1</v>
      </c>
      <c r="C86" s="17">
        <v>0</v>
      </c>
      <c r="D86" s="17">
        <f t="shared" si="0"/>
        <v>1</v>
      </c>
    </row>
    <row r="87" spans="1:4" ht="13.2">
      <c r="A87" s="17" t="s">
        <v>1397</v>
      </c>
      <c r="B87" s="17">
        <v>1</v>
      </c>
      <c r="C87" s="17">
        <v>0</v>
      </c>
      <c r="D87" s="17">
        <f t="shared" si="0"/>
        <v>1</v>
      </c>
    </row>
    <row r="88" spans="1:4" ht="13.2">
      <c r="A88" s="17" t="s">
        <v>1763</v>
      </c>
      <c r="B88" s="17">
        <v>1</v>
      </c>
      <c r="C88" s="17">
        <v>0</v>
      </c>
      <c r="D88" s="17">
        <f t="shared" si="0"/>
        <v>1</v>
      </c>
    </row>
    <row r="89" spans="1:4" ht="13.2">
      <c r="A89" s="17" t="s">
        <v>1030</v>
      </c>
      <c r="B89" s="17">
        <v>4</v>
      </c>
      <c r="C89" s="17">
        <v>0</v>
      </c>
      <c r="D89" s="17">
        <f t="shared" si="0"/>
        <v>4</v>
      </c>
    </row>
    <row r="90" spans="1:4" ht="13.2">
      <c r="A90" s="17" t="s">
        <v>1636</v>
      </c>
      <c r="B90" s="17">
        <v>1</v>
      </c>
      <c r="C90" s="17">
        <v>0</v>
      </c>
      <c r="D90" s="17">
        <f t="shared" si="0"/>
        <v>1</v>
      </c>
    </row>
    <row r="91" spans="1:4" ht="13.2">
      <c r="A91" s="17" t="s">
        <v>1125</v>
      </c>
      <c r="B91" s="17">
        <v>1</v>
      </c>
      <c r="C91" s="17">
        <v>0</v>
      </c>
      <c r="D91" s="17">
        <f t="shared" si="0"/>
        <v>1</v>
      </c>
    </row>
    <row r="92" spans="1:4" ht="13.2">
      <c r="A92" s="17" t="s">
        <v>160</v>
      </c>
      <c r="B92" s="17">
        <v>1</v>
      </c>
      <c r="C92" s="17">
        <v>0</v>
      </c>
      <c r="D92" s="17">
        <f t="shared" si="0"/>
        <v>1</v>
      </c>
    </row>
    <row r="93" spans="1:4" ht="13.2">
      <c r="A93" s="17" t="s">
        <v>1585</v>
      </c>
      <c r="B93" s="17">
        <v>1</v>
      </c>
      <c r="C93" s="17">
        <v>0</v>
      </c>
      <c r="D93" s="17">
        <f t="shared" si="0"/>
        <v>1</v>
      </c>
    </row>
    <row r="94" spans="1:4" ht="13.2">
      <c r="A94" s="17" t="s">
        <v>1594</v>
      </c>
      <c r="B94" s="17">
        <v>1</v>
      </c>
      <c r="C94" s="17">
        <v>0</v>
      </c>
      <c r="D94" s="17">
        <f t="shared" si="0"/>
        <v>1</v>
      </c>
    </row>
    <row r="95" spans="1:4" ht="13.2">
      <c r="A95" s="17" t="s">
        <v>645</v>
      </c>
      <c r="B95" s="17">
        <v>2</v>
      </c>
      <c r="C95" s="17">
        <v>0</v>
      </c>
      <c r="D95" s="17">
        <f t="shared" si="0"/>
        <v>2</v>
      </c>
    </row>
    <row r="96" spans="1:4" ht="13.2">
      <c r="A96" s="17" t="s">
        <v>413</v>
      </c>
      <c r="B96" s="17">
        <v>1</v>
      </c>
      <c r="C96" s="17">
        <v>0</v>
      </c>
      <c r="D96" s="17">
        <f t="shared" si="0"/>
        <v>1</v>
      </c>
    </row>
    <row r="97" spans="1:4" ht="13.2">
      <c r="A97" s="17" t="s">
        <v>1733</v>
      </c>
      <c r="B97" s="17">
        <v>1</v>
      </c>
      <c r="C97" s="17">
        <v>0</v>
      </c>
      <c r="D97" s="17">
        <f t="shared" si="0"/>
        <v>1</v>
      </c>
    </row>
    <row r="98" spans="1:4" ht="13.2">
      <c r="A98" s="17" t="s">
        <v>68</v>
      </c>
      <c r="B98" s="17">
        <v>1</v>
      </c>
      <c r="C98" s="17">
        <v>0</v>
      </c>
      <c r="D98" s="17">
        <f t="shared" si="0"/>
        <v>1</v>
      </c>
    </row>
    <row r="99" spans="1:4" ht="13.2">
      <c r="A99" s="17" t="s">
        <v>1451</v>
      </c>
      <c r="B99" s="17">
        <v>1</v>
      </c>
      <c r="C99" s="17">
        <v>0</v>
      </c>
      <c r="D99" s="17">
        <f t="shared" si="0"/>
        <v>1</v>
      </c>
    </row>
    <row r="100" spans="1:4" ht="13.2">
      <c r="A100" s="17" t="s">
        <v>853</v>
      </c>
      <c r="B100" s="17">
        <v>1</v>
      </c>
      <c r="C100" s="17">
        <v>0</v>
      </c>
      <c r="D100" s="17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38"/>
  <sheetViews>
    <sheetView workbookViewId="0"/>
  </sheetViews>
  <sheetFormatPr defaultColWidth="12.6640625" defaultRowHeight="15.75" customHeight="1"/>
  <cols>
    <col min="1" max="2" width="12.44140625" customWidth="1"/>
    <col min="3" max="3" width="6.77734375" customWidth="1"/>
    <col min="4" max="4" width="7.21875" customWidth="1"/>
    <col min="5" max="5" width="11.21875" customWidth="1"/>
    <col min="6" max="6" width="9" customWidth="1"/>
    <col min="7" max="7" width="8.33203125" customWidth="1"/>
    <col min="8" max="8" width="10.44140625" customWidth="1"/>
    <col min="9" max="9" width="8.109375" customWidth="1"/>
    <col min="10" max="10" width="9.77734375" customWidth="1"/>
    <col min="11" max="11" width="11.88671875" customWidth="1"/>
    <col min="12" max="12" width="8.6640625" customWidth="1"/>
    <col min="13" max="13" width="10.88671875" customWidth="1"/>
    <col min="14" max="14" width="10.44140625" customWidth="1"/>
    <col min="15" max="15" width="11.6640625" customWidth="1"/>
    <col min="16" max="16" width="9.88671875" customWidth="1"/>
    <col min="17" max="17" width="9.6640625" customWidth="1"/>
    <col min="18" max="18" width="8.44140625" customWidth="1"/>
    <col min="19" max="19" width="8.33203125" customWidth="1"/>
    <col min="20" max="20" width="9.33203125" customWidth="1"/>
  </cols>
  <sheetData>
    <row r="1" spans="1:20" ht="27.75" customHeight="1">
      <c r="A1" s="266" t="s">
        <v>2447</v>
      </c>
      <c r="B1" s="267" t="s">
        <v>2550</v>
      </c>
      <c r="C1" s="267" t="s">
        <v>2462</v>
      </c>
      <c r="D1" s="268" t="s">
        <v>2450</v>
      </c>
      <c r="E1" s="268" t="s">
        <v>2451</v>
      </c>
      <c r="F1" s="269" t="s">
        <v>2452</v>
      </c>
      <c r="G1" s="270" t="s">
        <v>2453</v>
      </c>
      <c r="H1" s="270" t="s">
        <v>2454</v>
      </c>
      <c r="I1" s="271" t="s">
        <v>2455</v>
      </c>
      <c r="J1" s="272" t="s">
        <v>2456</v>
      </c>
      <c r="K1" s="272" t="s">
        <v>2457</v>
      </c>
      <c r="L1" s="273" t="s">
        <v>2458</v>
      </c>
      <c r="M1" s="274" t="s">
        <v>2459</v>
      </c>
      <c r="N1" s="274" t="s">
        <v>2460</v>
      </c>
      <c r="O1" s="275" t="s">
        <v>2461</v>
      </c>
      <c r="P1" s="276" t="s">
        <v>2463</v>
      </c>
      <c r="Q1" s="277" t="s">
        <v>2464</v>
      </c>
      <c r="R1" s="276" t="s">
        <v>2465</v>
      </c>
      <c r="S1" s="276" t="s">
        <v>2466</v>
      </c>
      <c r="T1" s="276" t="s">
        <v>2467</v>
      </c>
    </row>
    <row r="2" spans="1:20" ht="13.2">
      <c r="A2" s="34" t="s">
        <v>2425</v>
      </c>
      <c r="B2" s="38">
        <v>0</v>
      </c>
      <c r="C2" s="278">
        <v>0.8</v>
      </c>
      <c r="D2" s="279">
        <v>2</v>
      </c>
      <c r="E2" s="279">
        <v>10</v>
      </c>
      <c r="F2" s="279">
        <v>25</v>
      </c>
      <c r="G2" s="280">
        <v>3</v>
      </c>
      <c r="H2" s="280">
        <v>14</v>
      </c>
      <c r="I2" s="280">
        <v>32</v>
      </c>
      <c r="J2" s="281">
        <v>3</v>
      </c>
      <c r="K2" s="281">
        <v>12</v>
      </c>
      <c r="L2" s="281">
        <v>28</v>
      </c>
      <c r="M2" s="282">
        <v>2</v>
      </c>
      <c r="N2" s="282">
        <v>8</v>
      </c>
      <c r="O2" s="283">
        <v>21</v>
      </c>
      <c r="P2" s="284">
        <v>0.4</v>
      </c>
      <c r="Q2" s="285">
        <f t="shared" ref="Q2:Q37" si="0">ROUNDUP(D2 + 0.25 * (E2 - D2), 0)</f>
        <v>4</v>
      </c>
      <c r="R2" s="285">
        <f t="shared" ref="R2:R37" si="1">ROUNDUP(G2 + 0.25 * (H2 - G2), 0)</f>
        <v>6</v>
      </c>
      <c r="S2" s="285">
        <f t="shared" ref="S2:S37" si="2">ROUNDUP(J2 + 0.25 * (K2 - J2), 0)</f>
        <v>6</v>
      </c>
      <c r="T2" s="285">
        <f t="shared" ref="T2:T37" si="3">ROUNDUP(M2 + 0.25 * (N2 - M2), 0)</f>
        <v>4</v>
      </c>
    </row>
    <row r="3" spans="1:20" ht="13.2">
      <c r="A3" s="34" t="s">
        <v>2425</v>
      </c>
      <c r="B3" s="38">
        <v>4</v>
      </c>
      <c r="C3" s="278">
        <v>0.75</v>
      </c>
      <c r="D3" s="279">
        <v>2</v>
      </c>
      <c r="E3" s="279">
        <v>19</v>
      </c>
      <c r="F3" s="279">
        <v>42</v>
      </c>
      <c r="G3" s="280">
        <v>4</v>
      </c>
      <c r="H3" s="280">
        <v>26</v>
      </c>
      <c r="I3" s="280">
        <v>54</v>
      </c>
      <c r="J3" s="281">
        <v>3</v>
      </c>
      <c r="K3" s="281">
        <v>23</v>
      </c>
      <c r="L3" s="281">
        <v>48</v>
      </c>
      <c r="M3" s="282">
        <v>2</v>
      </c>
      <c r="N3" s="282">
        <v>16</v>
      </c>
      <c r="O3" s="283">
        <v>36</v>
      </c>
      <c r="P3" s="284">
        <v>0.35</v>
      </c>
      <c r="Q3" s="285">
        <f t="shared" si="0"/>
        <v>7</v>
      </c>
      <c r="R3" s="285">
        <f t="shared" si="1"/>
        <v>10</v>
      </c>
      <c r="S3" s="285">
        <f t="shared" si="2"/>
        <v>8</v>
      </c>
      <c r="T3" s="285">
        <f t="shared" si="3"/>
        <v>6</v>
      </c>
    </row>
    <row r="4" spans="1:20" ht="13.2">
      <c r="A4" s="34" t="s">
        <v>2425</v>
      </c>
      <c r="B4" s="38">
        <v>10</v>
      </c>
      <c r="C4" s="278">
        <v>0.67</v>
      </c>
      <c r="D4" s="279">
        <v>3</v>
      </c>
      <c r="E4" s="279">
        <v>29</v>
      </c>
      <c r="F4" s="279">
        <v>56</v>
      </c>
      <c r="G4" s="280">
        <v>5</v>
      </c>
      <c r="H4" s="280">
        <v>37</v>
      </c>
      <c r="I4" s="280">
        <v>72</v>
      </c>
      <c r="J4" s="281">
        <v>4</v>
      </c>
      <c r="K4" s="281">
        <v>33</v>
      </c>
      <c r="L4" s="281">
        <v>64</v>
      </c>
      <c r="M4" s="282">
        <v>3</v>
      </c>
      <c r="N4" s="282">
        <v>25</v>
      </c>
      <c r="O4" s="283">
        <v>48</v>
      </c>
      <c r="P4" s="284">
        <v>0.27</v>
      </c>
      <c r="Q4" s="285">
        <f t="shared" si="0"/>
        <v>10</v>
      </c>
      <c r="R4" s="285">
        <f t="shared" si="1"/>
        <v>13</v>
      </c>
      <c r="S4" s="285">
        <f t="shared" si="2"/>
        <v>12</v>
      </c>
      <c r="T4" s="285">
        <f t="shared" si="3"/>
        <v>9</v>
      </c>
    </row>
    <row r="5" spans="1:20" ht="13.2">
      <c r="A5" s="34" t="s">
        <v>2425</v>
      </c>
      <c r="B5" s="38">
        <v>16</v>
      </c>
      <c r="C5" s="278">
        <v>0.62</v>
      </c>
      <c r="D5" s="279">
        <v>4</v>
      </c>
      <c r="E5" s="279">
        <v>33</v>
      </c>
      <c r="F5" s="279">
        <v>65</v>
      </c>
      <c r="G5" s="280">
        <v>5</v>
      </c>
      <c r="H5" s="280">
        <v>41</v>
      </c>
      <c r="I5" s="280">
        <v>84</v>
      </c>
      <c r="J5" s="281">
        <v>5</v>
      </c>
      <c r="K5" s="281">
        <v>36</v>
      </c>
      <c r="L5" s="281">
        <v>75</v>
      </c>
      <c r="M5" s="282">
        <v>4</v>
      </c>
      <c r="N5" s="282">
        <v>27</v>
      </c>
      <c r="O5" s="283">
        <v>56</v>
      </c>
      <c r="P5" s="284">
        <v>0.25</v>
      </c>
      <c r="Q5" s="285">
        <f t="shared" si="0"/>
        <v>12</v>
      </c>
      <c r="R5" s="285">
        <f t="shared" si="1"/>
        <v>14</v>
      </c>
      <c r="S5" s="285">
        <f t="shared" si="2"/>
        <v>13</v>
      </c>
      <c r="T5" s="285">
        <f t="shared" si="3"/>
        <v>10</v>
      </c>
    </row>
    <row r="6" spans="1:20" ht="13.2">
      <c r="A6" s="34" t="s">
        <v>2425</v>
      </c>
      <c r="B6" s="38">
        <v>20</v>
      </c>
      <c r="C6" s="278">
        <v>0.61</v>
      </c>
      <c r="D6" s="279">
        <v>5</v>
      </c>
      <c r="E6" s="279">
        <v>39</v>
      </c>
      <c r="F6" s="279">
        <v>71</v>
      </c>
      <c r="G6" s="280">
        <v>6</v>
      </c>
      <c r="H6" s="280">
        <v>50</v>
      </c>
      <c r="I6" s="280">
        <v>90</v>
      </c>
      <c r="J6" s="281">
        <v>6</v>
      </c>
      <c r="K6" s="281">
        <v>44</v>
      </c>
      <c r="L6" s="281">
        <v>81</v>
      </c>
      <c r="M6" s="282">
        <v>5</v>
      </c>
      <c r="N6" s="282">
        <v>32</v>
      </c>
      <c r="O6" s="283">
        <v>60</v>
      </c>
      <c r="P6" s="284">
        <v>0.23</v>
      </c>
      <c r="Q6" s="285">
        <f t="shared" si="0"/>
        <v>14</v>
      </c>
      <c r="R6" s="285">
        <f t="shared" si="1"/>
        <v>17</v>
      </c>
      <c r="S6" s="285">
        <f t="shared" si="2"/>
        <v>16</v>
      </c>
      <c r="T6" s="285">
        <f t="shared" si="3"/>
        <v>12</v>
      </c>
    </row>
    <row r="7" spans="1:20" ht="13.2">
      <c r="A7" s="34" t="s">
        <v>2425</v>
      </c>
      <c r="B7" s="38">
        <v>25</v>
      </c>
      <c r="C7" s="278">
        <v>0.6</v>
      </c>
      <c r="D7" s="279">
        <v>6</v>
      </c>
      <c r="E7" s="279">
        <v>42</v>
      </c>
      <c r="F7" s="279">
        <v>77</v>
      </c>
      <c r="G7" s="280">
        <v>7</v>
      </c>
      <c r="H7" s="280">
        <v>52</v>
      </c>
      <c r="I7" s="280">
        <v>99</v>
      </c>
      <c r="J7" s="281">
        <v>6</v>
      </c>
      <c r="K7" s="281">
        <v>46</v>
      </c>
      <c r="L7" s="281">
        <v>88</v>
      </c>
      <c r="M7" s="282">
        <v>6</v>
      </c>
      <c r="N7" s="282">
        <v>36</v>
      </c>
      <c r="O7" s="283">
        <v>66</v>
      </c>
      <c r="P7" s="284">
        <v>0.21</v>
      </c>
      <c r="Q7" s="285">
        <f t="shared" si="0"/>
        <v>15</v>
      </c>
      <c r="R7" s="285">
        <f t="shared" si="1"/>
        <v>19</v>
      </c>
      <c r="S7" s="285">
        <f t="shared" si="2"/>
        <v>16</v>
      </c>
      <c r="T7" s="285">
        <f t="shared" si="3"/>
        <v>14</v>
      </c>
    </row>
    <row r="8" spans="1:20" ht="13.2">
      <c r="A8" s="34" t="s">
        <v>2425</v>
      </c>
      <c r="B8" s="38">
        <v>35</v>
      </c>
      <c r="C8" s="278">
        <v>0.57999999999999996</v>
      </c>
      <c r="D8" s="279">
        <v>7</v>
      </c>
      <c r="E8" s="279">
        <v>47</v>
      </c>
      <c r="F8" s="279">
        <v>80</v>
      </c>
      <c r="G8" s="280">
        <v>8</v>
      </c>
      <c r="H8" s="280">
        <v>58</v>
      </c>
      <c r="I8" s="280">
        <v>105</v>
      </c>
      <c r="J8" s="281">
        <v>7</v>
      </c>
      <c r="K8" s="281">
        <v>52</v>
      </c>
      <c r="L8" s="281">
        <v>94</v>
      </c>
      <c r="M8" s="282">
        <v>7</v>
      </c>
      <c r="N8" s="282">
        <v>40</v>
      </c>
      <c r="O8" s="283">
        <v>79</v>
      </c>
      <c r="P8" s="284">
        <v>0.2</v>
      </c>
      <c r="Q8" s="285">
        <f t="shared" si="0"/>
        <v>17</v>
      </c>
      <c r="R8" s="285">
        <f t="shared" si="1"/>
        <v>21</v>
      </c>
      <c r="S8" s="285">
        <f t="shared" si="2"/>
        <v>19</v>
      </c>
      <c r="T8" s="285">
        <f t="shared" si="3"/>
        <v>16</v>
      </c>
    </row>
    <row r="9" spans="1:20" ht="13.2">
      <c r="A9" s="34" t="s">
        <v>2425</v>
      </c>
      <c r="B9" s="38">
        <v>50</v>
      </c>
      <c r="C9" s="278">
        <v>0.5</v>
      </c>
      <c r="D9" s="279">
        <v>8</v>
      </c>
      <c r="E9" s="279">
        <v>58</v>
      </c>
      <c r="F9" s="279">
        <v>105</v>
      </c>
      <c r="G9" s="280">
        <v>8</v>
      </c>
      <c r="H9" s="280">
        <v>75</v>
      </c>
      <c r="I9" s="280">
        <v>135</v>
      </c>
      <c r="J9" s="281">
        <v>8</v>
      </c>
      <c r="K9" s="281">
        <v>67</v>
      </c>
      <c r="L9" s="281">
        <v>120</v>
      </c>
      <c r="M9" s="282">
        <v>7</v>
      </c>
      <c r="N9" s="282">
        <v>50</v>
      </c>
      <c r="O9" s="283">
        <v>90</v>
      </c>
      <c r="P9" s="284">
        <v>0.18</v>
      </c>
      <c r="Q9" s="285">
        <f t="shared" si="0"/>
        <v>21</v>
      </c>
      <c r="R9" s="285">
        <f t="shared" si="1"/>
        <v>25</v>
      </c>
      <c r="S9" s="285">
        <f t="shared" si="2"/>
        <v>23</v>
      </c>
      <c r="T9" s="285">
        <f t="shared" si="3"/>
        <v>18</v>
      </c>
    </row>
    <row r="10" spans="1:20" ht="13.2">
      <c r="A10" s="34" t="s">
        <v>2434</v>
      </c>
      <c r="B10" s="38">
        <v>0</v>
      </c>
      <c r="C10" s="278">
        <v>0.8</v>
      </c>
      <c r="D10" s="279">
        <v>2</v>
      </c>
      <c r="E10" s="279">
        <v>10</v>
      </c>
      <c r="F10" s="279">
        <v>18</v>
      </c>
      <c r="G10" s="280">
        <v>3</v>
      </c>
      <c r="H10" s="280">
        <v>14</v>
      </c>
      <c r="I10" s="280">
        <v>29</v>
      </c>
      <c r="J10" s="281">
        <v>3</v>
      </c>
      <c r="K10" s="281">
        <v>12</v>
      </c>
      <c r="L10" s="281">
        <v>25</v>
      </c>
      <c r="M10" s="282">
        <v>2</v>
      </c>
      <c r="N10" s="282">
        <v>8</v>
      </c>
      <c r="O10" s="283">
        <v>16</v>
      </c>
      <c r="P10" s="284">
        <v>0.4</v>
      </c>
      <c r="Q10" s="285">
        <f t="shared" si="0"/>
        <v>4</v>
      </c>
      <c r="R10" s="285">
        <f t="shared" si="1"/>
        <v>6</v>
      </c>
      <c r="S10" s="285">
        <f t="shared" si="2"/>
        <v>6</v>
      </c>
      <c r="T10" s="285">
        <f t="shared" si="3"/>
        <v>4</v>
      </c>
    </row>
    <row r="11" spans="1:20" ht="13.2">
      <c r="A11" s="34" t="s">
        <v>2434</v>
      </c>
      <c r="B11" s="38">
        <v>4</v>
      </c>
      <c r="C11" s="278">
        <v>0.75</v>
      </c>
      <c r="D11" s="279">
        <v>3</v>
      </c>
      <c r="E11" s="279">
        <v>13</v>
      </c>
      <c r="F11" s="279">
        <v>33</v>
      </c>
      <c r="G11" s="280">
        <v>4</v>
      </c>
      <c r="H11" s="280">
        <v>18</v>
      </c>
      <c r="I11" s="280">
        <v>49</v>
      </c>
      <c r="J11" s="281">
        <v>4</v>
      </c>
      <c r="K11" s="281">
        <v>16</v>
      </c>
      <c r="L11" s="281">
        <v>43</v>
      </c>
      <c r="M11" s="282">
        <v>2</v>
      </c>
      <c r="N11" s="282">
        <v>11</v>
      </c>
      <c r="O11" s="283">
        <v>30</v>
      </c>
      <c r="P11" s="284">
        <v>0.35</v>
      </c>
      <c r="Q11" s="285">
        <f t="shared" si="0"/>
        <v>6</v>
      </c>
      <c r="R11" s="285">
        <f t="shared" si="1"/>
        <v>8</v>
      </c>
      <c r="S11" s="285">
        <f t="shared" si="2"/>
        <v>7</v>
      </c>
      <c r="T11" s="285">
        <f t="shared" si="3"/>
        <v>5</v>
      </c>
    </row>
    <row r="12" spans="1:20" ht="13.2">
      <c r="A12" s="34" t="s">
        <v>2434</v>
      </c>
      <c r="B12" s="38">
        <v>10</v>
      </c>
      <c r="C12" s="278">
        <v>0.67</v>
      </c>
      <c r="D12" s="279">
        <v>3</v>
      </c>
      <c r="E12" s="279">
        <v>24</v>
      </c>
      <c r="F12" s="279">
        <v>42</v>
      </c>
      <c r="G12" s="280">
        <v>5</v>
      </c>
      <c r="H12" s="280">
        <v>30</v>
      </c>
      <c r="I12" s="280">
        <v>61</v>
      </c>
      <c r="J12" s="281">
        <v>4</v>
      </c>
      <c r="K12" s="281">
        <v>28</v>
      </c>
      <c r="L12" s="281">
        <v>54</v>
      </c>
      <c r="M12" s="282">
        <v>3</v>
      </c>
      <c r="N12" s="282">
        <v>20</v>
      </c>
      <c r="O12" s="283">
        <v>35</v>
      </c>
      <c r="P12" s="284">
        <v>0.27</v>
      </c>
      <c r="Q12" s="285">
        <f t="shared" si="0"/>
        <v>9</v>
      </c>
      <c r="R12" s="285">
        <f t="shared" si="1"/>
        <v>12</v>
      </c>
      <c r="S12" s="285">
        <f t="shared" si="2"/>
        <v>10</v>
      </c>
      <c r="T12" s="285">
        <f t="shared" si="3"/>
        <v>8</v>
      </c>
    </row>
    <row r="13" spans="1:20" ht="13.2">
      <c r="A13" s="34" t="s">
        <v>2434</v>
      </c>
      <c r="B13" s="38">
        <v>16</v>
      </c>
      <c r="C13" s="278">
        <v>0.62</v>
      </c>
      <c r="D13" s="279">
        <v>4</v>
      </c>
      <c r="E13" s="279">
        <v>30</v>
      </c>
      <c r="F13" s="279">
        <v>50</v>
      </c>
      <c r="G13" s="280">
        <v>5</v>
      </c>
      <c r="H13" s="280">
        <v>39</v>
      </c>
      <c r="I13" s="280">
        <v>77</v>
      </c>
      <c r="J13" s="281">
        <v>5</v>
      </c>
      <c r="K13" s="281">
        <v>34</v>
      </c>
      <c r="L13" s="281">
        <v>68</v>
      </c>
      <c r="M13" s="282">
        <v>4</v>
      </c>
      <c r="N13" s="282">
        <v>26</v>
      </c>
      <c r="O13" s="283">
        <v>49</v>
      </c>
      <c r="P13" s="284">
        <v>0.25</v>
      </c>
      <c r="Q13" s="285">
        <f t="shared" si="0"/>
        <v>11</v>
      </c>
      <c r="R13" s="285">
        <f t="shared" si="1"/>
        <v>14</v>
      </c>
      <c r="S13" s="285">
        <f t="shared" si="2"/>
        <v>13</v>
      </c>
      <c r="T13" s="285">
        <f t="shared" si="3"/>
        <v>10</v>
      </c>
    </row>
    <row r="14" spans="1:20" ht="13.2">
      <c r="A14" s="34" t="s">
        <v>2434</v>
      </c>
      <c r="B14" s="38">
        <v>20</v>
      </c>
      <c r="C14" s="278">
        <v>0.61</v>
      </c>
      <c r="D14" s="279">
        <v>5</v>
      </c>
      <c r="E14" s="279">
        <v>35</v>
      </c>
      <c r="F14" s="279">
        <v>55</v>
      </c>
      <c r="G14" s="280">
        <v>6</v>
      </c>
      <c r="H14" s="280">
        <v>48</v>
      </c>
      <c r="I14" s="280">
        <v>82</v>
      </c>
      <c r="J14" s="281">
        <v>6</v>
      </c>
      <c r="K14" s="281">
        <v>42</v>
      </c>
      <c r="L14" s="281">
        <v>73</v>
      </c>
      <c r="M14" s="282">
        <v>5</v>
      </c>
      <c r="N14" s="282">
        <v>31</v>
      </c>
      <c r="O14" s="283">
        <v>52</v>
      </c>
      <c r="P14" s="284">
        <v>0.23</v>
      </c>
      <c r="Q14" s="285">
        <f t="shared" si="0"/>
        <v>13</v>
      </c>
      <c r="R14" s="285">
        <f t="shared" si="1"/>
        <v>17</v>
      </c>
      <c r="S14" s="285">
        <f t="shared" si="2"/>
        <v>15</v>
      </c>
      <c r="T14" s="285">
        <f t="shared" si="3"/>
        <v>12</v>
      </c>
    </row>
    <row r="15" spans="1:20" ht="13.2">
      <c r="A15" s="34" t="s">
        <v>2434</v>
      </c>
      <c r="B15" s="38">
        <v>25</v>
      </c>
      <c r="C15" s="278">
        <v>0.6</v>
      </c>
      <c r="D15" s="279">
        <v>6</v>
      </c>
      <c r="E15" s="279">
        <v>38</v>
      </c>
      <c r="F15" s="279">
        <v>60</v>
      </c>
      <c r="G15" s="280">
        <v>7</v>
      </c>
      <c r="H15" s="280">
        <v>53</v>
      </c>
      <c r="I15" s="280">
        <v>91</v>
      </c>
      <c r="J15" s="281">
        <v>6</v>
      </c>
      <c r="K15" s="281">
        <v>46</v>
      </c>
      <c r="L15" s="281">
        <v>80</v>
      </c>
      <c r="M15" s="282">
        <v>6</v>
      </c>
      <c r="N15" s="282">
        <v>34</v>
      </c>
      <c r="O15" s="283">
        <v>58</v>
      </c>
      <c r="P15" s="284">
        <v>0.21</v>
      </c>
      <c r="Q15" s="285">
        <f t="shared" si="0"/>
        <v>14</v>
      </c>
      <c r="R15" s="285">
        <f t="shared" si="1"/>
        <v>19</v>
      </c>
      <c r="S15" s="285">
        <f t="shared" si="2"/>
        <v>16</v>
      </c>
      <c r="T15" s="285">
        <f t="shared" si="3"/>
        <v>13</v>
      </c>
    </row>
    <row r="16" spans="1:20" ht="13.2">
      <c r="A16" s="34" t="s">
        <v>2434</v>
      </c>
      <c r="B16" s="38">
        <v>35</v>
      </c>
      <c r="C16" s="278">
        <v>0.57999999999999996</v>
      </c>
      <c r="D16" s="279">
        <v>7</v>
      </c>
      <c r="E16" s="279">
        <v>42</v>
      </c>
      <c r="F16" s="279">
        <v>65</v>
      </c>
      <c r="G16" s="280">
        <v>8</v>
      </c>
      <c r="H16" s="280">
        <v>58</v>
      </c>
      <c r="I16" s="280">
        <v>90</v>
      </c>
      <c r="J16" s="281">
        <v>7</v>
      </c>
      <c r="K16" s="281">
        <v>52</v>
      </c>
      <c r="L16" s="281">
        <v>79</v>
      </c>
      <c r="M16" s="282">
        <v>6</v>
      </c>
      <c r="N16" s="282">
        <v>40</v>
      </c>
      <c r="O16" s="283">
        <v>63</v>
      </c>
      <c r="P16" s="284">
        <v>0.2</v>
      </c>
      <c r="Q16" s="285">
        <f t="shared" si="0"/>
        <v>16</v>
      </c>
      <c r="R16" s="285">
        <f t="shared" si="1"/>
        <v>21</v>
      </c>
      <c r="S16" s="285">
        <f t="shared" si="2"/>
        <v>19</v>
      </c>
      <c r="T16" s="285">
        <f t="shared" si="3"/>
        <v>15</v>
      </c>
    </row>
    <row r="17" spans="1:20" ht="13.2">
      <c r="A17" s="34" t="s">
        <v>2434</v>
      </c>
      <c r="B17" s="38">
        <v>50</v>
      </c>
      <c r="C17" s="278">
        <v>0.5</v>
      </c>
      <c r="D17" s="279">
        <v>8</v>
      </c>
      <c r="E17" s="279">
        <v>48</v>
      </c>
      <c r="F17" s="279">
        <v>75</v>
      </c>
      <c r="G17" s="280">
        <v>9</v>
      </c>
      <c r="H17" s="280">
        <v>65</v>
      </c>
      <c r="I17" s="280">
        <v>135</v>
      </c>
      <c r="J17" s="281">
        <v>8</v>
      </c>
      <c r="K17" s="281">
        <v>58</v>
      </c>
      <c r="L17" s="281">
        <v>120</v>
      </c>
      <c r="M17" s="282">
        <v>7</v>
      </c>
      <c r="N17" s="282">
        <v>44</v>
      </c>
      <c r="O17" s="283">
        <v>72</v>
      </c>
      <c r="P17" s="284">
        <v>0.15</v>
      </c>
      <c r="Q17" s="285">
        <f t="shared" si="0"/>
        <v>18</v>
      </c>
      <c r="R17" s="285">
        <f t="shared" si="1"/>
        <v>23</v>
      </c>
      <c r="S17" s="285">
        <f t="shared" si="2"/>
        <v>21</v>
      </c>
      <c r="T17" s="285">
        <f t="shared" si="3"/>
        <v>17</v>
      </c>
    </row>
    <row r="18" spans="1:20" ht="13.2">
      <c r="A18" s="34" t="s">
        <v>2435</v>
      </c>
      <c r="B18" s="38">
        <v>0</v>
      </c>
      <c r="C18" s="278">
        <v>0.8</v>
      </c>
      <c r="D18" s="279">
        <v>2</v>
      </c>
      <c r="E18" s="279">
        <v>12</v>
      </c>
      <c r="F18" s="279">
        <v>23</v>
      </c>
      <c r="G18" s="280">
        <v>3</v>
      </c>
      <c r="H18" s="280">
        <v>15</v>
      </c>
      <c r="I18" s="280">
        <v>30</v>
      </c>
      <c r="J18" s="281">
        <v>3</v>
      </c>
      <c r="K18" s="281">
        <v>13</v>
      </c>
      <c r="L18" s="281">
        <v>27</v>
      </c>
      <c r="M18" s="282">
        <v>2</v>
      </c>
      <c r="N18" s="282">
        <v>10</v>
      </c>
      <c r="O18" s="283">
        <v>19</v>
      </c>
      <c r="P18" s="284">
        <v>0.4</v>
      </c>
      <c r="Q18" s="285">
        <f t="shared" si="0"/>
        <v>5</v>
      </c>
      <c r="R18" s="285">
        <f t="shared" si="1"/>
        <v>6</v>
      </c>
      <c r="S18" s="285">
        <f t="shared" si="2"/>
        <v>6</v>
      </c>
      <c r="T18" s="285">
        <f t="shared" si="3"/>
        <v>4</v>
      </c>
    </row>
    <row r="19" spans="1:20" ht="13.2">
      <c r="A19" s="34" t="s">
        <v>2435</v>
      </c>
      <c r="B19" s="38">
        <v>4</v>
      </c>
      <c r="C19" s="278">
        <v>0.75</v>
      </c>
      <c r="D19" s="279">
        <v>3</v>
      </c>
      <c r="E19" s="279">
        <v>15</v>
      </c>
      <c r="F19" s="279">
        <v>30</v>
      </c>
      <c r="G19" s="280">
        <v>4</v>
      </c>
      <c r="H19" s="280">
        <v>19</v>
      </c>
      <c r="I19" s="280">
        <v>38</v>
      </c>
      <c r="J19" s="281">
        <v>4</v>
      </c>
      <c r="K19" s="281">
        <v>17</v>
      </c>
      <c r="L19" s="281">
        <v>34</v>
      </c>
      <c r="M19" s="282">
        <v>2</v>
      </c>
      <c r="N19" s="282">
        <v>13</v>
      </c>
      <c r="O19" s="283">
        <v>25</v>
      </c>
      <c r="P19" s="284">
        <v>0.35</v>
      </c>
      <c r="Q19" s="285">
        <f t="shared" si="0"/>
        <v>6</v>
      </c>
      <c r="R19" s="285">
        <f t="shared" si="1"/>
        <v>8</v>
      </c>
      <c r="S19" s="285">
        <f t="shared" si="2"/>
        <v>8</v>
      </c>
      <c r="T19" s="285">
        <f t="shared" si="3"/>
        <v>5</v>
      </c>
    </row>
    <row r="20" spans="1:20" ht="13.2">
      <c r="A20" s="34" t="s">
        <v>2435</v>
      </c>
      <c r="B20" s="38">
        <v>10</v>
      </c>
      <c r="C20" s="278">
        <v>0.67</v>
      </c>
      <c r="D20" s="279">
        <v>3</v>
      </c>
      <c r="E20" s="279">
        <v>20</v>
      </c>
      <c r="F20" s="279">
        <v>37</v>
      </c>
      <c r="G20" s="280">
        <v>5</v>
      </c>
      <c r="H20" s="280">
        <v>26</v>
      </c>
      <c r="I20" s="280">
        <v>48</v>
      </c>
      <c r="J20" s="281">
        <v>4</v>
      </c>
      <c r="K20" s="281">
        <v>23</v>
      </c>
      <c r="L20" s="281">
        <v>43</v>
      </c>
      <c r="M20" s="282">
        <v>3</v>
      </c>
      <c r="N20" s="282">
        <v>16</v>
      </c>
      <c r="O20" s="283">
        <v>32</v>
      </c>
      <c r="P20" s="284">
        <v>0.27</v>
      </c>
      <c r="Q20" s="285">
        <f t="shared" si="0"/>
        <v>8</v>
      </c>
      <c r="R20" s="285">
        <f t="shared" si="1"/>
        <v>11</v>
      </c>
      <c r="S20" s="285">
        <f t="shared" si="2"/>
        <v>9</v>
      </c>
      <c r="T20" s="285">
        <f t="shared" si="3"/>
        <v>7</v>
      </c>
    </row>
    <row r="21" spans="1:20" ht="13.2">
      <c r="A21" s="34" t="s">
        <v>2435</v>
      </c>
      <c r="B21" s="38">
        <v>16</v>
      </c>
      <c r="C21" s="278">
        <v>0.64</v>
      </c>
      <c r="D21" s="279">
        <v>4</v>
      </c>
      <c r="E21" s="279">
        <v>23</v>
      </c>
      <c r="F21" s="279">
        <v>42</v>
      </c>
      <c r="G21" s="280">
        <v>5</v>
      </c>
      <c r="H21" s="280">
        <v>32</v>
      </c>
      <c r="I21" s="280">
        <v>60</v>
      </c>
      <c r="J21" s="281">
        <v>5</v>
      </c>
      <c r="K21" s="281">
        <v>27</v>
      </c>
      <c r="L21" s="281">
        <v>55</v>
      </c>
      <c r="M21" s="282">
        <v>4</v>
      </c>
      <c r="N21" s="282">
        <v>20</v>
      </c>
      <c r="O21" s="283">
        <v>35</v>
      </c>
      <c r="P21" s="284">
        <v>0.25</v>
      </c>
      <c r="Q21" s="285">
        <f t="shared" si="0"/>
        <v>9</v>
      </c>
      <c r="R21" s="285">
        <f t="shared" si="1"/>
        <v>12</v>
      </c>
      <c r="S21" s="285">
        <f t="shared" si="2"/>
        <v>11</v>
      </c>
      <c r="T21" s="285">
        <f t="shared" si="3"/>
        <v>8</v>
      </c>
    </row>
    <row r="22" spans="1:20" ht="13.2">
      <c r="A22" s="34" t="s">
        <v>2435</v>
      </c>
      <c r="B22" s="38">
        <v>20</v>
      </c>
      <c r="C22" s="278">
        <v>0.61</v>
      </c>
      <c r="D22" s="279">
        <v>5</v>
      </c>
      <c r="E22" s="279">
        <v>25</v>
      </c>
      <c r="F22" s="279">
        <v>48</v>
      </c>
      <c r="G22" s="280">
        <v>6</v>
      </c>
      <c r="H22" s="280">
        <v>37</v>
      </c>
      <c r="I22" s="280">
        <v>65</v>
      </c>
      <c r="J22" s="281">
        <v>6</v>
      </c>
      <c r="K22" s="281">
        <v>30</v>
      </c>
      <c r="L22" s="281">
        <v>62</v>
      </c>
      <c r="M22" s="282">
        <v>5</v>
      </c>
      <c r="N22" s="282">
        <v>22</v>
      </c>
      <c r="O22" s="283">
        <v>40</v>
      </c>
      <c r="P22" s="284">
        <v>0.23</v>
      </c>
      <c r="Q22" s="285">
        <f t="shared" si="0"/>
        <v>10</v>
      </c>
      <c r="R22" s="285">
        <f t="shared" si="1"/>
        <v>14</v>
      </c>
      <c r="S22" s="285">
        <f t="shared" si="2"/>
        <v>12</v>
      </c>
      <c r="T22" s="285">
        <f t="shared" si="3"/>
        <v>10</v>
      </c>
    </row>
    <row r="23" spans="1:20" ht="13.2">
      <c r="A23" s="34" t="s">
        <v>2435</v>
      </c>
      <c r="B23" s="38">
        <v>25</v>
      </c>
      <c r="C23" s="278">
        <v>0.6</v>
      </c>
      <c r="D23" s="279">
        <v>6</v>
      </c>
      <c r="E23" s="279">
        <v>30</v>
      </c>
      <c r="F23" s="279">
        <v>53</v>
      </c>
      <c r="G23" s="280">
        <v>7</v>
      </c>
      <c r="H23" s="280">
        <v>38</v>
      </c>
      <c r="I23" s="280">
        <v>70</v>
      </c>
      <c r="J23" s="281">
        <v>6</v>
      </c>
      <c r="K23" s="281">
        <v>35</v>
      </c>
      <c r="L23" s="281">
        <v>67</v>
      </c>
      <c r="M23" s="282">
        <v>6</v>
      </c>
      <c r="N23" s="282">
        <v>27</v>
      </c>
      <c r="O23" s="283">
        <v>47</v>
      </c>
      <c r="P23" s="284">
        <v>0.21</v>
      </c>
      <c r="Q23" s="285">
        <f t="shared" si="0"/>
        <v>12</v>
      </c>
      <c r="R23" s="285">
        <f t="shared" si="1"/>
        <v>15</v>
      </c>
      <c r="S23" s="285">
        <f t="shared" si="2"/>
        <v>14</v>
      </c>
      <c r="T23" s="285">
        <f t="shared" si="3"/>
        <v>12</v>
      </c>
    </row>
    <row r="24" spans="1:20" ht="13.2">
      <c r="A24" s="34" t="s">
        <v>2435</v>
      </c>
      <c r="B24" s="38">
        <v>35</v>
      </c>
      <c r="C24" s="278">
        <v>0.57999999999999996</v>
      </c>
      <c r="D24" s="279">
        <v>7</v>
      </c>
      <c r="E24" s="279">
        <v>35</v>
      </c>
      <c r="F24" s="279">
        <v>68</v>
      </c>
      <c r="G24" s="280">
        <v>8</v>
      </c>
      <c r="H24" s="280">
        <v>45</v>
      </c>
      <c r="I24" s="280">
        <v>87</v>
      </c>
      <c r="J24" s="281">
        <v>7</v>
      </c>
      <c r="K24" s="281">
        <v>41</v>
      </c>
      <c r="L24" s="281">
        <v>77</v>
      </c>
      <c r="M24" s="282">
        <v>6</v>
      </c>
      <c r="N24" s="282">
        <v>33</v>
      </c>
      <c r="O24" s="283">
        <v>58</v>
      </c>
      <c r="P24" s="284">
        <v>0.2</v>
      </c>
      <c r="Q24" s="285">
        <f t="shared" si="0"/>
        <v>14</v>
      </c>
      <c r="R24" s="285">
        <f t="shared" si="1"/>
        <v>18</v>
      </c>
      <c r="S24" s="285">
        <f t="shared" si="2"/>
        <v>16</v>
      </c>
      <c r="T24" s="285">
        <f t="shared" si="3"/>
        <v>13</v>
      </c>
    </row>
    <row r="25" spans="1:20" ht="13.2">
      <c r="A25" s="34" t="s">
        <v>2435</v>
      </c>
      <c r="B25" s="38">
        <v>50</v>
      </c>
      <c r="C25" s="278">
        <v>0.5</v>
      </c>
      <c r="D25" s="279">
        <v>8</v>
      </c>
      <c r="E25" s="279">
        <v>47</v>
      </c>
      <c r="F25" s="279">
        <v>84</v>
      </c>
      <c r="G25" s="280">
        <v>9</v>
      </c>
      <c r="H25" s="280">
        <v>60</v>
      </c>
      <c r="I25" s="280">
        <v>108</v>
      </c>
      <c r="J25" s="281">
        <v>8</v>
      </c>
      <c r="K25" s="281">
        <v>53</v>
      </c>
      <c r="L25" s="281">
        <v>96</v>
      </c>
      <c r="M25" s="282">
        <v>7</v>
      </c>
      <c r="N25" s="282">
        <v>40</v>
      </c>
      <c r="O25" s="283">
        <v>72</v>
      </c>
      <c r="P25" s="284">
        <v>0.18</v>
      </c>
      <c r="Q25" s="285">
        <f t="shared" si="0"/>
        <v>18</v>
      </c>
      <c r="R25" s="285">
        <f t="shared" si="1"/>
        <v>22</v>
      </c>
      <c r="S25" s="285">
        <f t="shared" si="2"/>
        <v>20</v>
      </c>
      <c r="T25" s="285">
        <f t="shared" si="3"/>
        <v>16</v>
      </c>
    </row>
    <row r="26" spans="1:20" ht="13.2">
      <c r="A26" s="34" t="s">
        <v>2436</v>
      </c>
      <c r="B26" s="38">
        <v>0</v>
      </c>
      <c r="C26" s="278">
        <v>0.8</v>
      </c>
      <c r="D26" s="279">
        <v>2</v>
      </c>
      <c r="E26" s="279">
        <v>12</v>
      </c>
      <c r="F26" s="279">
        <v>19</v>
      </c>
      <c r="G26" s="280">
        <v>3</v>
      </c>
      <c r="H26" s="280">
        <v>15</v>
      </c>
      <c r="I26" s="280">
        <v>24</v>
      </c>
      <c r="J26" s="281">
        <v>3</v>
      </c>
      <c r="K26" s="281">
        <v>13</v>
      </c>
      <c r="L26" s="281">
        <v>21</v>
      </c>
      <c r="M26" s="282">
        <v>2</v>
      </c>
      <c r="N26" s="282">
        <v>10</v>
      </c>
      <c r="O26" s="283">
        <v>16</v>
      </c>
      <c r="P26" s="284">
        <v>0.4</v>
      </c>
      <c r="Q26" s="285">
        <f t="shared" si="0"/>
        <v>5</v>
      </c>
      <c r="R26" s="285">
        <f t="shared" si="1"/>
        <v>6</v>
      </c>
      <c r="S26" s="285">
        <f t="shared" si="2"/>
        <v>6</v>
      </c>
      <c r="T26" s="285">
        <f t="shared" si="3"/>
        <v>4</v>
      </c>
    </row>
    <row r="27" spans="1:20" ht="13.2">
      <c r="A27" s="34" t="s">
        <v>2436</v>
      </c>
      <c r="B27" s="38">
        <v>4</v>
      </c>
      <c r="C27" s="278">
        <v>0.75</v>
      </c>
      <c r="D27" s="279">
        <v>2</v>
      </c>
      <c r="E27" s="279">
        <v>14</v>
      </c>
      <c r="F27" s="279">
        <v>23</v>
      </c>
      <c r="G27" s="280">
        <v>3</v>
      </c>
      <c r="H27" s="280">
        <v>18</v>
      </c>
      <c r="I27" s="280">
        <v>30</v>
      </c>
      <c r="J27" s="281">
        <v>3</v>
      </c>
      <c r="K27" s="281">
        <v>16</v>
      </c>
      <c r="L27" s="281">
        <v>27</v>
      </c>
      <c r="M27" s="282">
        <v>2</v>
      </c>
      <c r="N27" s="282">
        <v>12</v>
      </c>
      <c r="O27" s="283">
        <v>20</v>
      </c>
      <c r="P27" s="284">
        <v>0.35</v>
      </c>
      <c r="Q27" s="285">
        <f t="shared" si="0"/>
        <v>5</v>
      </c>
      <c r="R27" s="285">
        <f t="shared" si="1"/>
        <v>7</v>
      </c>
      <c r="S27" s="285">
        <f t="shared" si="2"/>
        <v>7</v>
      </c>
      <c r="T27" s="285">
        <f t="shared" si="3"/>
        <v>5</v>
      </c>
    </row>
    <row r="28" spans="1:20" ht="13.2">
      <c r="A28" s="34" t="s">
        <v>2436</v>
      </c>
      <c r="B28" s="38">
        <v>10</v>
      </c>
      <c r="C28" s="278">
        <v>0.67</v>
      </c>
      <c r="D28" s="279">
        <v>3</v>
      </c>
      <c r="E28" s="279">
        <v>14</v>
      </c>
      <c r="F28" s="279">
        <v>23</v>
      </c>
      <c r="G28" s="280">
        <v>4</v>
      </c>
      <c r="H28" s="280">
        <v>18</v>
      </c>
      <c r="I28" s="280">
        <v>30</v>
      </c>
      <c r="J28" s="281">
        <v>4</v>
      </c>
      <c r="K28" s="281">
        <v>16</v>
      </c>
      <c r="L28" s="281">
        <v>27</v>
      </c>
      <c r="M28" s="282">
        <v>3</v>
      </c>
      <c r="N28" s="282">
        <v>20</v>
      </c>
      <c r="O28" s="283">
        <v>28</v>
      </c>
      <c r="P28" s="284">
        <v>0.27</v>
      </c>
      <c r="Q28" s="285">
        <f t="shared" si="0"/>
        <v>6</v>
      </c>
      <c r="R28" s="285">
        <f t="shared" si="1"/>
        <v>8</v>
      </c>
      <c r="S28" s="285">
        <f t="shared" si="2"/>
        <v>7</v>
      </c>
      <c r="T28" s="285">
        <f t="shared" si="3"/>
        <v>8</v>
      </c>
    </row>
    <row r="29" spans="1:20" ht="13.2">
      <c r="A29" s="34" t="s">
        <v>2436</v>
      </c>
      <c r="B29" s="38">
        <v>16</v>
      </c>
      <c r="C29" s="278">
        <v>0.62</v>
      </c>
      <c r="D29" s="279">
        <v>4</v>
      </c>
      <c r="E29" s="279">
        <v>23</v>
      </c>
      <c r="F29" s="279">
        <v>33</v>
      </c>
      <c r="G29" s="280">
        <v>6</v>
      </c>
      <c r="H29" s="280">
        <v>30</v>
      </c>
      <c r="I29" s="280">
        <v>42</v>
      </c>
      <c r="J29" s="281">
        <v>5</v>
      </c>
      <c r="K29" s="281">
        <v>27</v>
      </c>
      <c r="L29" s="281">
        <v>37</v>
      </c>
      <c r="M29" s="282">
        <v>4</v>
      </c>
      <c r="N29" s="282">
        <v>27</v>
      </c>
      <c r="O29" s="283">
        <v>35</v>
      </c>
      <c r="P29" s="284">
        <v>0.22</v>
      </c>
      <c r="Q29" s="285">
        <f t="shared" si="0"/>
        <v>9</v>
      </c>
      <c r="R29" s="285">
        <f t="shared" si="1"/>
        <v>12</v>
      </c>
      <c r="S29" s="285">
        <f t="shared" si="2"/>
        <v>11</v>
      </c>
      <c r="T29" s="285">
        <f t="shared" si="3"/>
        <v>10</v>
      </c>
    </row>
    <row r="30" spans="1:20" ht="13.2">
      <c r="A30" s="34" t="s">
        <v>2436</v>
      </c>
      <c r="B30" s="38">
        <v>35</v>
      </c>
      <c r="C30" s="278">
        <v>0.57999999999999996</v>
      </c>
      <c r="D30" s="279">
        <v>4</v>
      </c>
      <c r="E30" s="279">
        <v>39</v>
      </c>
      <c r="F30" s="279">
        <v>56</v>
      </c>
      <c r="G30" s="280">
        <v>6</v>
      </c>
      <c r="H30" s="280">
        <v>50</v>
      </c>
      <c r="I30" s="280">
        <v>72</v>
      </c>
      <c r="J30" s="281">
        <v>5</v>
      </c>
      <c r="K30" s="281">
        <v>44</v>
      </c>
      <c r="L30" s="281">
        <v>64</v>
      </c>
      <c r="M30" s="282">
        <v>4</v>
      </c>
      <c r="N30" s="282">
        <v>33</v>
      </c>
      <c r="O30" s="283">
        <v>48</v>
      </c>
      <c r="P30" s="284">
        <v>0.2</v>
      </c>
      <c r="Q30" s="285">
        <f t="shared" si="0"/>
        <v>13</v>
      </c>
      <c r="R30" s="285">
        <f t="shared" si="1"/>
        <v>17</v>
      </c>
      <c r="S30" s="285">
        <f t="shared" si="2"/>
        <v>15</v>
      </c>
      <c r="T30" s="285">
        <f t="shared" si="3"/>
        <v>12</v>
      </c>
    </row>
    <row r="31" spans="1:20" ht="13.2">
      <c r="A31" s="34" t="s">
        <v>2436</v>
      </c>
      <c r="B31" s="38">
        <v>50</v>
      </c>
      <c r="C31" s="278">
        <v>0.5</v>
      </c>
      <c r="D31" s="279">
        <v>7</v>
      </c>
      <c r="E31" s="279">
        <v>47</v>
      </c>
      <c r="F31" s="279">
        <v>67</v>
      </c>
      <c r="G31" s="280">
        <v>9</v>
      </c>
      <c r="H31" s="280">
        <v>60</v>
      </c>
      <c r="I31" s="280">
        <v>86</v>
      </c>
      <c r="J31" s="281">
        <v>8</v>
      </c>
      <c r="K31" s="281">
        <v>53</v>
      </c>
      <c r="L31" s="281">
        <v>76</v>
      </c>
      <c r="M31" s="282">
        <v>6</v>
      </c>
      <c r="N31" s="282">
        <v>40</v>
      </c>
      <c r="O31" s="283">
        <v>57</v>
      </c>
      <c r="P31" s="284">
        <v>0.18</v>
      </c>
      <c r="Q31" s="285">
        <f t="shared" si="0"/>
        <v>17</v>
      </c>
      <c r="R31" s="285">
        <f t="shared" si="1"/>
        <v>22</v>
      </c>
      <c r="S31" s="285">
        <f t="shared" si="2"/>
        <v>20</v>
      </c>
      <c r="T31" s="285">
        <f t="shared" si="3"/>
        <v>15</v>
      </c>
    </row>
    <row r="32" spans="1:20" ht="13.2">
      <c r="A32" s="34" t="s">
        <v>2437</v>
      </c>
      <c r="B32" s="38">
        <v>0</v>
      </c>
      <c r="C32" s="278">
        <v>0.8</v>
      </c>
      <c r="D32" s="279">
        <v>2</v>
      </c>
      <c r="E32" s="279">
        <v>8</v>
      </c>
      <c r="F32" s="279">
        <v>18</v>
      </c>
      <c r="G32" s="280">
        <v>3</v>
      </c>
      <c r="H32" s="280">
        <v>11</v>
      </c>
      <c r="I32" s="280">
        <v>29</v>
      </c>
      <c r="J32" s="281">
        <v>3</v>
      </c>
      <c r="K32" s="281">
        <v>10</v>
      </c>
      <c r="L32" s="281">
        <v>25</v>
      </c>
      <c r="M32" s="282">
        <v>2</v>
      </c>
      <c r="N32" s="282">
        <v>7</v>
      </c>
      <c r="O32" s="283">
        <v>16</v>
      </c>
      <c r="P32" s="284">
        <v>0.4</v>
      </c>
      <c r="Q32" s="285">
        <f t="shared" si="0"/>
        <v>4</v>
      </c>
      <c r="R32" s="285">
        <f t="shared" si="1"/>
        <v>5</v>
      </c>
      <c r="S32" s="285">
        <f t="shared" si="2"/>
        <v>5</v>
      </c>
      <c r="T32" s="285">
        <f t="shared" si="3"/>
        <v>4</v>
      </c>
    </row>
    <row r="33" spans="1:20" ht="13.2">
      <c r="A33" s="34" t="s">
        <v>2437</v>
      </c>
      <c r="B33" s="38">
        <v>4</v>
      </c>
      <c r="C33" s="278">
        <v>0.75</v>
      </c>
      <c r="D33" s="279">
        <v>2</v>
      </c>
      <c r="E33" s="279">
        <v>9</v>
      </c>
      <c r="F33" s="279">
        <v>33</v>
      </c>
      <c r="G33" s="280">
        <v>3</v>
      </c>
      <c r="H33" s="280">
        <v>14</v>
      </c>
      <c r="I33" s="280">
        <v>49</v>
      </c>
      <c r="J33" s="281">
        <v>3</v>
      </c>
      <c r="K33" s="281">
        <v>13</v>
      </c>
      <c r="L33" s="281">
        <v>43</v>
      </c>
      <c r="M33" s="282">
        <v>2</v>
      </c>
      <c r="N33" s="282">
        <v>12</v>
      </c>
      <c r="O33" s="283">
        <v>30</v>
      </c>
      <c r="P33" s="284">
        <v>0.35</v>
      </c>
      <c r="Q33" s="285">
        <f t="shared" si="0"/>
        <v>4</v>
      </c>
      <c r="R33" s="285">
        <f t="shared" si="1"/>
        <v>6</v>
      </c>
      <c r="S33" s="285">
        <f t="shared" si="2"/>
        <v>6</v>
      </c>
      <c r="T33" s="285">
        <f t="shared" si="3"/>
        <v>5</v>
      </c>
    </row>
    <row r="34" spans="1:20" ht="13.2">
      <c r="A34" s="34" t="s">
        <v>2437</v>
      </c>
      <c r="B34" s="38">
        <v>10</v>
      </c>
      <c r="C34" s="278">
        <v>0.67</v>
      </c>
      <c r="D34" s="279">
        <v>3</v>
      </c>
      <c r="E34" s="279">
        <v>22</v>
      </c>
      <c r="F34" s="279">
        <v>42</v>
      </c>
      <c r="G34" s="280">
        <v>5</v>
      </c>
      <c r="H34" s="280">
        <v>28</v>
      </c>
      <c r="I34" s="280">
        <v>61</v>
      </c>
      <c r="J34" s="281">
        <v>4</v>
      </c>
      <c r="K34" s="281">
        <v>25</v>
      </c>
      <c r="L34" s="281">
        <v>54</v>
      </c>
      <c r="M34" s="282">
        <v>3</v>
      </c>
      <c r="N34" s="282">
        <v>19</v>
      </c>
      <c r="O34" s="283">
        <v>35</v>
      </c>
      <c r="P34" s="284">
        <v>0.32</v>
      </c>
      <c r="Q34" s="285">
        <f t="shared" si="0"/>
        <v>8</v>
      </c>
      <c r="R34" s="285">
        <f t="shared" si="1"/>
        <v>11</v>
      </c>
      <c r="S34" s="285">
        <f t="shared" si="2"/>
        <v>10</v>
      </c>
      <c r="T34" s="285">
        <f t="shared" si="3"/>
        <v>7</v>
      </c>
    </row>
    <row r="35" spans="1:20" ht="13.2">
      <c r="A35" s="34" t="s">
        <v>2437</v>
      </c>
      <c r="B35" s="38">
        <v>16</v>
      </c>
      <c r="C35" s="278">
        <v>0.62</v>
      </c>
      <c r="D35" s="279">
        <v>3</v>
      </c>
      <c r="E35" s="279">
        <v>31</v>
      </c>
      <c r="F35" s="279">
        <v>50</v>
      </c>
      <c r="G35" s="280">
        <v>5</v>
      </c>
      <c r="H35" s="280">
        <v>40</v>
      </c>
      <c r="I35" s="280">
        <v>77</v>
      </c>
      <c r="J35" s="281">
        <v>4</v>
      </c>
      <c r="K35" s="281">
        <v>36</v>
      </c>
      <c r="L35" s="281">
        <v>68</v>
      </c>
      <c r="M35" s="282">
        <v>3</v>
      </c>
      <c r="N35" s="282">
        <v>27</v>
      </c>
      <c r="O35" s="283">
        <v>49</v>
      </c>
      <c r="P35" s="284">
        <v>0.3</v>
      </c>
      <c r="Q35" s="285">
        <f t="shared" si="0"/>
        <v>10</v>
      </c>
      <c r="R35" s="285">
        <f t="shared" si="1"/>
        <v>14</v>
      </c>
      <c r="S35" s="285">
        <f t="shared" si="2"/>
        <v>12</v>
      </c>
      <c r="T35" s="285">
        <f t="shared" si="3"/>
        <v>9</v>
      </c>
    </row>
    <row r="36" spans="1:20" ht="13.2">
      <c r="A36" s="34" t="s">
        <v>2437</v>
      </c>
      <c r="B36" s="38">
        <v>35</v>
      </c>
      <c r="C36" s="278">
        <v>0.57999999999999996</v>
      </c>
      <c r="D36" s="279">
        <v>4</v>
      </c>
      <c r="E36" s="279">
        <v>39</v>
      </c>
      <c r="F36" s="279">
        <v>55</v>
      </c>
      <c r="G36" s="280">
        <v>6</v>
      </c>
      <c r="H36" s="280">
        <v>50</v>
      </c>
      <c r="I36" s="280">
        <v>82</v>
      </c>
      <c r="J36" s="281">
        <v>5</v>
      </c>
      <c r="K36" s="281">
        <v>44</v>
      </c>
      <c r="L36" s="281">
        <v>73</v>
      </c>
      <c r="M36" s="282">
        <v>4</v>
      </c>
      <c r="N36" s="282">
        <v>33</v>
      </c>
      <c r="O36" s="283">
        <v>52</v>
      </c>
      <c r="P36" s="284">
        <v>0.25</v>
      </c>
      <c r="Q36" s="285">
        <f t="shared" si="0"/>
        <v>13</v>
      </c>
      <c r="R36" s="285">
        <f t="shared" si="1"/>
        <v>17</v>
      </c>
      <c r="S36" s="285">
        <f t="shared" si="2"/>
        <v>15</v>
      </c>
      <c r="T36" s="285">
        <f t="shared" si="3"/>
        <v>12</v>
      </c>
    </row>
    <row r="37" spans="1:20" ht="13.2">
      <c r="A37" s="34" t="s">
        <v>2437</v>
      </c>
      <c r="B37" s="38">
        <v>50</v>
      </c>
      <c r="C37" s="278">
        <v>0.5</v>
      </c>
      <c r="D37" s="279">
        <v>5</v>
      </c>
      <c r="E37" s="279">
        <v>47</v>
      </c>
      <c r="F37" s="279">
        <v>60</v>
      </c>
      <c r="G37" s="280">
        <v>7</v>
      </c>
      <c r="H37" s="280">
        <v>60</v>
      </c>
      <c r="I37" s="280">
        <v>91</v>
      </c>
      <c r="J37" s="281">
        <v>6</v>
      </c>
      <c r="K37" s="281">
        <v>53</v>
      </c>
      <c r="L37" s="281">
        <v>80</v>
      </c>
      <c r="M37" s="282">
        <v>5</v>
      </c>
      <c r="N37" s="282">
        <v>40</v>
      </c>
      <c r="O37" s="283">
        <v>58</v>
      </c>
      <c r="P37" s="284">
        <v>0.2</v>
      </c>
      <c r="Q37" s="285">
        <f t="shared" si="0"/>
        <v>16</v>
      </c>
      <c r="R37" s="285">
        <f t="shared" si="1"/>
        <v>21</v>
      </c>
      <c r="S37" s="285">
        <f t="shared" si="2"/>
        <v>18</v>
      </c>
      <c r="T37" s="285">
        <f t="shared" si="3"/>
        <v>14</v>
      </c>
    </row>
    <row r="38" spans="1:20" ht="13.2">
      <c r="A38" s="34" t="s">
        <v>2551</v>
      </c>
      <c r="B38" s="38">
        <v>0</v>
      </c>
      <c r="C38" s="278">
        <v>0.75</v>
      </c>
      <c r="D38" s="279">
        <v>1</v>
      </c>
      <c r="E38" s="279" t="s">
        <v>2470</v>
      </c>
      <c r="F38" s="279" t="s">
        <v>2470</v>
      </c>
      <c r="G38" s="280">
        <v>2</v>
      </c>
      <c r="H38" s="280" t="s">
        <v>2470</v>
      </c>
      <c r="I38" s="280" t="s">
        <v>2470</v>
      </c>
      <c r="J38" s="281">
        <v>2</v>
      </c>
      <c r="K38" s="281" t="s">
        <v>2470</v>
      </c>
      <c r="L38" s="281" t="s">
        <v>2470</v>
      </c>
      <c r="M38" s="282">
        <v>1</v>
      </c>
      <c r="N38" s="282" t="s">
        <v>2470</v>
      </c>
      <c r="O38" s="283" t="s">
        <v>2470</v>
      </c>
      <c r="P38" s="284">
        <v>0.5</v>
      </c>
      <c r="Q38" s="285">
        <v>3</v>
      </c>
      <c r="R38" s="285">
        <v>5</v>
      </c>
      <c r="S38" s="285">
        <v>4</v>
      </c>
      <c r="T38" s="2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sheet</vt:lpstr>
      <vt:lpstr>DTF Mtrs tracking</vt:lpstr>
      <vt:lpstr>DTF PRO Printing Tracking</vt:lpstr>
      <vt:lpstr>Mapping Sheet</vt:lpstr>
      <vt:lpstr>Bundle_SKU_Mapping</vt:lpstr>
      <vt:lpstr>master_inventory</vt:lpstr>
      <vt:lpstr>oos_ledger</vt:lpstr>
      <vt:lpstr>inventory_lookup</vt:lpstr>
      <vt:lpstr>rolls_history</vt:lpstr>
      <vt:lpstr>sales_dates</vt:lpstr>
      <vt:lpstr>whats_next</vt:lpstr>
      <vt:lpstr>rto_inventory</vt:lpstr>
      <vt:lpstr>tier_rules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Pratik Chevli</cp:lastModifiedBy>
  <dcterms:created xsi:type="dcterms:W3CDTF">2026-09-22T18:09:10Z</dcterms:created>
  <dcterms:modified xsi:type="dcterms:W3CDTF">2026-09-22T18:09:10Z</dcterms:modified>
</cp:coreProperties>
</file>