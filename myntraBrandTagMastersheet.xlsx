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yntraBrandTagData" sheetId="1" r:id="rId5"/>
    <sheet state="visible" name="myntraInventory" sheetId="2" r:id="rId6"/>
    <sheet state="visible" name="ajioInventory" sheetId="3" r:id="rId7"/>
    <sheet state="visible" name="unkownErrors" sheetId="4" r:id="rId8"/>
    <sheet state="visible" name="myntraButNotInAjio" sheetId="5" r:id="rId9"/>
    <sheet state="visible" name="ajioButNotInMyntra" sheetId="6" r:id="rId10"/>
  </sheets>
  <definedNames/>
  <calcPr/>
</workbook>
</file>

<file path=xl/sharedStrings.xml><?xml version="1.0" encoding="utf-8"?>
<sst xmlns="http://schemas.openxmlformats.org/spreadsheetml/2006/main" count="6785" uniqueCount="1112">
  <si>
    <t>style_id_mstr</t>
  </si>
  <si>
    <t>sellerSkuCode</t>
  </si>
  <si>
    <t>sku_mstr</t>
  </si>
  <si>
    <t>quantity</t>
  </si>
  <si>
    <t>mrp_mstr</t>
  </si>
  <si>
    <t>error</t>
  </si>
  <si>
    <t>OS-Asta-L</t>
  </si>
  <si>
    <t>month_year_mstr</t>
  </si>
  <si>
    <t>product_mstr</t>
  </si>
  <si>
    <t>quantity_mstr</t>
  </si>
  <si>
    <t>size_mstr</t>
  </si>
  <si>
    <t>colour_mstr</t>
  </si>
  <si>
    <t>OS-Asta-M</t>
  </si>
  <si>
    <t>size_Inches_mstr</t>
  </si>
  <si>
    <t>Tags</t>
  </si>
  <si>
    <t>OS-Asta-S</t>
  </si>
  <si>
    <t>OS-Asta-XL</t>
  </si>
  <si>
    <t>OS-CACTUS-L</t>
  </si>
  <si>
    <t>WHF-OS-White-XL</t>
  </si>
  <si>
    <t>OS-CACTUS-M</t>
  </si>
  <si>
    <t>Sep26</t>
  </si>
  <si>
    <t>OS-CACTUS-S</t>
  </si>
  <si>
    <t>OS-CACTUS-XL</t>
  </si>
  <si>
    <t>OS-EAGLE-L</t>
  </si>
  <si>
    <t>Tshirt</t>
  </si>
  <si>
    <t>WHF-OS-White-L</t>
  </si>
  <si>
    <t>OS-EAGLE-M</t>
  </si>
  <si>
    <t>1 N</t>
  </si>
  <si>
    <t>OS-EAGLE-S</t>
  </si>
  <si>
    <t>WHF-OS-B.GREEN-L</t>
  </si>
  <si>
    <t>WHF-OS-Grey-S</t>
  </si>
  <si>
    <t>OS-EAGLE-XL</t>
  </si>
  <si>
    <t>OS-PORSCHE-L</t>
  </si>
  <si>
    <t>WHF-OS-Grey-M</t>
  </si>
  <si>
    <t>OS-PORSCHE-M</t>
  </si>
  <si>
    <t>OS-PORSCHE-S</t>
  </si>
  <si>
    <t>WHF-OS-R.Blue-L</t>
  </si>
  <si>
    <t>OS-PORSCHE-XL</t>
  </si>
  <si>
    <t>OS-TRAVIS-L</t>
  </si>
  <si>
    <t>OS-TRAVIS-M</t>
  </si>
  <si>
    <t>WHF-OS-B.GREEN-S</t>
  </si>
  <si>
    <t>OS-TRAVIS-S</t>
  </si>
  <si>
    <t>OS-TRAVIS-XL</t>
  </si>
  <si>
    <t>WH-OS-GHOST-L</t>
  </si>
  <si>
    <t>WHF-OS-White-M</t>
  </si>
  <si>
    <t>WH-OS-GHOST-M</t>
  </si>
  <si>
    <t>WH-OS-GHOST-S</t>
  </si>
  <si>
    <t>WH-OS-GHOST-XL</t>
  </si>
  <si>
    <t>WHF-OS-R.Blue-S</t>
  </si>
  <si>
    <t>WH-OS-NAGI-L</t>
  </si>
  <si>
    <t>WH-OS-NAGI-M</t>
  </si>
  <si>
    <t>WH-OS-NAGI-S</t>
  </si>
  <si>
    <t>Red</t>
  </si>
  <si>
    <t>WHF-OS-Black-XL</t>
  </si>
  <si>
    <t>WH-OS-NAGI-XL</t>
  </si>
  <si>
    <t>WH-OS-SAITAMA-L</t>
  </si>
  <si>
    <t>WHF-OS-R.Blue-XL</t>
  </si>
  <si>
    <t>WH-OS-SAITAMA-M</t>
  </si>
  <si>
    <t>WH-OS-SAITAMA-S</t>
  </si>
  <si>
    <t>WHF-OS-Grey-L</t>
  </si>
  <si>
    <t>WH-OS-SAITAMA-XL</t>
  </si>
  <si>
    <t>WH-OS-ZENITSU-L</t>
  </si>
  <si>
    <t>WHF-OS-ACID-Wash-M</t>
  </si>
  <si>
    <t>WH-OS-ZENITSU-M</t>
  </si>
  <si>
    <t>WH-OS-ZENITSU-S</t>
  </si>
  <si>
    <t>WHF-OS-Black-M</t>
  </si>
  <si>
    <t>WH-OS-ZENITSU-XL</t>
  </si>
  <si>
    <t>WHF-CARGO-BLACK-L</t>
  </si>
  <si>
    <t>WHF-CARGO-BLACK-M</t>
  </si>
  <si>
    <t>WHF-OS-White-S</t>
  </si>
  <si>
    <t>WHF-CARGO-BLACK-S</t>
  </si>
  <si>
    <t>WHF-CARGO-BLACK-XL</t>
  </si>
  <si>
    <t>WHF-CARGO-D.GREY-L</t>
  </si>
  <si>
    <t>WHF-OS-Black-L</t>
  </si>
  <si>
    <t>WHF-CARGO-D.GREY-M</t>
  </si>
  <si>
    <t>WHF-CARGO-D.GREY-S</t>
  </si>
  <si>
    <t>WHF-OS-B.GREEN-M</t>
  </si>
  <si>
    <t>WHF-CARGO-D.GREY-XL</t>
  </si>
  <si>
    <t>WHF-HO-ACE-BLACK-L</t>
  </si>
  <si>
    <t>WHF-HO-ACE-BLACK-M</t>
  </si>
  <si>
    <t>WHF-OS-ACID-Wash-L</t>
  </si>
  <si>
    <t>WHF-HO-ACE-BLACK-S</t>
  </si>
  <si>
    <t>WHF-HO-ACE-BLACK-XL</t>
  </si>
  <si>
    <t>WHF-OS-TEAL-S</t>
  </si>
  <si>
    <t>WHF-HO-ACID-WASH-HOODIE-L</t>
  </si>
  <si>
    <t>WHF-HO-ACID-WASH-HOODIE-M</t>
  </si>
  <si>
    <t>WHF-OS-Grey-XL</t>
  </si>
  <si>
    <t>WHF-HO-ACID-WASH-HOODIE-S</t>
  </si>
  <si>
    <t>WHF-HO-AKAZA-HOODIE-S</t>
  </si>
  <si>
    <t>WHF-OS-TAN-S</t>
  </si>
  <si>
    <t>WHF-HO-AKAZA-HOODIE-L</t>
  </si>
  <si>
    <t>WHF-HO-AKAZA-HOODIE-M</t>
  </si>
  <si>
    <t>WHF-OS-TAN-L</t>
  </si>
  <si>
    <t>WHF-HO-ALMIGHTY-HOODIE-S</t>
  </si>
  <si>
    <t>WHF-HO-JINWOO-HOODIE-S</t>
  </si>
  <si>
    <t>WHF-OS-BEIGE-M</t>
  </si>
  <si>
    <t>WHF-HO-ALMIGHTY-HOODIE-L</t>
  </si>
  <si>
    <t>WHF-OS-Black-S</t>
  </si>
  <si>
    <t>asta tshirt, asta, astatshirt, asta os, os asta, tshirt asta</t>
  </si>
  <si>
    <t>WHF-HO-ALMIGHTY-HOODIE-M</t>
  </si>
  <si>
    <t>WHF-HO-ACID-WASH-HOODIE-XL</t>
  </si>
  <si>
    <t>WHF-OS-TEAL-L</t>
  </si>
  <si>
    <t>WHF-HO-AKAZA-HOODIE-XL</t>
  </si>
  <si>
    <t>WHF-OS-B.GREEN-XL</t>
  </si>
  <si>
    <t>WHF-HO-ASURA-L</t>
  </si>
  <si>
    <t>WHF-HO-ASURA-M</t>
  </si>
  <si>
    <t>WHF-OS-NAVY-M</t>
  </si>
  <si>
    <t>WHF-HO-ASURA-S</t>
  </si>
  <si>
    <t>WHF-HO-ASURA-XL</t>
  </si>
  <si>
    <t>WHF-OS-BEIGE-S</t>
  </si>
  <si>
    <t>WHF-HO-BANKAI-L</t>
  </si>
  <si>
    <t>WHF-HO-BANKAI-M</t>
  </si>
  <si>
    <t>WHF-OS-ACID-Wash-XL</t>
  </si>
  <si>
    <t>WHF-HO-BANKAI-S</t>
  </si>
  <si>
    <t>WHF-HO-BANKAI-XL</t>
  </si>
  <si>
    <t>WHF-OS-R.Blue-M</t>
  </si>
  <si>
    <t>WHF-HO-BERSERK-HOODIE-L</t>
  </si>
  <si>
    <t>WHF-OS-BEIGE-XL</t>
  </si>
  <si>
    <t>WHF-HO-BERSERK-HOODIE-M</t>
  </si>
  <si>
    <t>WHF-HO-BERSERK-HOODIE-S</t>
  </si>
  <si>
    <t>WHF-OS-ICE-BLUE-L</t>
  </si>
  <si>
    <t>WHF-HO-BERSERK-HOODIE-XL</t>
  </si>
  <si>
    <t>WHF-HO-BLACKDIVIDER-L</t>
  </si>
  <si>
    <t>WHF-HO-BLACKDIVIDER-M</t>
  </si>
  <si>
    <t>WHF-OS-TAN-XL</t>
  </si>
  <si>
    <t>WHF-HO-BLACKDIVIDER-S</t>
  </si>
  <si>
    <t>WHF-HO-BLACKDIVIDER-XL</t>
  </si>
  <si>
    <t>WHF-HO-BUNGEE-HOODIE-L</t>
  </si>
  <si>
    <t>WHF-OS-NAVY-XL</t>
  </si>
  <si>
    <t>WHF-HO-BUNGEE-HOODIE-M</t>
  </si>
  <si>
    <t>WHF-HO-BUNGEE-HOODIE-S</t>
  </si>
  <si>
    <t>WHF-OS-ACID-Wash-S</t>
  </si>
  <si>
    <t>WHF-HO-BUNGEE-HOODIE-XL</t>
  </si>
  <si>
    <t>WHF-HO-CHAIN-L</t>
  </si>
  <si>
    <t>WHF-OS-NAVY-L</t>
  </si>
  <si>
    <t>WHF-HO-CHAIN-M</t>
  </si>
  <si>
    <t>WHF-HO-CHAIN-S</t>
  </si>
  <si>
    <t>WHF-OS-ICE-BLUE-XL</t>
  </si>
  <si>
    <t>WHF-HO-CHAIN-XL</t>
  </si>
  <si>
    <t>WHF-OS-TEAL-XL</t>
  </si>
  <si>
    <t>WHF-HO-CHROLLO-L</t>
  </si>
  <si>
    <t>WHF-OS-TAN-M</t>
  </si>
  <si>
    <t>WHF-HO-DYNAMIGHT-L</t>
  </si>
  <si>
    <t>WHF-OS-NAVY-S</t>
  </si>
  <si>
    <t>WHF-HO-CHROLLO-S</t>
  </si>
  <si>
    <t>WHF-HO-TAN-L</t>
  </si>
  <si>
    <t>WHF-OS-TEAL-M</t>
  </si>
  <si>
    <t>WHF-HO-CHROLLO-M</t>
  </si>
  <si>
    <t>Grey</t>
  </si>
  <si>
    <t>WHF-HO-DYNAMIGHT-M</t>
  </si>
  <si>
    <t>WHF-OS-ICE-BLUE-M</t>
  </si>
  <si>
    <t>WHF-HO-DYNAMIGHT-S</t>
  </si>
  <si>
    <t>cactus tshirt, cactus, cactustshirt, cactus os, os cactus, tshirt cactus</t>
  </si>
  <si>
    <t>WHF-HO-TAN-M</t>
  </si>
  <si>
    <t>WHF-OS-BEIGE-L</t>
  </si>
  <si>
    <t>WHF-HO-GEAR-5-HOODIE-L</t>
  </si>
  <si>
    <t>WHF-OS-ICE-BLUE-S</t>
  </si>
  <si>
    <t>WHF-HO-GEAR-5-HOODIE-M</t>
  </si>
  <si>
    <t>WHF-HO-GEAR-5-HOODIE-S</t>
  </si>
  <si>
    <t>WHF-HO-GEAR-5-HOODIE-XL</t>
  </si>
  <si>
    <t>WHF-OS-Cream-S</t>
  </si>
  <si>
    <t>WHF-HO-GOJO-BLACK-L</t>
  </si>
  <si>
    <t>WHF-HO-GOJO-BLACK-M</t>
  </si>
  <si>
    <t>WHF-OS-Cream-M</t>
  </si>
  <si>
    <t>WHF-HO-GOJO-BLACK-S</t>
  </si>
  <si>
    <t>WHF-HO-GOJO-BLACK-XL</t>
  </si>
  <si>
    <t>WHF-OS-Cream-XL</t>
  </si>
  <si>
    <t>WHF-HO-GOJO-FISH-L</t>
  </si>
  <si>
    <t>WHF-OS-Cream-L</t>
  </si>
  <si>
    <t>WHF-HO-GOJO-FISH-M</t>
  </si>
  <si>
    <t>WHF-HO-GOJO-FISH-S</t>
  </si>
  <si>
    <t>WHF-OS-Brown-L</t>
  </si>
  <si>
    <t>WHF-HO-GOJO-FISH-XL</t>
  </si>
  <si>
    <t>WHF-OS-Brown-XL</t>
  </si>
  <si>
    <t>WHF-OS-Brown-S</t>
  </si>
  <si>
    <t>WHF-OS-Brown-M</t>
  </si>
  <si>
    <t>WHF-OS-Sage-Green-S</t>
  </si>
  <si>
    <t>WHF-HO-JINWOO-HOODIE-L</t>
  </si>
  <si>
    <t>WHF-OS-Sage-Green-M</t>
  </si>
  <si>
    <t>WHF-HO-JINWOO-HOODIE-M</t>
  </si>
  <si>
    <t>WHF-HO-ALMIGHTY-HOODIE-XL</t>
  </si>
  <si>
    <t>WHF-OS-Sage-Green-L</t>
  </si>
  <si>
    <t>WHF-HO-JINWOO-HOODIE-XL</t>
  </si>
  <si>
    <t>WHF-HO-JOKER-L</t>
  </si>
  <si>
    <t>WHF-OS-Sage-Green-XL</t>
  </si>
  <si>
    <t>WHF-HO-JOKER-M</t>
  </si>
  <si>
    <t>WHF-HO-JOKER-S</t>
  </si>
  <si>
    <t>WHF-HO-JOKER-XL</t>
  </si>
  <si>
    <t>WHF-HO-KOKUSHIBO-L</t>
  </si>
  <si>
    <t>White</t>
  </si>
  <si>
    <t>WHF-HO-KOKUSHIBO-M</t>
  </si>
  <si>
    <t>eagle tshirt, eagle, eagletshirt, eagle os, os eagle</t>
  </si>
  <si>
    <t>WHF-HO-KOKUSHIBO-S</t>
  </si>
  <si>
    <t>WHF-HO-NARU-HINA-HOODIE-L</t>
  </si>
  <si>
    <t>SKU (In Myntra, Missing in Ajio)</t>
  </si>
  <si>
    <t>WHF-HO-KOKUSHIBO-XL</t>
  </si>
  <si>
    <t>WHF-HO-NARU-HINA-HOODIE-S</t>
  </si>
  <si>
    <t>WHF-HO-LEVI-L</t>
  </si>
  <si>
    <t>WHF-HO-NARU-HINA-HOODIE-XL</t>
  </si>
  <si>
    <t>WHF-HO-LEVI-M</t>
  </si>
  <si>
    <t>WHF-HO-NARU-HINA-HOODIE-M</t>
  </si>
  <si>
    <t>Timestamp</t>
  </si>
  <si>
    <t>WHF-HO-LEVI-S</t>
  </si>
  <si>
    <t>WHF-HO-LEVI-XL</t>
  </si>
  <si>
    <t>WHF-HO-LILY-L</t>
  </si>
  <si>
    <t>WHF-HO-LILY-M</t>
  </si>
  <si>
    <t>WHF-HO-LILY-S</t>
  </si>
  <si>
    <t>WHF-HO-LILY-XL</t>
  </si>
  <si>
    <t>WHF-HO-PLAIN-BLACK-L</t>
  </si>
  <si>
    <t>WHF-HO-PLAIN-BLACK-M</t>
  </si>
  <si>
    <t>WHF-HO-PLAIN-BLACK-S</t>
  </si>
  <si>
    <t>WHF-HO-PLAIN-BLACK-XL</t>
  </si>
  <si>
    <t>WHF-HO-PLAIN-OFF-WHITE-L</t>
  </si>
  <si>
    <t>WHF-HO-PLAIN-OFF-WHITE-M</t>
  </si>
  <si>
    <t>WHF-HO-PLAIN-OFF-WHITE-S</t>
  </si>
  <si>
    <t>WHF-OS-GOOD-GIRL-L</t>
  </si>
  <si>
    <t>WHF-HO-PLAIN-OFF-WHITE-XL</t>
  </si>
  <si>
    <t>WHF-OS-GOOD-GIRL-M</t>
  </si>
  <si>
    <t>WHF-OS-GOOD-GIRL-S</t>
  </si>
  <si>
    <t>WHF-HO-SAIYANS-PRIDE-L</t>
  </si>
  <si>
    <t>WHF-HO-SAIYANS-PRIDE-M</t>
  </si>
  <si>
    <t>WHF-OS-GOOD-GIRL-XL</t>
  </si>
  <si>
    <t>porsche tshirt, porsche, porsche tshirt, porsche os, os porsche</t>
  </si>
  <si>
    <t>WHF-HO-SAIYANS-PRIDE-S</t>
  </si>
  <si>
    <t>WHF-OS-BLOOD-SWORD-S</t>
  </si>
  <si>
    <t>WHF-OS-BLOOD-SWORD-M</t>
  </si>
  <si>
    <t>WHF-HO-SAIYANS-PRIDE-XL</t>
  </si>
  <si>
    <t>WHF-OS-BLOOD-SWORD-L</t>
  </si>
  <si>
    <t>WHF-HO-SASUKE-L</t>
  </si>
  <si>
    <t>WHF-OS-BLOOD-SWORD-XL</t>
  </si>
  <si>
    <t>WHF-OS-GREEN-CLOVER-S</t>
  </si>
  <si>
    <t>WHF-HO-SASUKE-M</t>
  </si>
  <si>
    <t>WHF-OS-GREEN-CLOVER-M</t>
  </si>
  <si>
    <t>WHF-HO-SASUKE-S</t>
  </si>
  <si>
    <t>WHF-OS-GREEN-CLOVER-L</t>
  </si>
  <si>
    <t>WHF-OS-GREEN-CLOVER-XL</t>
  </si>
  <si>
    <t>WHF-HO-SASUKE-XL</t>
  </si>
  <si>
    <t>WHF-OS-KURTA-S</t>
  </si>
  <si>
    <t>WHF-HO-SUKUNA-HOODIE-L</t>
  </si>
  <si>
    <t>WHF-OS-KURTA-M</t>
  </si>
  <si>
    <t>WHF-HO-SUKUNA-HOODIE-M</t>
  </si>
  <si>
    <t>WHF-OS-KURTA-L</t>
  </si>
  <si>
    <t>WHF-OS-KURTA-XL</t>
  </si>
  <si>
    <t>WHF-HO-SUKUNA-HOODIE-S</t>
  </si>
  <si>
    <t>WHF-OS-HAND-LOCKET-S</t>
  </si>
  <si>
    <t>WHF-HO-SUKUNA-HOODIE-XL</t>
  </si>
  <si>
    <t>WHF-OS-HAND-LOCKET-M</t>
  </si>
  <si>
    <t>WHF-HO-CHROLLO-XL</t>
  </si>
  <si>
    <t>WHF-OS-HAND-LOCKET-L</t>
  </si>
  <si>
    <t>WHF-OS-HAND-LOCKET-XL</t>
  </si>
  <si>
    <t>WHF-HO-DYNAMIGHT-XL</t>
  </si>
  <si>
    <t>WHF-OS-SKULL-S</t>
  </si>
  <si>
    <t>WHF-HO-TAN-S</t>
  </si>
  <si>
    <t>WHF-OS-SKULL-M</t>
  </si>
  <si>
    <t>WHF-HO-TAN-XL</t>
  </si>
  <si>
    <t>WHF-OS-SKULL-L</t>
  </si>
  <si>
    <t>WHF-OS-SKULL-XL</t>
  </si>
  <si>
    <t>WHF-OS-SCARS-ON-BACK-S</t>
  </si>
  <si>
    <t>WHF-HO-TANJIRO-BLACK-HOODIE-L</t>
  </si>
  <si>
    <t>WHF-OS-SCARS-ON-BACK-M</t>
  </si>
  <si>
    <t>WHF-OS-SCARS-ON-BACK-L</t>
  </si>
  <si>
    <t>WHF-HO-TANJIRO-BLACK-HOODIE-M</t>
  </si>
  <si>
    <t>WHF-OS-SCARS-ON-BACK-XL</t>
  </si>
  <si>
    <t>WHF-OS-SHUNSUI-S</t>
  </si>
  <si>
    <t>WHF-HO-TANJIRO-BLACK-HOODIE-S</t>
  </si>
  <si>
    <t>WHF-OS-SHUNSUI-M</t>
  </si>
  <si>
    <t>WHF-HO-TANJIRO-BLACK-HOODIE-XL</t>
  </si>
  <si>
    <t>WHF-OS-SHUNSUI-L</t>
  </si>
  <si>
    <t>WHF-OS-SHUNSUI-XL</t>
  </si>
  <si>
    <t>WHF-OS-ACE-BLACK-L</t>
  </si>
  <si>
    <t>WHF-OS-WHITE-BEARD-S</t>
  </si>
  <si>
    <t>WHF-OS-ACE-BLACK-M</t>
  </si>
  <si>
    <t>WHF-OS-WHITE-BEARD-M</t>
  </si>
  <si>
    <t>WHF-OS-ACE-BLACK-S</t>
  </si>
  <si>
    <t>WHF-OS-WHITE-BEARD-L</t>
  </si>
  <si>
    <t>WHF-OS-ACE-BLACK-XL</t>
  </si>
  <si>
    <t>WHF-OS-WHITE-BEARD-XL</t>
  </si>
  <si>
    <t>WHF-OS-ACE-WHITE-L</t>
  </si>
  <si>
    <t>Beige</t>
  </si>
  <si>
    <t>WHF-OS-EIGHT-BATCH-S</t>
  </si>
  <si>
    <t>WHF-OS-ACE-WHITE-M</t>
  </si>
  <si>
    <t>WHF-OS-EIGHT-BATCH-M</t>
  </si>
  <si>
    <t>WHF-OS-ACE-WHITE-S</t>
  </si>
  <si>
    <t>travis tshirt, travis, travistshirt, travis os, os travis</t>
  </si>
  <si>
    <t>WHF-OS-EIGHT-BATCH-L</t>
  </si>
  <si>
    <t>WHF-OS-ACE-WHITE-XL</t>
  </si>
  <si>
    <t>WHF-OS-EIGHT-BATCH-XL</t>
  </si>
  <si>
    <t>WHF-OS-NO-ENEMIES-S</t>
  </si>
  <si>
    <t>WHF-OS-NO-ENEMIES-M</t>
  </si>
  <si>
    <t>WHF-OS-NO-ENEMIES-L</t>
  </si>
  <si>
    <t>WHF-OS-NO-ENEMIES-XL</t>
  </si>
  <si>
    <t>WHF-OS-STRONGEST-S</t>
  </si>
  <si>
    <t>WHF-OS-AKAZA-L</t>
  </si>
  <si>
    <t>WHF-OS-STRONGEST-M</t>
  </si>
  <si>
    <t>WHF-OS-AKAZA-M</t>
  </si>
  <si>
    <t>WHF-OS-STRONGEST-L</t>
  </si>
  <si>
    <t>WHF-OS-AKAZA-S</t>
  </si>
  <si>
    <t>WHF-OS-STRONGEST-XL</t>
  </si>
  <si>
    <t>WHF-OS-AKAZA-XL</t>
  </si>
  <si>
    <t>WHF-OS-KON-S</t>
  </si>
  <si>
    <t>WHF-OS-ALCOHOLIC-L</t>
  </si>
  <si>
    <t>WHF-OS-KON-M</t>
  </si>
  <si>
    <t>WHF-OS-ALCOHOLIC-M</t>
  </si>
  <si>
    <t>WHF-OS-KON-L</t>
  </si>
  <si>
    <t>WHF-OS-ALCOHOLIC-S</t>
  </si>
  <si>
    <t>WHF-OS-KON-XL</t>
  </si>
  <si>
    <t>WHF-OS-ALCOHOLIC-XL</t>
  </si>
  <si>
    <t>WHF-OS-LONG-HAIR-S</t>
  </si>
  <si>
    <t>WHF-OS-ALMIGHTY-L</t>
  </si>
  <si>
    <t>WHF-OS-ALMIGHTY-M</t>
  </si>
  <si>
    <t>WHF-OS-LONG-HAIR-M</t>
  </si>
  <si>
    <t>WHF-OS-ALMIGHTY-S</t>
  </si>
  <si>
    <t>WHF-OS-ALMIGHTY-XL</t>
  </si>
  <si>
    <t>WHF-OS-LONG-HAIR-L</t>
  </si>
  <si>
    <t>WHF-OS-ARISE-L</t>
  </si>
  <si>
    <t>WHF-OS-ARISE-M</t>
  </si>
  <si>
    <t>WHF-OS-LONG-HAIR-XL</t>
  </si>
  <si>
    <t>WHF-OS-ARISE-S</t>
  </si>
  <si>
    <t>WHF-OS-ARISE-XL</t>
  </si>
  <si>
    <t>WHF-OS-BLACK-BULL-S</t>
  </si>
  <si>
    <t>WHF-OS-BLACK-BULL-M</t>
  </si>
  <si>
    <t>WHF-OS-BLACK-BULL-L</t>
  </si>
  <si>
    <t>WHF-OS-BLACK-BULL-XL</t>
  </si>
  <si>
    <t>WHF-OS-SIX-EYES-S</t>
  </si>
  <si>
    <t>WHF-OS-BAKIHAMNA-L</t>
  </si>
  <si>
    <t>WHF-OS-SIX-EYES-M</t>
  </si>
  <si>
    <t>WHF-OS-BAKIHAMNA-M</t>
  </si>
  <si>
    <t>WHF-OS-SIX-EYES-L</t>
  </si>
  <si>
    <t>WHF-OS-BAKIHAMNA-S</t>
  </si>
  <si>
    <t>WHF-OS-SIX-EYES-XL</t>
  </si>
  <si>
    <t>WHF-OS-BAKIHAMNA-XL</t>
  </si>
  <si>
    <t>WHF-OS-MY-MAGIC-S</t>
  </si>
  <si>
    <t>WHF-OS-MY-MAGIC-M</t>
  </si>
  <si>
    <t>WHF-OS-MY-MAGIC-L</t>
  </si>
  <si>
    <t>WHF-OS-MY-MAGIC-XL</t>
  </si>
  <si>
    <t>WHF-OS-BERSERK-L</t>
  </si>
  <si>
    <t>WHF-OS-GHOUL-S</t>
  </si>
  <si>
    <t>WHF-OS-Blade-L</t>
  </si>
  <si>
    <t>WHF-OS-GHOUL-M</t>
  </si>
  <si>
    <t>WHF-OS-CHERRY-BLOSSOM-L</t>
  </si>
  <si>
    <t>WHF-OS-GHOUL-L</t>
  </si>
  <si>
    <t>WHF-OS-BERSERK-XL</t>
  </si>
  <si>
    <t>WHF-OS-GHOUL-XL</t>
  </si>
  <si>
    <t>WHF-OS-BERU-L</t>
  </si>
  <si>
    <t>WHF-OS-TWO-GUNS-S</t>
  </si>
  <si>
    <t>Royal Blue</t>
  </si>
  <si>
    <t>WHF-OS-TWO-GUNS-M</t>
  </si>
  <si>
    <t>WHF-OS-BERU-M</t>
  </si>
  <si>
    <t>WHF-OS-TWO-GUNS-L</t>
  </si>
  <si>
    <t>ghost tshirt, ghost, ghosttshirt, ghost os, os ghost</t>
  </si>
  <si>
    <t>WHF-OS-BERU-S</t>
  </si>
  <si>
    <t>WHF-OS-TWO-GUNS-XL</t>
  </si>
  <si>
    <t>WHF-OS-BERU-XL</t>
  </si>
  <si>
    <t>WHF-OS-HAND-CLAP-S</t>
  </si>
  <si>
    <t>WHF-OS-HAND-CLAP-M</t>
  </si>
  <si>
    <t>WHF-OS-HAND-CLAP-L</t>
  </si>
  <si>
    <t>WHF-OS-HAND-CLAP-XL</t>
  </si>
  <si>
    <t>WHF-OS-DEATH-S</t>
  </si>
  <si>
    <t>WHF-OS-DEATH-M</t>
  </si>
  <si>
    <t>WHF-OS-FOX-DEVIL-L</t>
  </si>
  <si>
    <t>WHF-OS-DEATH-L</t>
  </si>
  <si>
    <t>WHF-OS-GOJO-FISH-L</t>
  </si>
  <si>
    <t>WHF-OS-Blade-XL</t>
  </si>
  <si>
    <t>WHF-OS-DEATH-XL</t>
  </si>
  <si>
    <t>WHF-SHORTS-FREEDOM-S</t>
  </si>
  <si>
    <t>WHF-SHORTS-FREEDOM-M</t>
  </si>
  <si>
    <t>WHF-SHORTS-FREEDOM-L</t>
  </si>
  <si>
    <t>WHF-SHORTS-FREEDOM-XL</t>
  </si>
  <si>
    <t>WHF-SHORTS-ZORO-S</t>
  </si>
  <si>
    <t>WHF-SHORTS-ZORO-M</t>
  </si>
  <si>
    <t>WHF-OS-Bungee-L</t>
  </si>
  <si>
    <t>WHF-SHORTS-ZORO-L</t>
  </si>
  <si>
    <t>WHF-OS-Bungee-M</t>
  </si>
  <si>
    <t>WHF-OS-Bungee-S</t>
  </si>
  <si>
    <t>WHF-SHORTS-ZORO-XL</t>
  </si>
  <si>
    <t>WHF-OS-Bungee-XL</t>
  </si>
  <si>
    <t>WHF-SHORTS-GOJO-CAT-S</t>
  </si>
  <si>
    <t>WHF-OS-CHAIN-L</t>
  </si>
  <si>
    <t>WHF-OS-CHAIN-M</t>
  </si>
  <si>
    <t>WHF-SHORTS-GOJO-CAT-M</t>
  </si>
  <si>
    <t>WHF-OS-CHAIN-S</t>
  </si>
  <si>
    <t>WHF-OS-CHAIN-XL</t>
  </si>
  <si>
    <t>WHF-SHORTS-GOJO-CAT-L</t>
  </si>
  <si>
    <t>WHF-OS-CHAINSAWMAN-L</t>
  </si>
  <si>
    <t>WHF-OS-CHAINSAWMAN-M</t>
  </si>
  <si>
    <t>WHF-SHORTS-GOJO-CAT-XL</t>
  </si>
  <si>
    <t>WHF-OS-CHAINSAWMAN-S</t>
  </si>
  <si>
    <t>WHF-OS-CHAINSAWMAN-XL</t>
  </si>
  <si>
    <t>WHF-OS-Haikyuu-Cream-L</t>
  </si>
  <si>
    <t>WHF-OS-LEVI-ACKR-WLL-L</t>
  </si>
  <si>
    <t>WHF-OS-MAHARASHTRA-L</t>
  </si>
  <si>
    <t>WHF-OS-CHERRY-BLOSSOM-XL</t>
  </si>
  <si>
    <t>WHF-OS-CHOSO-L</t>
  </si>
  <si>
    <t>WHF-OS-CHOSO-M</t>
  </si>
  <si>
    <t>WHF-OS-CHOSO-S</t>
  </si>
  <si>
    <t>WHF-OS-CHOSO-XL</t>
  </si>
  <si>
    <t>WHF-OS-CHROLLO-BEIGE-L</t>
  </si>
  <si>
    <t>WHF-OS-CHROLLO-BEIGE-M</t>
  </si>
  <si>
    <t>WHF-OS-CHROLLO-BEIGE-S</t>
  </si>
  <si>
    <t>WHF-OS-CHROLLO-BEIGE-XL</t>
  </si>
  <si>
    <t>nagi tshirt, nagi, nagitshirt, nagi os, os nagi</t>
  </si>
  <si>
    <t>WHF-OS-CHROLLO-GREY-L</t>
  </si>
  <si>
    <t>WHF-OS-CHROLLO-GREY-M</t>
  </si>
  <si>
    <t>WHF-OS-CHROLLO-GREY-S</t>
  </si>
  <si>
    <t>WHF-SHORTS-ACE-EMBLEM-S</t>
  </si>
  <si>
    <t>WHF-OS-CHROLLO-GREY-XL</t>
  </si>
  <si>
    <t>WHF-OS-CIFER-L</t>
  </si>
  <si>
    <t>WHF-SHORTS-ACE-EMBLEM-M</t>
  </si>
  <si>
    <t>WHF-OS-CIFER-M</t>
  </si>
  <si>
    <t>WHF-OS-CIFER-S</t>
  </si>
  <si>
    <t>WHF-SHORTS-ACE-EMBLEM-L</t>
  </si>
  <si>
    <t>WHF-OS-CIFER-XL</t>
  </si>
  <si>
    <t>WHF-OS-MALIBU-L</t>
  </si>
  <si>
    <t>WHF-OS-MANTA-L</t>
  </si>
  <si>
    <t>WHF-SHORTS-ACE-EMBLEM-XL</t>
  </si>
  <si>
    <t>WHF-OS-NANAMI-L</t>
  </si>
  <si>
    <t>WHF-SHORTS-GEAR5-S</t>
  </si>
  <si>
    <t>WHF-OS-DANDADAN-L</t>
  </si>
  <si>
    <t>WHF-OS-DANDADAN-M</t>
  </si>
  <si>
    <t>WHF-SHORTS-GEAR5-M</t>
  </si>
  <si>
    <t>WHF-OS-DANDADAN-S</t>
  </si>
  <si>
    <t>WHF-OS-DANDADAN-XL</t>
  </si>
  <si>
    <t>WHF-OS-DeathNote-L</t>
  </si>
  <si>
    <t>WHF-SHORTS-GEAR5-L</t>
  </si>
  <si>
    <t>WHF-OS-DeathNote-M</t>
  </si>
  <si>
    <t>WHF-SHORTS-GEAR5-XL</t>
  </si>
  <si>
    <t>WHF-SHORTS-MINIMALIST-SAGEGREEN-S</t>
  </si>
  <si>
    <t>WHF-SHORTS-MINIMALIST-SAGEGREEN-M</t>
  </si>
  <si>
    <t>WHF-OS-DeathNote-S</t>
  </si>
  <si>
    <t>WHF-SHORTS-MINIMALIST-SAGEGREEN-L</t>
  </si>
  <si>
    <t>WHF-OS-DeathNote-XL</t>
  </si>
  <si>
    <t>WHF-SHORTS-MINIMALIST-SAGEGREEN-XL</t>
  </si>
  <si>
    <t>WHF-OS-DEVIL-FIRE-FORCE-L</t>
  </si>
  <si>
    <t>WHF-SHORTS-MINIMALIST-BLACK-S</t>
  </si>
  <si>
    <t>WHF-OS-DEVIL-FIRE-FORCE-M</t>
  </si>
  <si>
    <t>WHF-SHORTS-MINIMALIST-BLACK-M</t>
  </si>
  <si>
    <t>WHF-OS-DEVIL-FIRE-FORCE-S</t>
  </si>
  <si>
    <t>WHF-SHORTS-MINIMALIST-BLACK-L</t>
  </si>
  <si>
    <t>WHF-OS-DEVIL-FIRE-FORCE-XL</t>
  </si>
  <si>
    <t>WHF-SHORTS-MINIMALIST-BLACK-XL</t>
  </si>
  <si>
    <t>WHF-OS-DIVINE-TOUCH-L</t>
  </si>
  <si>
    <t>WHF-SHORTS-MINIMALIST-NAVY-S</t>
  </si>
  <si>
    <t>WHF-OS-DIVINE-TOUCH-M</t>
  </si>
  <si>
    <t>WHF-SHORTS-MINIMALIST-NAVY-M</t>
  </si>
  <si>
    <t>WHF-OS-DIVINE-TOUCH-S</t>
  </si>
  <si>
    <t>WHF-SHORTS-MINIMALIST-NAVY-L</t>
  </si>
  <si>
    <t>WHF-OS-DIVINE-TOUCH-XL</t>
  </si>
  <si>
    <t>WHF-OS-EREN-L</t>
  </si>
  <si>
    <t>WHF-OS-EREN-M</t>
  </si>
  <si>
    <t>WHF-OS-EREN-S</t>
  </si>
  <si>
    <t>WHF-OS-EREN-XL</t>
  </si>
  <si>
    <t>WHF-OS-F1-L</t>
  </si>
  <si>
    <t>WHF-OS-F1-M</t>
  </si>
  <si>
    <t>WHF-OS-F1-S</t>
  </si>
  <si>
    <t>WHF-SHORTS-MINIMALIST-NAVY-XL</t>
  </si>
  <si>
    <t>WHF-OS-F1-XL</t>
  </si>
  <si>
    <t>WHF-SHIRT-ZERO-S</t>
  </si>
  <si>
    <t>WHF-OS-FLIRTING-L</t>
  </si>
  <si>
    <t>WHF-SHIRT-ZERO-M</t>
  </si>
  <si>
    <t>WHF-SHIRT-ZERO-L</t>
  </si>
  <si>
    <t>WHF-OS-FLIRTING-M</t>
  </si>
  <si>
    <t>WHF-SHIRT-ZERO-XL</t>
  </si>
  <si>
    <t>WHF-SHIRT-HEART-S</t>
  </si>
  <si>
    <t>WHF-OS-FLIRTING-S</t>
  </si>
  <si>
    <t>WHF-SHIRT-HEART-M</t>
  </si>
  <si>
    <t>WHF-OS-FLIRTING-XL</t>
  </si>
  <si>
    <t>WHF-SHIRT-HEART-L</t>
  </si>
  <si>
    <t>WHF-OS-FLYING-TIGER-L</t>
  </si>
  <si>
    <t>WHF-SHIRT-HEART-XL</t>
  </si>
  <si>
    <t>WHF-SHIRT-EL-S</t>
  </si>
  <si>
    <t>WHF-OS-FLYING-TIGER-M</t>
  </si>
  <si>
    <t>WHF-SHIRT-EL-M</t>
  </si>
  <si>
    <t>WHF-OS-FLYING-TIGER-S</t>
  </si>
  <si>
    <t>WHF-SHIRT-EL-L</t>
  </si>
  <si>
    <t>WHF-SHIRT-EL-XL</t>
  </si>
  <si>
    <t>WHF-SHIRT-GEAR5-S</t>
  </si>
  <si>
    <t>WHF-SHIRT-GEAR5-M</t>
  </si>
  <si>
    <t>WHF-SHIRT-GEAR5-L</t>
  </si>
  <si>
    <t>WHF-SHIRT-GEAR5-XL</t>
  </si>
  <si>
    <t>WHF-SHIRT-KURAMA-S</t>
  </si>
  <si>
    <t>WHF-SHIRT-KURAMA-M</t>
  </si>
  <si>
    <t>WHF-SHIRT-KURAMA-L</t>
  </si>
  <si>
    <t>WHF-OS-FLYING-TIGER-XL</t>
  </si>
  <si>
    <t>WHF-SHIRT-KURAMA-XL</t>
  </si>
  <si>
    <t>Black</t>
  </si>
  <si>
    <t>WHF-OS-ROYALITY-L</t>
  </si>
  <si>
    <t>WHF-SHIRT-MOB-PSYCHO-S</t>
  </si>
  <si>
    <t>WHF-OS-SUKUNA-L</t>
  </si>
  <si>
    <t>WHF-SHIRT-MOB-PSYCHO-M</t>
  </si>
  <si>
    <t>WHF-SHIRT-MOB-PSYCHO-L</t>
  </si>
  <si>
    <t>WHF-OS-TIGER-TWIN-CREAM-L</t>
  </si>
  <si>
    <t>saitama tshirt, saitama, saitamatshirt, saitama os, os saitama</t>
  </si>
  <si>
    <t>WHF-SHIRT-MOB-PSYCHO-XL</t>
  </si>
  <si>
    <t>WHF-OS-FOX-DEVIL-XL</t>
  </si>
  <si>
    <t>WHF-SHIRT-VAGABOND-S</t>
  </si>
  <si>
    <t>WHF-SHIRT-VAGABOND-M</t>
  </si>
  <si>
    <t>WHF-OS-FREEDOM-L</t>
  </si>
  <si>
    <t>WHF-SHIRT-VAGABOND-L</t>
  </si>
  <si>
    <t>WHF-OS-FREEDOM-M</t>
  </si>
  <si>
    <t>WHF-SHIRT-VAGABOND-XL</t>
  </si>
  <si>
    <t>WHF-OS-BLACK-CLOVER-SKULL-S</t>
  </si>
  <si>
    <t>WHF-OS-FREEDOM-S</t>
  </si>
  <si>
    <t>WHF-OS-BLACK-CLOVER-SKULL-M</t>
  </si>
  <si>
    <t>WHF-OS-FREEDOM-XL</t>
  </si>
  <si>
    <t>WHF-OS-BLACK-CLOVER-SKULL-L</t>
  </si>
  <si>
    <t>WHF-OS-BLACK-CLOVER-SKULL-XL</t>
  </si>
  <si>
    <t>WHF-OS-GAROU-L</t>
  </si>
  <si>
    <t>WHF-OS-VINLAND-BROWN-S</t>
  </si>
  <si>
    <t>WHF-OS-GAROU-M</t>
  </si>
  <si>
    <t>WHF-OS-VINLAND-BROWN-M</t>
  </si>
  <si>
    <t>WHF-OS-GAROU-S</t>
  </si>
  <si>
    <t>WHF-OS-VINLAND-BROWN-L</t>
  </si>
  <si>
    <t>WHF-OS-GAROU-XL</t>
  </si>
  <si>
    <t>WHF-OS-VINLAND-BROWN-XL</t>
  </si>
  <si>
    <t>WHF-OS-KENPACHI-S</t>
  </si>
  <si>
    <t>WHF-OS-GEAR5-L</t>
  </si>
  <si>
    <t>WHF-OS-KENPACHI-M</t>
  </si>
  <si>
    <t>WHF-OS-KENPACHI-L</t>
  </si>
  <si>
    <t>WHF-OS-KENPACHI-XL</t>
  </si>
  <si>
    <t>WHF-OS-GEAR5-M</t>
  </si>
  <si>
    <t>WHF-OS-GACHIAKUTA-S</t>
  </si>
  <si>
    <t>WHF-OS-GACHIAKUTA-M</t>
  </si>
  <si>
    <t>WHF-OS-GEAR5-S</t>
  </si>
  <si>
    <t>WHF-OS-GACHIAKUTA-L</t>
  </si>
  <si>
    <t>WHF-OS-GACHIAKUTA-XL</t>
  </si>
  <si>
    <t>WHF-OS-GEAR5-XL</t>
  </si>
  <si>
    <t>WHF-OS-EVANGELION-S</t>
  </si>
  <si>
    <t>WHF-OS-EVANGELION-M</t>
  </si>
  <si>
    <t>WHF-OS-GETO-L</t>
  </si>
  <si>
    <t>WHF-OS-EVANGELION-L</t>
  </si>
  <si>
    <t>WHF-OS-EVANGELION-XL</t>
  </si>
  <si>
    <t>WHF-OS-GETO-M</t>
  </si>
  <si>
    <t>WHF-OS-LUFFY-BUBBLES-S</t>
  </si>
  <si>
    <t>WHF-OS-GETO-S</t>
  </si>
  <si>
    <t>WHF-OS-LUFFY-BUBBLES-M</t>
  </si>
  <si>
    <t>WHF-OS-LUFFY-BUBBLES-L</t>
  </si>
  <si>
    <t>WHF-OS-GETO-XL</t>
  </si>
  <si>
    <t>WHF-OS-LUFFY-BUBBLES-XL</t>
  </si>
  <si>
    <t>WHF-OS-GOJO-BLACK-L</t>
  </si>
  <si>
    <t>WHF-OS-ACE-FLAME-S</t>
  </si>
  <si>
    <t>WHF-OS-ACE-FLAME-M</t>
  </si>
  <si>
    <t>WHF-OS-ACE-FLAME-L</t>
  </si>
  <si>
    <t>WHF-OS-GOJO-BLACK-M</t>
  </si>
  <si>
    <t>WHF-OS-ACE-FLAME-XL</t>
  </si>
  <si>
    <t>WHF-OS-GOJO-BLACK-S</t>
  </si>
  <si>
    <t>WHF-OS-GOJO-BLACK-XL</t>
  </si>
  <si>
    <t>WHF-OS-Vasto-L</t>
  </si>
  <si>
    <t>WHF-OS-BERSERK-M</t>
  </si>
  <si>
    <t>WHF-OS-BERSERK-S</t>
  </si>
  <si>
    <t>WHF-OS-RYUK-FRONT-S</t>
  </si>
  <si>
    <t>Yellow</t>
  </si>
  <si>
    <t>WHF-OS-Blade-M</t>
  </si>
  <si>
    <t>WHF-OS-RYUK-FRONT-M</t>
  </si>
  <si>
    <t>WHF-OS-GOJO-FISH-XL</t>
  </si>
  <si>
    <t>WHF-OS-RYUK-FRONT-L</t>
  </si>
  <si>
    <t>zenitsu tshirt, zenitsu, zenitsutshirt, zenitsu os, os zenitsu</t>
  </si>
  <si>
    <t>WHF-OS-RYUK-FRONT-XL</t>
  </si>
  <si>
    <t>WHF-OS-NATSU-S</t>
  </si>
  <si>
    <t>WHF-OS-NATSU-M</t>
  </si>
  <si>
    <t>WHF-OS-GOJO-NAVY-L</t>
  </si>
  <si>
    <t>WHF-OS-NATSU-L</t>
  </si>
  <si>
    <t>WHF-OS-GOJO-NAVY-M</t>
  </si>
  <si>
    <t>WHF-OS-LEVI-Taupe-S</t>
  </si>
  <si>
    <t>WHF-OS-NATSU-XL</t>
  </si>
  <si>
    <t>WHF-OS-GOJO-NAVY-S</t>
  </si>
  <si>
    <t>WHF-OS-ESCANOR-S</t>
  </si>
  <si>
    <t>WHF-OS-LEVI-Taupe-M</t>
  </si>
  <si>
    <t>WHF-OS-GOJO-NAVY-XL</t>
  </si>
  <si>
    <t>WHF-OS-ESCANOR-M</t>
  </si>
  <si>
    <t>WHF-OS-ESCANOR-L</t>
  </si>
  <si>
    <t>WHF-OS-LEVI-Taupe-L</t>
  </si>
  <si>
    <t>WHF-OS-ESCANOR-XL</t>
  </si>
  <si>
    <t>WHF-OS-GOLDEN-CAP-L</t>
  </si>
  <si>
    <t>WHF-OS-VINLAND-TEAL-S</t>
  </si>
  <si>
    <t>WHF-OS-GOLDEN-CAP-M</t>
  </si>
  <si>
    <t>WHF-OS-LEVI-Taupe-XL</t>
  </si>
  <si>
    <t>WHF-OS-VINLAND-TEAL-M</t>
  </si>
  <si>
    <t>WHF-OS-GOLDEN-CAP-S</t>
  </si>
  <si>
    <t>WHF-OS-VINLAND-TEAL-L</t>
  </si>
  <si>
    <t>WHF-OS-GOLDEN-CAP-XL</t>
  </si>
  <si>
    <t>WHF-OS-VINLAND-TEAL-XL</t>
  </si>
  <si>
    <t>WHF-OS-SPIDERMAN-RED-S</t>
  </si>
  <si>
    <t>WHF-OS-SPIDERMAN-RED-M</t>
  </si>
  <si>
    <t>WHF-OS-SPIDERMAN-RED-L</t>
  </si>
  <si>
    <t>WHF-OS-SPIDERMAN-RED-XL</t>
  </si>
  <si>
    <t>WHF-OS-SPIDERMAN-BLACK-S</t>
  </si>
  <si>
    <t>WHF-OS-SPIDERMAN-BLACK-M</t>
  </si>
  <si>
    <t>WHF-OS-SPIDERMAN-BLACK-L</t>
  </si>
  <si>
    <t>WHF-OS-GRIFFITH-L</t>
  </si>
  <si>
    <t>WHF-OS-GRIFFITH-M</t>
  </si>
  <si>
    <t>WHF-OS-SPIDERMAN-BLACK-XL</t>
  </si>
  <si>
    <t>WHF-OS-GRIFFITH-S</t>
  </si>
  <si>
    <t>WHF-OS-TSUKUYOMI-S</t>
  </si>
  <si>
    <t>WHF-OS-GRIFFITH-XL</t>
  </si>
  <si>
    <t>WHF-OS-TSUKUYOMI-M</t>
  </si>
  <si>
    <t>WHF-OS-Grimmjow-L</t>
  </si>
  <si>
    <t>WHF-OS-TSUKUYOMI-L</t>
  </si>
  <si>
    <t>WHF-OS-Grimmjow-M</t>
  </si>
  <si>
    <t>WHF-OS-Grimmjow-S</t>
  </si>
  <si>
    <t>WHF-OS-TSUKUYOMI-XL</t>
  </si>
  <si>
    <t>WHF-OS-Grimmjow-XL</t>
  </si>
  <si>
    <t>WHF-OS-MOB-PSYCHO-S</t>
  </si>
  <si>
    <t>WHF-OS-GUJARAT-L</t>
  </si>
  <si>
    <t>WHF-OS-MOB-PSYCHO-M</t>
  </si>
  <si>
    <t>WHF-OS-KIRA-M</t>
  </si>
  <si>
    <t>WHF-OS-GUJARAT-M</t>
  </si>
  <si>
    <t>WHF-OS-MOB-PSYCHO-L</t>
  </si>
  <si>
    <t>WHF-OS-MOB-PSYCHO-XL</t>
  </si>
  <si>
    <t>WHF-OS-GUJARAT-S</t>
  </si>
  <si>
    <t>WHF-OS-KIRA-XL</t>
  </si>
  <si>
    <t>WHF-OS-GUJARAT-XL</t>
  </si>
  <si>
    <t>WHF-OS-Haikyuu-Black-L</t>
  </si>
  <si>
    <t>WHF-OS-KIRA-S</t>
  </si>
  <si>
    <t>WHF-OS-Haikyuu-Black-M</t>
  </si>
  <si>
    <t>Cargo</t>
  </si>
  <si>
    <t>WHF-OS-KIRA-L</t>
  </si>
  <si>
    <t>WHF-OS-Haikyuu-Black-S</t>
  </si>
  <si>
    <t>WHF-OS-Haikyuu-Black-XL</t>
  </si>
  <si>
    <t>WHF-OS-CHERRY-BLOSSOM-M</t>
  </si>
  <si>
    <t>cargo black, black cargo, cargo</t>
  </si>
  <si>
    <t>WHF-OS-FOX-DEVIL-M</t>
  </si>
  <si>
    <t>WHF-OS-Haikyuu-Cream-XL</t>
  </si>
  <si>
    <t>WHF-OS-HANAFUDA-L</t>
  </si>
  <si>
    <t>WHF-OS-LIMITLESS-M</t>
  </si>
  <si>
    <t>WHF-OS-LIMITLESS-L</t>
  </si>
  <si>
    <t>WHF-OS-LIMITLESS-S</t>
  </si>
  <si>
    <t>WHF-OS-HANAFUDA-M</t>
  </si>
  <si>
    <t>WHF-OS-LIMITLESS-XL</t>
  </si>
  <si>
    <t>WHF-OS-HANAFUDA-S</t>
  </si>
  <si>
    <t>WHF-OS-GAARA-FIRE-S</t>
  </si>
  <si>
    <t>WHF-OS-HANAFUDA-XL</t>
  </si>
  <si>
    <t>WHF-OS-GAARA-FIRE-L</t>
  </si>
  <si>
    <t>WHF-OS-GAARA-FIRE-XL</t>
  </si>
  <si>
    <t>WHF-OS-GAARA-FIRE-M</t>
  </si>
  <si>
    <t>WHF-OS-HIMALAYAS-L</t>
  </si>
  <si>
    <t>WHF-OS-HIMALAYAS-M</t>
  </si>
  <si>
    <t>WHF-OS-HIMALAYAS-S</t>
  </si>
  <si>
    <t>WHF-OS-HIMALAYAS-XL</t>
  </si>
  <si>
    <t>WHF-OS-HOT-GF-L</t>
  </si>
  <si>
    <t>WHF-OS-NARUTOSTRT-S</t>
  </si>
  <si>
    <t>WHF-OS-HOT-GF-M</t>
  </si>
  <si>
    <t>WHF-OS-HOT-GF-S</t>
  </si>
  <si>
    <t>WHF-OS-NARUTOSTRT-XL</t>
  </si>
  <si>
    <t>Dark Grey</t>
  </si>
  <si>
    <t>WHF-OS-HOT-GF-XL</t>
  </si>
  <si>
    <t>WHF-OS-NARUTOSTRT-M</t>
  </si>
  <si>
    <t>cargo d.grey, d.grey cargo, cargo, grey cargo, cargo grey</t>
  </si>
  <si>
    <t>WHF-OS-NARUTOSTRT-L</t>
  </si>
  <si>
    <t>WHF-OS-LEVI-ACKR-WLL-M</t>
  </si>
  <si>
    <t>WHF-OS-Igris-L</t>
  </si>
  <si>
    <t>WHF-OS-LEVI-ACKR-WLL-S</t>
  </si>
  <si>
    <t>WHF-OS-Igris-M</t>
  </si>
  <si>
    <t>WHF-OS-LEVI-ACKR-WLL-XL</t>
  </si>
  <si>
    <t>WHF-OS-Igris-S</t>
  </si>
  <si>
    <t>WHF-OS-Igris-XL</t>
  </si>
  <si>
    <t>WHF-OS-IMPOSTER-BLACK-L</t>
  </si>
  <si>
    <t>WHF-OS-IMPOSTER-BLACK-M</t>
  </si>
  <si>
    <t>WHF-OS-IMPOSTER-BLACK-S</t>
  </si>
  <si>
    <t>WHF-OS-IMPOSTER-BLACK-XL</t>
  </si>
  <si>
    <t>WHF-OS-IMPOSTER-WHITE-L</t>
  </si>
  <si>
    <t>WHF-OS-IMPOSTER-WHITE-M</t>
  </si>
  <si>
    <t>WHF-OS-IMPOSTER-WHITE-S</t>
  </si>
  <si>
    <t>WHF-OS-IMPOSTER-WHITE-XL</t>
  </si>
  <si>
    <t>WHF-OS-Isagi-L</t>
  </si>
  <si>
    <t>WHF-OS-SHENRON-XL</t>
  </si>
  <si>
    <t>WHF-OS-Isagi-M</t>
  </si>
  <si>
    <t>WHF-OS-Isagi-S</t>
  </si>
  <si>
    <t>WHF-OS-SHENRON-L</t>
  </si>
  <si>
    <t>WHF-OS-Isagi-XL</t>
  </si>
  <si>
    <t>WHF-OS-SHENRON-S</t>
  </si>
  <si>
    <t>WHF-OS-ITACHI-L</t>
  </si>
  <si>
    <t>WHF-OS-SHENRON-M</t>
  </si>
  <si>
    <t>SKU (In Ajio, but Missing in Today's Myntra Update)</t>
  </si>
  <si>
    <t>Hoodie</t>
  </si>
  <si>
    <t>WHF-OS-ITACHI-M</t>
  </si>
  <si>
    <t>WHF-OS-NARU-HINA-S</t>
  </si>
  <si>
    <t>Reason</t>
  </si>
  <si>
    <t>WHF-OS-ITACHI-S</t>
  </si>
  <si>
    <t>WHF-OS-NARU-HINA-M</t>
  </si>
  <si>
    <t>ace hoodie, ace black hoodie, ace ho, ho ace</t>
  </si>
  <si>
    <t>WHF-OS-ITACHI-XL</t>
  </si>
  <si>
    <t>WHF-OS-NARU-HINA-XL</t>
  </si>
  <si>
    <t>SKU present in ajioInventory but missing or skipped in myntraBrandTagData today.</t>
  </si>
  <si>
    <t>WHF-OS-JinWoo-L</t>
  </si>
  <si>
    <t>WHF-OS-NARU-HINA-L</t>
  </si>
  <si>
    <t>WHF-OS-JinWoo-M</t>
  </si>
  <si>
    <t>WHF-OS-JinWoo-S</t>
  </si>
  <si>
    <t>WHF-OS-MIKEY-S</t>
  </si>
  <si>
    <t>WHF-OS-JinWoo-XL</t>
  </si>
  <si>
    <t>WHF-OS-MIKEY-M</t>
  </si>
  <si>
    <t>WHF-OS-JIRAYA-L</t>
  </si>
  <si>
    <t>WHF-OS-JIRAYA-M</t>
  </si>
  <si>
    <t>WHF-OS-MIKEY-L</t>
  </si>
  <si>
    <t>WHF-OS-JIRAYA-S</t>
  </si>
  <si>
    <t>WHF-OS-JIRAYA-XL</t>
  </si>
  <si>
    <t>WHF-OS-MIKEY-XL</t>
  </si>
  <si>
    <t>WHF-OS-KILLUA-L</t>
  </si>
  <si>
    <t>WHF-OS-PAIN-M</t>
  </si>
  <si>
    <t>WHF-OS-KILLUA-M</t>
  </si>
  <si>
    <t>WHF-OS-PAIN-L</t>
  </si>
  <si>
    <t>WHF-OS-KILLUA-S</t>
  </si>
  <si>
    <t>WHF-OS-KILLUA-XL</t>
  </si>
  <si>
    <t>WHF-OS-PAIN-S</t>
  </si>
  <si>
    <t>WHF-OS-PAIN-XL</t>
  </si>
  <si>
    <t>WHF-OS-GAARA-HAND-White-S</t>
  </si>
  <si>
    <t>WHF-OS-KOKUSHIBO-L</t>
  </si>
  <si>
    <t>WHF-OS-GAARA-HAND-White-XL</t>
  </si>
  <si>
    <t>WHF-OS-KOKUSHIBO-M</t>
  </si>
  <si>
    <t>WHF-OS-GAARA-HAND-White-M</t>
  </si>
  <si>
    <t>WHF-OS-KOKUSHIBO-S</t>
  </si>
  <si>
    <t>Black Washed</t>
  </si>
  <si>
    <t>WHF-OS-KOKUSHIBO-XL</t>
  </si>
  <si>
    <t>WHF-OS-GAARA-HAND-White-L</t>
  </si>
  <si>
    <t>acid wash hoodie, acid wash, acid wash ho, ho acid wash</t>
  </si>
  <si>
    <t>WHF-OS-GAARA-HAND-Black-S</t>
  </si>
  <si>
    <t>WHF-OS-GOJO-FISH-M</t>
  </si>
  <si>
    <t>WHF-OS-GAARA-HAND-Black-M</t>
  </si>
  <si>
    <t>WHF-OS-Haikyuu-Cream-M</t>
  </si>
  <si>
    <t>WHF-OS-GAARA-HAND-Black-L</t>
  </si>
  <si>
    <t>WHF-OS-GAARA-HAND-Black-XL</t>
  </si>
  <si>
    <t>WHF-OS-KAKASHI-TAUPE-S</t>
  </si>
  <si>
    <t>WHF-OS-KAKASHI-TAUPE-L</t>
  </si>
  <si>
    <t>WHF-OS-KAKASHI-TAUPE-XL</t>
  </si>
  <si>
    <t>WHF-OS-KAKASHI-TAUPE-M</t>
  </si>
  <si>
    <t>WHF-OS-KAKASHI-WHITE-S</t>
  </si>
  <si>
    <t>WHF-OS-KAKASHI-WHITE-XL</t>
  </si>
  <si>
    <t>WHF-OS-KAKASHI-WHITE-L</t>
  </si>
  <si>
    <t>WHF-OS-LEVI-White-L</t>
  </si>
  <si>
    <t>WHF-OS-KAKASHI-WHITE-M</t>
  </si>
  <si>
    <t>WHF-OS-LEVI-White-M</t>
  </si>
  <si>
    <t>WHF-OS-GAARA-HAND-Taupe-S</t>
  </si>
  <si>
    <t>WHF-OS-GAARA-HAND-Taupe-L</t>
  </si>
  <si>
    <t>WHF-OS-LEVI-White-S</t>
  </si>
  <si>
    <t>WHF-OS-SUKUNA-S</t>
  </si>
  <si>
    <t>WHF-OS-GAARA-HAND-Taupe-XL</t>
  </si>
  <si>
    <t>WHF-OS-LEVI-White-XL</t>
  </si>
  <si>
    <t>WHF-OS-GAARA-HAND-Taupe-M</t>
  </si>
  <si>
    <t>WHF-OS-Leviathan-L</t>
  </si>
  <si>
    <t>akaza hoodie, akaza, akazahoodie, akaza ho, ho akaza</t>
  </si>
  <si>
    <t>WHF-OS-GAARA-SAND-S</t>
  </si>
  <si>
    <t>WHF-OS-GAARA-SAND-XL</t>
  </si>
  <si>
    <t>WHF-OS-Leviathan-M</t>
  </si>
  <si>
    <t>WHF-OS-SUKUNA-M</t>
  </si>
  <si>
    <t>WHF-OS-GAARA-SAND-M</t>
  </si>
  <si>
    <t>WHF-OS-Leviathan-S</t>
  </si>
  <si>
    <t>WHF-OS-GAARA-SAND-L</t>
  </si>
  <si>
    <t>WHF-OS-SUKUNA-XL</t>
  </si>
  <si>
    <t>WHF-OS-Leviathan-XL</t>
  </si>
  <si>
    <t>WHF-OS-SUKUNAOLD-S</t>
  </si>
  <si>
    <t>WHF-OS-SUKUNAOLD-L</t>
  </si>
  <si>
    <t>WHF-OS-SUKUNAOLD-XL</t>
  </si>
  <si>
    <t>WHF-OS-SUKUNAOLD-M</t>
  </si>
  <si>
    <t>WHF-OS-TEAL-CHESS-ICE-L</t>
  </si>
  <si>
    <t>WHF-OS-TEAL-CHESS-ICE-XL</t>
  </si>
  <si>
    <t>WHF-OS-TEAL-CHESS-ICE-M</t>
  </si>
  <si>
    <t>WHF-OS-TEAL-CHESS-ICE-S</t>
  </si>
  <si>
    <t>WHF-OS-MAHARASHTRA-M</t>
  </si>
  <si>
    <t>WHF-OS-MALIBU-M</t>
  </si>
  <si>
    <t>WHF-OS-MANTA-M</t>
  </si>
  <si>
    <t>WHF-OS-MAHARASHTRA-XL</t>
  </si>
  <si>
    <t>WHF-OS-NANAMI-M</t>
  </si>
  <si>
    <t>WHF-OS-ROYALITY-M</t>
  </si>
  <si>
    <t>almighty hoodie, almighty, almightyhoodie, almighty ho, ho almighty</t>
  </si>
  <si>
    <t>WHF-OS-MALIBU-XL</t>
  </si>
  <si>
    <t>WHF-OS-TIGER-TWIN-CREAM-M</t>
  </si>
  <si>
    <t>WHF-OS-Vasto-M</t>
  </si>
  <si>
    <t>jinwoo hoodie, jinwoo, jinwoohoodie, jinwoo ho, ho jinwoo</t>
  </si>
  <si>
    <t>WHF-OS-MANTA-XL</t>
  </si>
  <si>
    <t>WHF-OS-Mjolnir-L</t>
  </si>
  <si>
    <t>WHF-OS-Mjolnir-M</t>
  </si>
  <si>
    <t>WHF-OS-Mjolnir-S</t>
  </si>
  <si>
    <t>WHF-OS-Mjolnir-XL</t>
  </si>
  <si>
    <t>WHF-OS-Blade-S</t>
  </si>
  <si>
    <t>WHF-OS-CHERRY-BLOSSOM-S</t>
  </si>
  <si>
    <t>WHF-OS-NANAMI-XL</t>
  </si>
  <si>
    <t>WHF-OS-TANJIRO-BROWN-S</t>
  </si>
  <si>
    <t>WHF-OS-TANJIRO-BROWN-L</t>
  </si>
  <si>
    <t>WHF-OS-TANJIRO-BROWN-XL</t>
  </si>
  <si>
    <t>WHF-OS-TANJIRO-BROWN-M</t>
  </si>
  <si>
    <t>Sweatshirts</t>
  </si>
  <si>
    <t>WHF-OS-RAJASTHAN-L</t>
  </si>
  <si>
    <t>WHF-OS-RAJASTHAN-M</t>
  </si>
  <si>
    <t>WHF-OS-RAJASTHAN-S</t>
  </si>
  <si>
    <t>asura hoodie, asura, asurahooodie, asura ho, ho asura</t>
  </si>
  <si>
    <t>WHF-OS-TANJIRO-BLACK-S</t>
  </si>
  <si>
    <t>WHF-OS-RAJASTHAN-XL</t>
  </si>
  <si>
    <t>WHF-OS-FOX-DEVIL-S</t>
  </si>
  <si>
    <t>WHF-OS-TANJIRO-BLACK-XL</t>
  </si>
  <si>
    <t>WHF-OS-GOJO-FISH-S</t>
  </si>
  <si>
    <t>WHF-OS-Haikyuu-Cream-S</t>
  </si>
  <si>
    <t>WHF-OS-TANJIRO-BLACK-L</t>
  </si>
  <si>
    <t>WHF-OS-ROYALITY-XL</t>
  </si>
  <si>
    <t>WHF-OS-TANJIRO-BLACK-M</t>
  </si>
  <si>
    <t>asura hoodie, asura, asura hoodie, asura ho, ho asura</t>
  </si>
  <si>
    <t>WHF-OS-SASUKE-L</t>
  </si>
  <si>
    <t>WHF-OS-SASUKE-S</t>
  </si>
  <si>
    <t>WHF-OS-SASUKE-M</t>
  </si>
  <si>
    <t>WHF-OS-SASUKE-Xl</t>
  </si>
  <si>
    <t>WHF-OS-SASUKE-XL</t>
  </si>
  <si>
    <t>WHF-OS-TOJI-S</t>
  </si>
  <si>
    <t>WHF-OS-TOJI-L</t>
  </si>
  <si>
    <t>WHF-OS-TOJI-XL</t>
  </si>
  <si>
    <t>bankai hoodie, bankai, bankaihoodie, bankai ho, ho bankai</t>
  </si>
  <si>
    <t>WHF-OS-TOJI-M</t>
  </si>
  <si>
    <t>WHF-OS-MAHARASHTRA-S</t>
  </si>
  <si>
    <t>WHF-OS-MALIBU-S</t>
  </si>
  <si>
    <t>WHF-OS-SUPREME-MENTALITY-L</t>
  </si>
  <si>
    <t>WHF-OS-SUPREME-MENTALITY-M</t>
  </si>
  <si>
    <t>WHF-OS-SUPREME-MENTALITY-S</t>
  </si>
  <si>
    <t>WHF-OS-SUPREME-MENTALITY-XL</t>
  </si>
  <si>
    <t>Off White</t>
  </si>
  <si>
    <t>WHF-OS-WUKONG-L</t>
  </si>
  <si>
    <t>berserk hoodie, berserk, berserk hoodie, berserk ho, ho berserk</t>
  </si>
  <si>
    <t>WHF-OS-WUKONG-M</t>
  </si>
  <si>
    <t>WHF-OS-TOKYO-S</t>
  </si>
  <si>
    <t>WHF-OS-THNDR-L</t>
  </si>
  <si>
    <t>WHF-OS-TOKYO-L</t>
  </si>
  <si>
    <t>WHF-OS-THNDR-M</t>
  </si>
  <si>
    <t>WHF-OS-TOKYO-XL</t>
  </si>
  <si>
    <t>WHF-OS-THNDR-S</t>
  </si>
  <si>
    <t>WHF-OS-TOKYO-M</t>
  </si>
  <si>
    <t>WHF-OS-THNDR-XL</t>
  </si>
  <si>
    <t>WHF-OS-MANTA-S</t>
  </si>
  <si>
    <t>WHF-OS-NANAMI-S</t>
  </si>
  <si>
    <t>WHF-OS-ROYALITY-S</t>
  </si>
  <si>
    <t>WHF-OS-TIGER-TWIN-CREAM-XL</t>
  </si>
  <si>
    <t>WHF-OS-TIGER-TWIN-ICEBLUE-L</t>
  </si>
  <si>
    <t>WHF-OS-TIGER-TWIN-ICEBLUE-M</t>
  </si>
  <si>
    <t>WHF-OS-TIGER-TWIN-ICEBLUE-S</t>
  </si>
  <si>
    <t>WHF-OS-TIGER-TWIN-ICEBLUE-XL</t>
  </si>
  <si>
    <t>WHF-OS-TIGER-TWIN-CREAM-S</t>
  </si>
  <si>
    <t>WHF-OS-Vasto-S</t>
  </si>
  <si>
    <t>WHF-OS-Vasto-XL</t>
  </si>
  <si>
    <t>WHF-OS-Velocity-Brown-L</t>
  </si>
  <si>
    <t>WHF-OS-Velocity-Brown-M</t>
  </si>
  <si>
    <t>blackdivider hoodie, blackdivider, blackdividerhoodie, blackdivider ho, ho blackdivider</t>
  </si>
  <si>
    <t>WHF-OS-Velocity-Brown-S</t>
  </si>
  <si>
    <t>WHF-OS-Velocity-Brown-XL</t>
  </si>
  <si>
    <t>WHF-OS-Velocity-Sage-Green-L</t>
  </si>
  <si>
    <t>WHF-OS-Velocity-Sage-Green-M</t>
  </si>
  <si>
    <t>WHF-OS-Velocity-Sage-Green-S</t>
  </si>
  <si>
    <t>WHF-OS-Velocity-Sage-Green-XL</t>
  </si>
  <si>
    <t>WHF-OS-WHITE-CHESS-ICE-L</t>
  </si>
  <si>
    <t>WHF-OS-WHITE-CHESS-ICE-M</t>
  </si>
  <si>
    <t>WHF-OS-WHITE-CHESS-ICE-S</t>
  </si>
  <si>
    <t>WHF-OS-WHITE-CHESS-ICE-XL</t>
  </si>
  <si>
    <t>WHF-OS-WILDMIND-BROWN-L</t>
  </si>
  <si>
    <t>WHF-OS-WILDMIND-BROWN-M</t>
  </si>
  <si>
    <t>WHF-OS-WILDMIND-BROWN-S</t>
  </si>
  <si>
    <t>WHF-OS-WILDMIND-BROWN-XL</t>
  </si>
  <si>
    <t>WHF-OS-WILDMIND-ICEBLUE-L</t>
  </si>
  <si>
    <t>WHF-OS-WILDMIND-ICEBLUE-M</t>
  </si>
  <si>
    <t>WHF-OS-WILDMIND-ICEBLUE-S</t>
  </si>
  <si>
    <t>WHF-OS-WILDMIND-ICEBLUE-XL</t>
  </si>
  <si>
    <t>WHF-OS-WUKONG-S</t>
  </si>
  <si>
    <t>WHF-OS-WUKONG-XL</t>
  </si>
  <si>
    <t>WHF-OS-YUTA-L</t>
  </si>
  <si>
    <t>bungee hoodie, bungee, bungee hoodie, bungee ho, ho bungee</t>
  </si>
  <si>
    <t>WHF-OS-YUTA-M</t>
  </si>
  <si>
    <t>WHF-OS-YUTA-S</t>
  </si>
  <si>
    <t>WHF-OS-YUTA-XL</t>
  </si>
  <si>
    <t>WHF-RF-BerserkPattern-L</t>
  </si>
  <si>
    <t>WHF-RF-BerserkPattern-M</t>
  </si>
  <si>
    <t>WHF-RF-BerserkPattern-S</t>
  </si>
  <si>
    <t>WHF-RF-BerserkPattern-XL</t>
  </si>
  <si>
    <t>WHF-VIGILANTE-L</t>
  </si>
  <si>
    <t>WHF-VIGILANTE-M</t>
  </si>
  <si>
    <t>WHF-VIGILANTE-S</t>
  </si>
  <si>
    <t>WHF-VIGILANTE-XL</t>
  </si>
  <si>
    <t>WHF-PANT-FIREFORCE-S</t>
  </si>
  <si>
    <t>WHF-PANT-FIREFORCE-M</t>
  </si>
  <si>
    <t>WHF-PANT-FIREFORCE-L</t>
  </si>
  <si>
    <t>WHF-PANT-FIREFORCE-XL</t>
  </si>
  <si>
    <t>WHF-PANT-HEART-S</t>
  </si>
  <si>
    <t>WHF-PANT-HEART-M</t>
  </si>
  <si>
    <t>WHF-PANT-HEART-L</t>
  </si>
  <si>
    <t>WHF-PANT-HEART-XL</t>
  </si>
  <si>
    <t>WHF-PANT-SUKUNA-S</t>
  </si>
  <si>
    <t>WHF-PANT-SUKUNA-M</t>
  </si>
  <si>
    <t>WHF-PANT-SUKUNA-L</t>
  </si>
  <si>
    <t>WHF-PANT-SUKUNA-XL</t>
  </si>
  <si>
    <t>WHF-PANT-BUNGEE-S</t>
  </si>
  <si>
    <t>WHF-PANT-BUNGEE-M</t>
  </si>
  <si>
    <t>WHF-PANT-BUNGEE-L</t>
  </si>
  <si>
    <t>WHF-PANT-BUNGEE-XL</t>
  </si>
  <si>
    <t>WHF-PANT-BERSERK-S</t>
  </si>
  <si>
    <t>chain hoodie, chain, chainhoodie, chain ho, ho chain</t>
  </si>
  <si>
    <t>WHF-PANT-BERSERK-M</t>
  </si>
  <si>
    <t>WHF-PANT-BERSERK-L</t>
  </si>
  <si>
    <t>WHF-PANT-BERSERK-XL</t>
  </si>
  <si>
    <t>WHF-PANT-LILY-S</t>
  </si>
  <si>
    <t>WHF-PANT-LILY-M</t>
  </si>
  <si>
    <t>WHF-PANT-LILY-L</t>
  </si>
  <si>
    <t>WHF-PANT-LILY-XL</t>
  </si>
  <si>
    <t>WHF-PANT-SNAKE-S</t>
  </si>
  <si>
    <t>WHF-PANT-SNAKE-M</t>
  </si>
  <si>
    <t>WHF-PANT-SNAKE-L</t>
  </si>
  <si>
    <t>WHF-PANT-SNAKE-XL</t>
  </si>
  <si>
    <t>Tan</t>
  </si>
  <si>
    <t>chrollo hoodie, chrollo, chrollohoodie, chrollo ho, ho chrollo</t>
  </si>
  <si>
    <t>dynamight hoodie, dynamight, dynamighthoodie, dynamight ho, ho dynamight</t>
  </si>
  <si>
    <t>tan hoodie, tan, tanhoodie, tan ho, ho tan</t>
  </si>
  <si>
    <t>gear 5 hoodie, gear 5, gear5hoodie, gear 5 ho, ho gear 5</t>
  </si>
  <si>
    <t>gojo hoodie, gojo black hoodie, gojo ho, ho gojo</t>
  </si>
  <si>
    <t>gojo fish hoodie, gojo fish, gojo ho, ho gojo</t>
  </si>
  <si>
    <t>joker hoodie, joker, jokerhoodie, joker ho, ho joker</t>
  </si>
  <si>
    <t>kokushibo hoodie, kokushibo, kokushibohoodie, kokushibo ho, ho kokushibo</t>
  </si>
  <si>
    <t>levi hoodie, levi, levihoodie, levi ho, ho levi</t>
  </si>
  <si>
    <t>lily hoodie, lily, lilyhoodie, lily ho, ho lily</t>
  </si>
  <si>
    <t>naru hina hoodie, naru hina, naru hinahoodie, naru hina ho, ho naru hina</t>
  </si>
  <si>
    <t>plain black hoodie, plain black, plain black ho, ho plain black</t>
  </si>
  <si>
    <t>plain off white hoodie, plain off white, plain off white ho, ho plain off white</t>
  </si>
  <si>
    <t>saiyans pride hoodie, saiyans pride, saiyans pride ho, ho saiyans pride</t>
  </si>
  <si>
    <t>sasuke hoodie, sasuke, sasukehoodie, sasuke ho, ho sasuke</t>
  </si>
  <si>
    <t>sukuna hoodie, sukuna, sukunahoodie, sukuna ho, ho sukuna</t>
  </si>
  <si>
    <t>tanjiro hoodie, tanjiro black hoodie, tanjiro ho, ho tanjiro</t>
  </si>
  <si>
    <t>ace tshirt, ace black tshirt, ace os, os ace</t>
  </si>
  <si>
    <t>ace tshirt, ace white tshirt, ace os, os ace</t>
  </si>
  <si>
    <t>acid wash tshirt, acid wash, acid wash os, os acid wash</t>
  </si>
  <si>
    <t>akaza tshirt, akaza, akazatshirt, akaza os, os akaza</t>
  </si>
  <si>
    <t>alcoholic tshirt, alcoholic, alcoholictshirt, alcoholic os, os alcoholic</t>
  </si>
  <si>
    <t>almighty tshirt, almighty, almightytshirt, almighty os, os almighty</t>
  </si>
  <si>
    <t>arise tshirt, arise, arisetshirt, arise os, os arise</t>
  </si>
  <si>
    <t>Bottle Green</t>
  </si>
  <si>
    <t>b.green tshirt, b.green, b.greentshirt, b.green os, os b.green</t>
  </si>
  <si>
    <t>bakihamna tshirt, bakihamna, bakihnamtshirt, bakihamna os, os bakihamna</t>
  </si>
  <si>
    <t>beige tshirt, beige, beigetshtirt, beige os, os beige</t>
  </si>
  <si>
    <t>beige tshirt, beige, beige tshirt, beige os, os beige</t>
  </si>
  <si>
    <t>Cream</t>
  </si>
  <si>
    <t>berserk tshirt, berserk, berserktshirt, berserk os, os berserk</t>
  </si>
  <si>
    <t>blade tshirt, blade, bladetshirt, blade os, os blade</t>
  </si>
  <si>
    <t>cherry blossom tshirt, cherry blossom, cherry blossom os, os cherry blossom</t>
  </si>
  <si>
    <t>Black Ready Made</t>
  </si>
  <si>
    <t>beru tshirt, beru, berutshirt, beru os, os beru</t>
  </si>
  <si>
    <t>black tshirt, black, blacktshirt, black os, os black</t>
  </si>
  <si>
    <t>cream tshirt, cream, creamtshirt, cream os, os cream</t>
  </si>
  <si>
    <t>fox devil tshirt, fox devil, fox deviltshirt, fox devil os, os fox devil</t>
  </si>
  <si>
    <t>gojo fish tshirt, gojo fish, gojo fishtshirt, gojo fish os, os gojo fish</t>
  </si>
  <si>
    <t>Brown</t>
  </si>
  <si>
    <t>brown tshirt, brown, browntshirt, brown os, os brown</t>
  </si>
  <si>
    <t>bungee tshirt, bungee, bungeetshirt, bungee os, os bungee</t>
  </si>
  <si>
    <t>chain tshirt, chain, chaintshirt, chain os, os chain</t>
  </si>
  <si>
    <t>chainsawman tshirt, chainsawman, chainsawmantshirt, chainsawman os, os chainsawman</t>
  </si>
  <si>
    <t>haikyuu cream tshirt, haikyuu cream, haikyuu cream os, os haikyuu cream</t>
  </si>
  <si>
    <t>levi ackr wll tshirt, levi ackr wll, levi ackr wll os, os levi ackr wll</t>
  </si>
  <si>
    <t>maharashtra tshirt, maharashtra, maharashtratshirt, maharashtra os, os maharashtra</t>
  </si>
  <si>
    <t>Taupe</t>
  </si>
  <si>
    <t>choso tshirt, choso, chosotshirt, choso os, os choso</t>
  </si>
  <si>
    <t>chrollo beige tshirt, chrollo beige, chrollo beige os, os chrollo beige</t>
  </si>
  <si>
    <t>chrollo grey tshirt, chrollo grey, chrollo grey os, os chrollo grey</t>
  </si>
  <si>
    <t>Sage Green</t>
  </si>
  <si>
    <t>cifer tshirt, cifer, cifertshirt, cifer os, os cifer</t>
  </si>
  <si>
    <t>malibu tshirt, malibu, malibutshirt, malibu os, os malibu</t>
  </si>
  <si>
    <t>manta tshirt, manta, mantatshirt, manta os, os manta</t>
  </si>
  <si>
    <t>nanami tshirt, nanami, nanamitshirt, nanami os, os nanami</t>
  </si>
  <si>
    <t>dandadan tshirt, dandadan, dandadantshirt, dandadan os, os dandadan</t>
  </si>
  <si>
    <t>death note tshirt, death note, deathnotetshirt, death note os, os death note</t>
  </si>
  <si>
    <t>devil fire force tshirt, devil fire force, devil fire force os, os devil fire force</t>
  </si>
  <si>
    <t>divine touch tshirt, divine touch, divine touch os, os divine touch</t>
  </si>
  <si>
    <t>eren tshirt, eren, erentshirt, eren os, os eren</t>
  </si>
  <si>
    <t>f1 tshirt, f1, f1tshirt, f1 os, os f1</t>
  </si>
  <si>
    <t>flirting tshirt, flirting, flirtingtshirt, flirting os, os flirting</t>
  </si>
  <si>
    <t>flying tiger tshirt, flying tiger, flying tiger os, os flying tiger</t>
  </si>
  <si>
    <t>royal ity tshirt, royal ity, royal ity os, os royalty</t>
  </si>
  <si>
    <t>sukuna tshirt, sukuna, sukunatshirt, sukuna os, os sukuna</t>
  </si>
  <si>
    <t>tiger twin cream tshirt, tiger twin cream, tiger twin cream os, os tiger twin cream</t>
  </si>
  <si>
    <t>freedom tshirt, freedom, freedomtshirt, freedom os, os freedom</t>
  </si>
  <si>
    <t>Black OutOfStock</t>
  </si>
  <si>
    <t>gaara fire tshirt, gaara fire, gaara fire os, os gaara fire</t>
  </si>
  <si>
    <t>gaara hand black tshirt, gaara hand black, gaara hand black os, os gaara hand black</t>
  </si>
  <si>
    <t>Taupe OutOfStock</t>
  </si>
  <si>
    <t>gaara hand taupe tshirt, gaara hand taupe, gaara hand taupe os, os gaara hand taupe</t>
  </si>
  <si>
    <t>White OutOfStock</t>
  </si>
  <si>
    <t>gaara hand white tshirt, gaara hand white, gaara hand white os, os gaara hand white</t>
  </si>
  <si>
    <t>gaara sand tshirt, gaara sand, gaara sand os, os gaara sand</t>
  </si>
  <si>
    <t>garou tshirt, garou, garoutshirt, garou os, os garou</t>
  </si>
  <si>
    <t>gear5 tshirt, gear5, gear5tshirt, gear5 os, os gear5</t>
  </si>
  <si>
    <t>geto tshirt, geto, getotshirt, geto os, os geto</t>
  </si>
  <si>
    <t>gojo tshirt, gojo black tshirt, gojo os, os gojo</t>
  </si>
  <si>
    <t>vasto tshirt, vasto, vastotshirt, vasto os, os vasto</t>
  </si>
  <si>
    <t>Navy Blue</t>
  </si>
  <si>
    <t>gojo navy tshirt, gojo navy, gojo navy os, os gojo navy</t>
  </si>
  <si>
    <t>golden cap tshirt, golden cap, golden cap os, os golden cap</t>
  </si>
  <si>
    <t>good girl tshirt, good girl, good girl os, os good girl</t>
  </si>
  <si>
    <t>grey tshirt, grey, greytshirt, grey os, os grey</t>
  </si>
  <si>
    <t>Nexa Wash Green</t>
  </si>
  <si>
    <t>griffith tshirt, griffith, griffithtshirt, griffith os, os griffith</t>
  </si>
  <si>
    <t>Ice Blue</t>
  </si>
  <si>
    <t>grimmjow tshirt, grimmjow, grimmjowtshirt, grimmjow os, os grimmjow</t>
  </si>
  <si>
    <t>gujarat tshirt, gujarat, gujarattshirt, gujarat os, os gujarat</t>
  </si>
  <si>
    <t>haikyuu black tshirt, haikyuu black, haikyuu black os, os haikyuu black</t>
  </si>
  <si>
    <t>hanafuda tshirt, hanafuda, hanafudatshirt, hanafuda os, os hanafuda</t>
  </si>
  <si>
    <t>himalayas tshirt, himalayas, himalayastshirt, himalayas os, os himalayas</t>
  </si>
  <si>
    <t>hot gf tshirt, hot gf, hot gf os, os hot gf</t>
  </si>
  <si>
    <t>ice blue tshirt, ice blue, ice blue os, os ice blue</t>
  </si>
  <si>
    <t>igris tshirt, igris, igristshirt, igris os, os igris</t>
  </si>
  <si>
    <t>imposter black tshirt, imposter black, imposter black os, os imposter black</t>
  </si>
  <si>
    <t>imposter white tshirt, imposter white, imposter white os, os imposter white</t>
  </si>
  <si>
    <t>isagi tshirt, isagi, isagitshirt, isagi os, os isagi</t>
  </si>
  <si>
    <t>itachi tshirt, itachi, itachitshirt, itachi os, os itachi</t>
  </si>
  <si>
    <t>jinwoo tshirt, jinwoo, jinwootshirt, jinwoo os, os jinwoo</t>
  </si>
  <si>
    <t>jiraya tshirt, jiraya, jirayatshirt, jiraya os, os jiraya</t>
  </si>
  <si>
    <t>kakashi taupe tshirt, kakashi taupe, kakashi taupe os, os kakashi taupe</t>
  </si>
  <si>
    <t>kakashi white tshirt, kakashi white, kakashi white os, os kakashi white</t>
  </si>
  <si>
    <t>killua tshirt, killua, killuatshirt, killua os, os killua</t>
  </si>
  <si>
    <t>kira tshirt, kira, kiratshirt, kira os, os kira</t>
  </si>
  <si>
    <t>kokushibo tshirt, kokushibo, kokushibotshirt, kokushibo os, os kokushibo</t>
  </si>
  <si>
    <t>levi taupe tshirt, levi taupe, levi taupe os, os levi taupe</t>
  </si>
  <si>
    <t>levi white tshirt, levi white, levi white os, os levi white</t>
  </si>
  <si>
    <t>leviathan tshirt, leviathan, leviathantshirt, leviathan os, os leviathan</t>
  </si>
  <si>
    <t>limitless tshirt, limitless, limitlesstshirt, limitless os, os limitless</t>
  </si>
  <si>
    <t>royalty tshirt, royalty, royaltytshirt, royalty os, os royalty</t>
  </si>
  <si>
    <t>mikey tshirt, mikey, mikeytshirt, mikey os, os mikey</t>
  </si>
  <si>
    <t>mjolnir tshirt, mjolnir, mjolnirtshirt, mjolnir os, os mjolnir</t>
  </si>
  <si>
    <t>naru hina tshirt, naru hina, naru hina os, os naru hina</t>
  </si>
  <si>
    <t>narutostrt tshirt, narutostrt, narutostrttshirt, narutostrt os, os narutostrt</t>
  </si>
  <si>
    <t>navy tshirt, navy, navytshirt, navy os, os navy</t>
  </si>
  <si>
    <t>pain tshirt, pain, paintshirt, pain os, os pain</t>
  </si>
  <si>
    <t>r.blue tshirt, r.blue, r.bluetshirt, r.blue os, os r.blue</t>
  </si>
  <si>
    <t>rajasthan tshirt, rajasthan, rajasthan tshirt, rajasthan os, os rajasthan</t>
  </si>
  <si>
    <t>rajasthan tshirt, rajasthan, rajasthantshirt, rajasthan os, os rajasthan</t>
  </si>
  <si>
    <t>sage green tshirt, sage green, sage green os, os sage green</t>
  </si>
  <si>
    <t>sasuke tshirt, sasuke, sasuketshirt, sasuke os, os sasuke</t>
  </si>
  <si>
    <t>shenron tshirt, shenron, shenrontshirt, shenron os, os shenron</t>
  </si>
  <si>
    <t>sukunaold tshirt, sukunaold, sukunaoldtshirt, sukunaold os, os sukunaold</t>
  </si>
  <si>
    <t>supreme mentality tshirt, supreme mentality, supreme mentality os, os supreme mentality</t>
  </si>
  <si>
    <t>tan tshirt, tan, tantshirt, tan os, os tan</t>
  </si>
  <si>
    <t>tanjiro tshirt, tanjiro black tshirt, tanjiro os, os tanjiro</t>
  </si>
  <si>
    <t>tanjiro tshirt, tanjiro brown tshirt, tanjiro os, os tanjiro</t>
  </si>
  <si>
    <t>Teal OutOfStock</t>
  </si>
  <si>
    <t>teal chess ice tshirt, teal chess ice, teal chess ice os, os teal chess ice</t>
  </si>
  <si>
    <t>Teal</t>
  </si>
  <si>
    <t>teal tshirt, teal, tealtshirt, teal os, os teal</t>
  </si>
  <si>
    <t>wukong tshirt, wukong, wukongtshirt, wukong os, os wukong</t>
  </si>
  <si>
    <t>thndr tshirt, thndr, thndrtshirt, thndr os, os thndr</t>
  </si>
  <si>
    <t>tiger twin iceblue tshirt, tiger twin iceblue, tiger twin iceblue os, os tiger twin iceblue</t>
  </si>
  <si>
    <t>toji tshirt, toji, toj itshirt, toji os, os toji</t>
  </si>
  <si>
    <t>toji tshirt, toji, tojitshirt, toji os, os toji</t>
  </si>
  <si>
    <t>tokyo tshirt, tokyo, tokyotshirt, tokyo os, os tokyo</t>
  </si>
  <si>
    <t>velocity brown tshirt, velocity brown, velocity brown os, os velocity brown</t>
  </si>
  <si>
    <t>velocity sage green tshirt, velocity sage green, velocity sage green os, os velocity sage green</t>
  </si>
  <si>
    <t>white chess ice tshirt, white chess ice, white chess ice os, os white chess ice</t>
  </si>
  <si>
    <t>white tshirt, white, whitetshirt, white os, os white</t>
  </si>
  <si>
    <t>wildmind brown tshirt, wildmind brown, wildmind brown os, os wildmind brown</t>
  </si>
  <si>
    <t>wildmind iceblue tshirt, wildmind iceblue, wildmind iceblue os, os wildmind iceblue</t>
  </si>
  <si>
    <t>yuta tshirt, yuta, yutatshirt, yuta os, os yuta</t>
  </si>
  <si>
    <t>Washed Berserk Pattern</t>
  </si>
  <si>
    <t>berserk pattern, berserk pattern rf, rf berserk pattern, berserk pattern os, os berserk pattern</t>
  </si>
  <si>
    <t>vigilante, vigilante whf, vigilante os, os vigilante, vigilante tshirt</t>
  </si>
  <si>
    <t>Track Pants</t>
  </si>
  <si>
    <t>fireforce pants, fireforce, fireforcepant, fireforce pant</t>
  </si>
  <si>
    <t>heart pants, heart, heartpant, heart pant</t>
  </si>
  <si>
    <t>sukuna pants, sukuna, sukunapant, sukuna pant</t>
  </si>
  <si>
    <t>bungee pants, bungee, bungeepant, bungee pant</t>
  </si>
  <si>
    <t>berserk pants, berserk, berserkpant, berserk pant</t>
  </si>
  <si>
    <t>lily pants, lily, lilypant, lily pant</t>
  </si>
  <si>
    <t>snake pants, snake, snakepant, snake pant</t>
  </si>
  <si>
    <t>blood sword tshirt, blood sword, blood sword os, os blood sword</t>
  </si>
  <si>
    <t>green clover tshirt, green clover, green clover os, os green clover</t>
  </si>
  <si>
    <t>kurta tshirt, kurta, kurtatshirt, kurta os, os kurta</t>
  </si>
  <si>
    <t>hand locket tshirt, hand locket, hand locket os, os hand locket</t>
  </si>
  <si>
    <t>skull tshirt, skull, skulltshirt, skull os, os skull</t>
  </si>
  <si>
    <t>scars on back tshirt, scars on back, scars on back os, os scars on back</t>
  </si>
  <si>
    <t>shunsui tshirt, shunsui, shunsuitshirt, shunsui os, os shunsui</t>
  </si>
  <si>
    <t>white beard tshirt, white beard, white beard os, os white beard</t>
  </si>
  <si>
    <t>eight batch tshirt, eight batch, eight batch os, os eight batch</t>
  </si>
  <si>
    <t>no enemies tshirt, no enemies, no enemies os, os no enemies</t>
  </si>
  <si>
    <t>strongest tshirt, strongest, strongesttshirt, strongest os, os strongest</t>
  </si>
  <si>
    <t>kon tshirt, kon, kontshirt, kon os, os kon</t>
  </si>
  <si>
    <t>long hair tshirt, long hair, long hair os, os long hair</t>
  </si>
  <si>
    <t>black bull tshirt, black bull, black bull os, os black bull</t>
  </si>
  <si>
    <t>six eyes tshirt, six eyes, six eyes os, os six eyes</t>
  </si>
  <si>
    <t>my magic tshirt, my magic, my magic os, os my magic</t>
  </si>
  <si>
    <t>ghoul tshirt, ghoul, ghoultshirt, ghoul os, os ghoul</t>
  </si>
  <si>
    <t>two guns tshirt, two guns, two guns os, os two guns</t>
  </si>
  <si>
    <t>hand clap tshirt, hand clap, hand clap os, os hand clap</t>
  </si>
  <si>
    <t>death tshirt, death, deathtshirt, death os, os death</t>
  </si>
  <si>
    <t>Shorts</t>
  </si>
  <si>
    <t>freedom shorts, freedom, freedomshorts</t>
  </si>
  <si>
    <t>zoro shorts, zoro, zoroshorts</t>
  </si>
  <si>
    <t>gojo cat shorts, gojo cat, gojo cat shorts</t>
  </si>
  <si>
    <t>ace emblem shorts, ace emblem, ace emblem shorts</t>
  </si>
  <si>
    <t>gear5 shorts, gear5, gear5shorts</t>
  </si>
  <si>
    <t>minimalist sagegreen shorts, minimalist sagegreen, minimalist sagegreen shorts</t>
  </si>
  <si>
    <t>minimalist black shorts, minimalist black, minimalist black shorts</t>
  </si>
  <si>
    <t>minimalist navy shorts, minimalist navy, minimalist navy shorts</t>
  </si>
  <si>
    <t>Aug26</t>
  </si>
  <si>
    <t>Shirt</t>
  </si>
  <si>
    <t>zero shirt, zero, zeroshirt</t>
  </si>
  <si>
    <t>heart shirt, heart, heartshirt</t>
  </si>
  <si>
    <t>el shirt, el, elshirt, L shirt</t>
  </si>
  <si>
    <t>gear5 shirt, gear5, gear5shirt</t>
  </si>
  <si>
    <t>kurama shirt, kurama, kuramashirt</t>
  </si>
  <si>
    <t>mob psycho shirt, mob psycho, mob psychoshirt</t>
  </si>
  <si>
    <t>vagabond shirt, vagabond, vagabondshirt</t>
  </si>
  <si>
    <t>Acid wash</t>
  </si>
  <si>
    <t>skull, black clover skull, black clover, black clover tshirt</t>
  </si>
  <si>
    <t>Vinland, Vinland Saga, Vinland Brown, Vinland tshirt</t>
  </si>
  <si>
    <t>Kenpachi, kepachi, kenpachi, bleach, kenpachi tshirt</t>
  </si>
  <si>
    <t>Gachiakuta, gachikuta, gachiakuta tshirt</t>
  </si>
  <si>
    <t>Evangolian, evengolian, evangolia, evengolian tshirt</t>
  </si>
  <si>
    <t>Luffy, luffy black white, luffy bubble, luffy bubbles tshirt</t>
  </si>
  <si>
    <t>ace. ace grey, ace flame, ace grey tshirt, ace flame tshirt</t>
  </si>
  <si>
    <t>ryuk, ryuk bird, ryuk tshirt</t>
  </si>
  <si>
    <t>natsu, natsu tshirt, natsu red</t>
  </si>
  <si>
    <t>escanor, escanor tshirt, escanor</t>
  </si>
  <si>
    <t>Vinland, Vinland Saga, Vinland Teal, Vinland tshirt</t>
  </si>
  <si>
    <t>Spiderman, spiderman red, spiderman tshirt</t>
  </si>
  <si>
    <t>Spiderman, spiderman black, spiderman tshirt</t>
  </si>
  <si>
    <t xml:space="preserve"> </t>
  </si>
  <si>
    <t>Tsukuyomi, itachi, red</t>
  </si>
  <si>
    <t>mob psycho tshirt, mob psycho, mob psycho 100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</si>
</sst>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, hh:mm:ss"/>
  </numFmts>
  <fonts count="8">
    <font>
      <sz val="10.0"/>
      <color rgb="FF000000"/>
      <name val="Arial"/>
      <scheme val="minor"/>
    </font>
    <font>
      <sz val="11.0"/>
      <color rgb="FF000000"/>
      <name val="Calibri"/>
    </font>
    <font>
      <color theme="1"/>
      <name val="Arial"/>
      <scheme val="minor"/>
    </font>
    <font>
      <sz val="11.0"/>
      <color theme="1"/>
      <name val="Calibri"/>
    </font>
    <font>
      <color rgb="FF000000"/>
      <name val="Arial"/>
    </font>
    <font>
      <b/>
      <color theme="1"/>
      <name val="Arial"/>
    </font>
    <font>
      <color theme="1"/>
      <name val="Arial"/>
    </font>
    <font>
      <sz val="11.0"/>
      <color rgb="FF33333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F4C430"/>
        <bgColor rgb="FFF4C430"/>
      </patternFill>
    </fill>
    <fill>
      <patternFill patternType="solid">
        <fgColor rgb="FFEFEBFF"/>
        <bgColor rgb="FFEFEBF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4" numFmtId="49" xfId="0" applyAlignment="1" applyFont="1" applyNumberFormat="1">
      <alignment readingOrder="0" shrinkToFit="0" vertical="bottom" wrapText="0"/>
    </xf>
    <xf borderId="0" fillId="0" fontId="2" numFmtId="0" xfId="0" applyFont="1"/>
    <xf borderId="0" fillId="0" fontId="1" numFmtId="0" xfId="0" applyAlignment="1" applyFont="1">
      <alignment readingOrder="0"/>
    </xf>
    <xf borderId="0" fillId="2" fontId="5" numFmtId="0" xfId="0" applyAlignment="1" applyFill="1" applyFont="1">
      <alignment vertical="bottom"/>
    </xf>
    <xf borderId="0" fillId="0" fontId="2" numFmtId="164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2" fontId="5" numFmtId="0" xfId="0" applyAlignment="1" applyFill="1" applyFont="1">
      <alignment readingOrder="0" vertical="bottom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3" fontId="7" numFmtId="0" xfId="0" applyAlignment="1" applyFill="1" applyFont="1">
      <alignment readingOrder="0"/>
    </xf>
    <xf borderId="0" fillId="4" fontId="7" numFmtId="0" xfId="0" applyAlignment="1" applyFill="1" applyFont="1">
      <alignment readingOrder="0"/>
    </xf>
    <xf borderId="0" fillId="0" fontId="3" numFmtId="0" xfId="0" applyAlignment="1" applyFont="1">
      <alignment readingOrder="0" vertical="bottom"/>
    </xf>
    <xf borderId="0" fillId="0" fontId="6" numFmtId="0" xfId="0" applyAlignment="1" applyFont="1">
      <alignment readingOrder="0" vertical="bottom"/>
    </xf>
    <xf borderId="0" fillId="0" fontId="2" numFmtId="49" xfId="0" applyAlignment="1" applyFont="1" applyNumberFormat="1">
      <alignment readingOrder="0"/>
    </xf>
    <xf borderId="0" fillId="0" fontId="4" numFmtId="0" xfId="0" applyAlignment="1" applyFon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5.13"/>
    <col customWidth="1" min="4" max="4" width="13.88"/>
    <col customWidth="1" min="8" max="8" width="16.38"/>
    <col customWidth="1" min="9" max="9" width="15.88"/>
    <col customWidth="1" min="10" max="10" width="69.0"/>
  </cols>
  <sheetData>
    <row r="1">
      <c r="A1" s="1" t="s">
        <v>0</v>
      </c>
      <c r="B1" s="1" t="s">
        <v>2</v>
      </c>
      <c r="C1" s="1" t="s">
        <v>4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13</v>
      </c>
      <c r="J1" s="2" t="s">
        <v>14</v>
      </c>
    </row>
    <row r="2">
      <c r="A2" s="4">
        <v>3.3108032E7</v>
      </c>
      <c r="B2" s="1" t="s">
        <v>6</v>
      </c>
      <c r="C2" s="5">
        <v>1440.0</v>
      </c>
      <c r="D2" s="7" t="s">
        <v>20</v>
      </c>
      <c r="E2" s="2" t="s">
        <v>24</v>
      </c>
      <c r="F2" s="2" t="s">
        <v>27</v>
      </c>
      <c r="G2" s="8" t="str">
        <f>IFERROR(__xludf.DUMMYFUNCTION("REGEXEXTRACT(B2, ""-([^-\s]+)$"")"),"L")</f>
        <v>L</v>
      </c>
      <c r="H2" s="2" t="s">
        <v>52</v>
      </c>
      <c r="I2" s="8" t="str">
        <f t="shared" ref="I2:I721" si="1">IF(G2="S", "42 in", IF(G2="M", "44 in", IF(G2="L", "46 in", IF(G2="XL", "48 in", ""))))</f>
        <v>46 in</v>
      </c>
      <c r="J2" s="9" t="s">
        <v>98</v>
      </c>
    </row>
    <row r="3">
      <c r="A3" s="4">
        <v>3.3108032E7</v>
      </c>
      <c r="B3" s="1" t="s">
        <v>12</v>
      </c>
      <c r="C3" s="5">
        <v>1440.0</v>
      </c>
      <c r="D3" s="7" t="s">
        <v>20</v>
      </c>
      <c r="E3" s="2" t="s">
        <v>24</v>
      </c>
      <c r="F3" s="2" t="s">
        <v>27</v>
      </c>
      <c r="G3" s="8" t="str">
        <f>IFERROR(__xludf.DUMMYFUNCTION("REGEXEXTRACT(B3, ""-([^-\s]+)$"")"),"M")</f>
        <v>M</v>
      </c>
      <c r="H3" s="2" t="s">
        <v>52</v>
      </c>
      <c r="I3" s="8" t="str">
        <f t="shared" si="1"/>
        <v>44 in</v>
      </c>
      <c r="J3" s="9" t="s">
        <v>98</v>
      </c>
    </row>
    <row r="4">
      <c r="A4" s="4">
        <v>3.3108032E7</v>
      </c>
      <c r="B4" s="1" t="s">
        <v>15</v>
      </c>
      <c r="C4" s="5">
        <v>1440.0</v>
      </c>
      <c r="D4" s="7" t="s">
        <v>20</v>
      </c>
      <c r="E4" s="2" t="s">
        <v>24</v>
      </c>
      <c r="F4" s="2" t="s">
        <v>27</v>
      </c>
      <c r="G4" s="8" t="str">
        <f>IFERROR(__xludf.DUMMYFUNCTION("REGEXEXTRACT(B4, ""-([^-\s]+)$"")"),"S")</f>
        <v>S</v>
      </c>
      <c r="H4" s="2" t="s">
        <v>52</v>
      </c>
      <c r="I4" s="8" t="str">
        <f t="shared" si="1"/>
        <v>42 in</v>
      </c>
      <c r="J4" s="9" t="s">
        <v>98</v>
      </c>
    </row>
    <row r="5">
      <c r="A5" s="4">
        <v>3.3108032E7</v>
      </c>
      <c r="B5" s="1" t="s">
        <v>16</v>
      </c>
      <c r="C5" s="5">
        <v>1440.0</v>
      </c>
      <c r="D5" s="7" t="s">
        <v>20</v>
      </c>
      <c r="E5" s="2" t="s">
        <v>24</v>
      </c>
      <c r="F5" s="2" t="s">
        <v>27</v>
      </c>
      <c r="G5" s="8" t="str">
        <f>IFERROR(__xludf.DUMMYFUNCTION("REGEXEXTRACT(B5, ""-([^-\s]+)$"")"),"XL")</f>
        <v>XL</v>
      </c>
      <c r="H5" s="2" t="s">
        <v>52</v>
      </c>
      <c r="I5" s="8" t="str">
        <f t="shared" si="1"/>
        <v>48 in</v>
      </c>
      <c r="J5" s="9" t="s">
        <v>98</v>
      </c>
    </row>
    <row r="6">
      <c r="A6" s="2">
        <v>3.7747504E7</v>
      </c>
      <c r="B6" s="2" t="s">
        <v>17</v>
      </c>
      <c r="C6" s="2">
        <v>1999.0</v>
      </c>
      <c r="D6" s="7" t="s">
        <v>20</v>
      </c>
      <c r="E6" s="1" t="s">
        <v>24</v>
      </c>
      <c r="F6" s="2" t="s">
        <v>27</v>
      </c>
      <c r="G6" s="8" t="str">
        <f>IFERROR(__xludf.DUMMYFUNCTION("REGEXEXTRACT(B6, ""-([^-\s]+)$"")"),"L")</f>
        <v>L</v>
      </c>
      <c r="H6" s="2" t="s">
        <v>148</v>
      </c>
      <c r="I6" s="8" t="str">
        <f t="shared" si="1"/>
        <v>46 in</v>
      </c>
      <c r="J6" s="9" t="s">
        <v>152</v>
      </c>
    </row>
    <row r="7">
      <c r="A7" s="2">
        <v>3.7747504E7</v>
      </c>
      <c r="B7" s="2" t="s">
        <v>19</v>
      </c>
      <c r="C7" s="2">
        <v>1999.0</v>
      </c>
      <c r="D7" s="7" t="s">
        <v>20</v>
      </c>
      <c r="E7" s="1" t="s">
        <v>24</v>
      </c>
      <c r="F7" s="2" t="s">
        <v>27</v>
      </c>
      <c r="G7" s="8" t="str">
        <f>IFERROR(__xludf.DUMMYFUNCTION("REGEXEXTRACT(B7, ""-([^-\s]+)$"")"),"M")</f>
        <v>M</v>
      </c>
      <c r="H7" s="2" t="s">
        <v>148</v>
      </c>
      <c r="I7" s="8" t="str">
        <f t="shared" si="1"/>
        <v>44 in</v>
      </c>
      <c r="J7" s="9" t="s">
        <v>152</v>
      </c>
    </row>
    <row r="8">
      <c r="A8" s="2">
        <v>3.7747504E7</v>
      </c>
      <c r="B8" s="2" t="s">
        <v>21</v>
      </c>
      <c r="C8" s="2">
        <v>1999.0</v>
      </c>
      <c r="D8" s="7" t="s">
        <v>20</v>
      </c>
      <c r="E8" s="1" t="s">
        <v>24</v>
      </c>
      <c r="F8" s="2" t="s">
        <v>27</v>
      </c>
      <c r="G8" s="8" t="str">
        <f>IFERROR(__xludf.DUMMYFUNCTION("REGEXEXTRACT(B8, ""-([^-\s]+)$"")"),"S")</f>
        <v>S</v>
      </c>
      <c r="H8" s="2" t="s">
        <v>148</v>
      </c>
      <c r="I8" s="8" t="str">
        <f t="shared" si="1"/>
        <v>42 in</v>
      </c>
      <c r="J8" s="9" t="s">
        <v>152</v>
      </c>
    </row>
    <row r="9">
      <c r="A9" s="2">
        <v>3.7747504E7</v>
      </c>
      <c r="B9" s="2" t="s">
        <v>22</v>
      </c>
      <c r="C9" s="2">
        <v>1999.0</v>
      </c>
      <c r="D9" s="7" t="s">
        <v>20</v>
      </c>
      <c r="E9" s="1" t="s">
        <v>24</v>
      </c>
      <c r="F9" s="2" t="s">
        <v>27</v>
      </c>
      <c r="G9" s="8" t="str">
        <f>IFERROR(__xludf.DUMMYFUNCTION("REGEXEXTRACT(B9, ""-([^-\s]+)$"")"),"XL")</f>
        <v>XL</v>
      </c>
      <c r="H9" s="2" t="s">
        <v>148</v>
      </c>
      <c r="I9" s="8" t="str">
        <f t="shared" si="1"/>
        <v>48 in</v>
      </c>
      <c r="J9" s="9" t="s">
        <v>152</v>
      </c>
    </row>
    <row r="10">
      <c r="A10" s="2">
        <v>3.7747304E7</v>
      </c>
      <c r="B10" s="2" t="s">
        <v>23</v>
      </c>
      <c r="C10" s="2">
        <v>1999.0</v>
      </c>
      <c r="D10" s="7" t="s">
        <v>20</v>
      </c>
      <c r="E10" s="1" t="s">
        <v>24</v>
      </c>
      <c r="F10" s="2" t="s">
        <v>27</v>
      </c>
      <c r="G10" s="8" t="str">
        <f>IFERROR(__xludf.DUMMYFUNCTION("REGEXEXTRACT(B10, ""-([^-\s]+)$"")"),"L")</f>
        <v>L</v>
      </c>
      <c r="H10" s="2" t="s">
        <v>189</v>
      </c>
      <c r="I10" s="8" t="str">
        <f t="shared" si="1"/>
        <v>46 in</v>
      </c>
      <c r="J10" s="9" t="s">
        <v>191</v>
      </c>
    </row>
    <row r="11">
      <c r="A11" s="2">
        <v>3.7747304E7</v>
      </c>
      <c r="B11" s="2" t="s">
        <v>26</v>
      </c>
      <c r="C11" s="2">
        <v>1999.0</v>
      </c>
      <c r="D11" s="7" t="s">
        <v>20</v>
      </c>
      <c r="E11" s="1" t="s">
        <v>24</v>
      </c>
      <c r="F11" s="2" t="s">
        <v>27</v>
      </c>
      <c r="G11" s="8" t="str">
        <f>IFERROR(__xludf.DUMMYFUNCTION("REGEXEXTRACT(B11, ""-([^-\s]+)$"")"),"M")</f>
        <v>M</v>
      </c>
      <c r="H11" s="2" t="s">
        <v>189</v>
      </c>
      <c r="I11" s="8" t="str">
        <f t="shared" si="1"/>
        <v>44 in</v>
      </c>
      <c r="J11" s="9" t="s">
        <v>191</v>
      </c>
    </row>
    <row r="12">
      <c r="A12" s="2">
        <v>3.7747304E7</v>
      </c>
      <c r="B12" s="2" t="s">
        <v>28</v>
      </c>
      <c r="C12" s="2">
        <v>1999.0</v>
      </c>
      <c r="D12" s="7" t="s">
        <v>20</v>
      </c>
      <c r="E12" s="1" t="s">
        <v>24</v>
      </c>
      <c r="F12" s="2" t="s">
        <v>27</v>
      </c>
      <c r="G12" s="8" t="str">
        <f>IFERROR(__xludf.DUMMYFUNCTION("REGEXEXTRACT(B12, ""-([^-\s]+)$"")"),"S")</f>
        <v>S</v>
      </c>
      <c r="H12" s="2" t="s">
        <v>189</v>
      </c>
      <c r="I12" s="8" t="str">
        <f t="shared" si="1"/>
        <v>42 in</v>
      </c>
      <c r="J12" s="9" t="s">
        <v>191</v>
      </c>
    </row>
    <row r="13">
      <c r="A13" s="2">
        <v>3.7747304E7</v>
      </c>
      <c r="B13" s="2" t="s">
        <v>31</v>
      </c>
      <c r="C13" s="2">
        <v>1999.0</v>
      </c>
      <c r="D13" s="7" t="s">
        <v>20</v>
      </c>
      <c r="E13" s="1" t="s">
        <v>24</v>
      </c>
      <c r="F13" s="2" t="s">
        <v>27</v>
      </c>
      <c r="G13" s="8" t="str">
        <f>IFERROR(__xludf.DUMMYFUNCTION("REGEXEXTRACT(B13, ""-([^-\s]+)$"")"),"XL")</f>
        <v>XL</v>
      </c>
      <c r="H13" s="2" t="s">
        <v>189</v>
      </c>
      <c r="I13" s="8" t="str">
        <f t="shared" si="1"/>
        <v>48 in</v>
      </c>
      <c r="J13" s="9" t="s">
        <v>191</v>
      </c>
    </row>
    <row r="14">
      <c r="A14" s="2">
        <v>3.7747306E7</v>
      </c>
      <c r="B14" s="2" t="s">
        <v>32</v>
      </c>
      <c r="C14" s="2">
        <v>1999.0</v>
      </c>
      <c r="D14" s="7" t="s">
        <v>20</v>
      </c>
      <c r="E14" s="1" t="s">
        <v>24</v>
      </c>
      <c r="F14" s="2" t="s">
        <v>27</v>
      </c>
      <c r="G14" s="8" t="str">
        <f>IFERROR(__xludf.DUMMYFUNCTION("REGEXEXTRACT(B14, ""-([^-\s]+)$"")"),"L")</f>
        <v>L</v>
      </c>
      <c r="H14" s="2" t="s">
        <v>189</v>
      </c>
      <c r="I14" s="8" t="str">
        <f t="shared" si="1"/>
        <v>46 in</v>
      </c>
      <c r="J14" s="9" t="s">
        <v>222</v>
      </c>
    </row>
    <row r="15">
      <c r="A15" s="2">
        <v>3.7747306E7</v>
      </c>
      <c r="B15" s="2" t="s">
        <v>34</v>
      </c>
      <c r="C15" s="2">
        <v>1999.0</v>
      </c>
      <c r="D15" s="7" t="s">
        <v>20</v>
      </c>
      <c r="E15" s="1" t="s">
        <v>24</v>
      </c>
      <c r="F15" s="2" t="s">
        <v>27</v>
      </c>
      <c r="G15" s="8" t="str">
        <f>IFERROR(__xludf.DUMMYFUNCTION("REGEXEXTRACT(B15, ""-([^-\s]+)$"")"),"M")</f>
        <v>M</v>
      </c>
      <c r="H15" s="2" t="s">
        <v>189</v>
      </c>
      <c r="I15" s="8" t="str">
        <f t="shared" si="1"/>
        <v>44 in</v>
      </c>
      <c r="J15" s="9" t="s">
        <v>222</v>
      </c>
    </row>
    <row r="16">
      <c r="A16" s="2">
        <v>3.7747306E7</v>
      </c>
      <c r="B16" s="2" t="s">
        <v>35</v>
      </c>
      <c r="C16" s="2">
        <v>1999.0</v>
      </c>
      <c r="D16" s="7" t="s">
        <v>20</v>
      </c>
      <c r="E16" s="1" t="s">
        <v>24</v>
      </c>
      <c r="F16" s="2" t="s">
        <v>27</v>
      </c>
      <c r="G16" s="8" t="str">
        <f>IFERROR(__xludf.DUMMYFUNCTION("REGEXEXTRACT(B16, ""-([^-\s]+)$"")"),"S")</f>
        <v>S</v>
      </c>
      <c r="H16" s="2" t="s">
        <v>189</v>
      </c>
      <c r="I16" s="8" t="str">
        <f t="shared" si="1"/>
        <v>42 in</v>
      </c>
      <c r="J16" s="9" t="s">
        <v>222</v>
      </c>
    </row>
    <row r="17">
      <c r="A17" s="2">
        <v>3.7747306E7</v>
      </c>
      <c r="B17" s="2" t="s">
        <v>37</v>
      </c>
      <c r="C17" s="2">
        <v>1999.0</v>
      </c>
      <c r="D17" s="7" t="s">
        <v>20</v>
      </c>
      <c r="E17" s="1" t="s">
        <v>24</v>
      </c>
      <c r="F17" s="2" t="s">
        <v>27</v>
      </c>
      <c r="G17" s="8" t="str">
        <f>IFERROR(__xludf.DUMMYFUNCTION("REGEXEXTRACT(B17, ""-([^-\s]+)$"")"),"XL")</f>
        <v>XL</v>
      </c>
      <c r="H17" s="2" t="s">
        <v>189</v>
      </c>
      <c r="I17" s="8" t="str">
        <f t="shared" si="1"/>
        <v>48 in</v>
      </c>
      <c r="J17" s="9" t="s">
        <v>222</v>
      </c>
    </row>
    <row r="18">
      <c r="A18" s="2">
        <v>3.7747302E7</v>
      </c>
      <c r="B18" s="2" t="s">
        <v>38</v>
      </c>
      <c r="C18" s="2">
        <v>1999.0</v>
      </c>
      <c r="D18" s="7" t="s">
        <v>20</v>
      </c>
      <c r="E18" s="1" t="s">
        <v>24</v>
      </c>
      <c r="F18" s="2" t="s">
        <v>27</v>
      </c>
      <c r="G18" s="8" t="str">
        <f>IFERROR(__xludf.DUMMYFUNCTION("REGEXEXTRACT(B18, ""-([^-\s]+)$"")"),"L")</f>
        <v>L</v>
      </c>
      <c r="H18" s="2" t="s">
        <v>278</v>
      </c>
      <c r="I18" s="8" t="str">
        <f t="shared" si="1"/>
        <v>46 in</v>
      </c>
      <c r="J18" s="9" t="s">
        <v>283</v>
      </c>
    </row>
    <row r="19">
      <c r="A19" s="2">
        <v>3.7747302E7</v>
      </c>
      <c r="B19" s="2" t="s">
        <v>39</v>
      </c>
      <c r="C19" s="2">
        <v>1999.0</v>
      </c>
      <c r="D19" s="7" t="s">
        <v>20</v>
      </c>
      <c r="E19" s="1" t="s">
        <v>24</v>
      </c>
      <c r="F19" s="2" t="s">
        <v>27</v>
      </c>
      <c r="G19" s="8" t="str">
        <f>IFERROR(__xludf.DUMMYFUNCTION("REGEXEXTRACT(B19, ""-([^-\s]+)$"")"),"M")</f>
        <v>M</v>
      </c>
      <c r="H19" s="2" t="s">
        <v>278</v>
      </c>
      <c r="I19" s="8" t="str">
        <f t="shared" si="1"/>
        <v>44 in</v>
      </c>
      <c r="J19" s="9" t="s">
        <v>283</v>
      </c>
    </row>
    <row r="20">
      <c r="A20" s="2">
        <v>3.7747302E7</v>
      </c>
      <c r="B20" s="2" t="s">
        <v>41</v>
      </c>
      <c r="C20" s="2">
        <v>1999.0</v>
      </c>
      <c r="D20" s="7" t="s">
        <v>20</v>
      </c>
      <c r="E20" s="1" t="s">
        <v>24</v>
      </c>
      <c r="F20" s="2" t="s">
        <v>27</v>
      </c>
      <c r="G20" s="8" t="str">
        <f>IFERROR(__xludf.DUMMYFUNCTION("REGEXEXTRACT(B20, ""-([^-\s]+)$"")"),"S")</f>
        <v>S</v>
      </c>
      <c r="H20" s="2" t="s">
        <v>278</v>
      </c>
      <c r="I20" s="8" t="str">
        <f t="shared" si="1"/>
        <v>42 in</v>
      </c>
      <c r="J20" s="9" t="s">
        <v>283</v>
      </c>
    </row>
    <row r="21">
      <c r="A21" s="2">
        <v>3.7747302E7</v>
      </c>
      <c r="B21" s="2" t="s">
        <v>42</v>
      </c>
      <c r="C21" s="2">
        <v>1999.0</v>
      </c>
      <c r="D21" s="7" t="s">
        <v>20</v>
      </c>
      <c r="E21" s="1" t="s">
        <v>24</v>
      </c>
      <c r="F21" s="2" t="s">
        <v>27</v>
      </c>
      <c r="G21" s="8" t="str">
        <f>IFERROR(__xludf.DUMMYFUNCTION("REGEXEXTRACT(B21, ""-([^-\s]+)$"")"),"XL")</f>
        <v>XL</v>
      </c>
      <c r="H21" s="2" t="s">
        <v>278</v>
      </c>
      <c r="I21" s="8" t="str">
        <f t="shared" si="1"/>
        <v>48 in</v>
      </c>
      <c r="J21" s="9" t="s">
        <v>283</v>
      </c>
    </row>
    <row r="22">
      <c r="A22" s="4">
        <v>3.3752853E7</v>
      </c>
      <c r="B22" s="1" t="s">
        <v>43</v>
      </c>
      <c r="C22" s="5">
        <v>1440.0</v>
      </c>
      <c r="D22" s="7" t="s">
        <v>20</v>
      </c>
      <c r="E22" s="2" t="s">
        <v>24</v>
      </c>
      <c r="F22" s="2" t="s">
        <v>27</v>
      </c>
      <c r="G22" s="8" t="str">
        <f>IFERROR(__xludf.DUMMYFUNCTION("REGEXEXTRACT(B22, ""-([^-\s]+)$"")"),"L")</f>
        <v>L</v>
      </c>
      <c r="H22" s="2" t="s">
        <v>345</v>
      </c>
      <c r="I22" s="8" t="str">
        <f t="shared" si="1"/>
        <v>46 in</v>
      </c>
      <c r="J22" s="9" t="s">
        <v>349</v>
      </c>
    </row>
    <row r="23">
      <c r="A23" s="4">
        <v>3.3752853E7</v>
      </c>
      <c r="B23" s="1" t="s">
        <v>45</v>
      </c>
      <c r="C23" s="5">
        <v>1440.0</v>
      </c>
      <c r="D23" s="7" t="s">
        <v>20</v>
      </c>
      <c r="E23" s="2" t="s">
        <v>24</v>
      </c>
      <c r="F23" s="2" t="s">
        <v>27</v>
      </c>
      <c r="G23" s="8" t="str">
        <f>IFERROR(__xludf.DUMMYFUNCTION("REGEXEXTRACT(B23, ""-([^-\s]+)$"")"),"M")</f>
        <v>M</v>
      </c>
      <c r="H23" s="2" t="s">
        <v>345</v>
      </c>
      <c r="I23" s="8" t="str">
        <f t="shared" si="1"/>
        <v>44 in</v>
      </c>
      <c r="J23" s="9" t="s">
        <v>349</v>
      </c>
    </row>
    <row r="24">
      <c r="A24" s="4">
        <v>3.3752853E7</v>
      </c>
      <c r="B24" s="1" t="s">
        <v>46</v>
      </c>
      <c r="C24" s="5">
        <v>1440.0</v>
      </c>
      <c r="D24" s="7" t="s">
        <v>20</v>
      </c>
      <c r="E24" s="2" t="s">
        <v>24</v>
      </c>
      <c r="F24" s="2" t="s">
        <v>27</v>
      </c>
      <c r="G24" s="8" t="str">
        <f>IFERROR(__xludf.DUMMYFUNCTION("REGEXEXTRACT(B24, ""-([^-\s]+)$"")"),"S")</f>
        <v>S</v>
      </c>
      <c r="H24" s="2" t="s">
        <v>345</v>
      </c>
      <c r="I24" s="8" t="str">
        <f t="shared" si="1"/>
        <v>42 in</v>
      </c>
      <c r="J24" s="9" t="s">
        <v>349</v>
      </c>
    </row>
    <row r="25">
      <c r="A25" s="4">
        <v>3.3752853E7</v>
      </c>
      <c r="B25" s="1" t="s">
        <v>47</v>
      </c>
      <c r="C25" s="5">
        <v>1440.0</v>
      </c>
      <c r="D25" s="7" t="s">
        <v>20</v>
      </c>
      <c r="E25" s="2" t="s">
        <v>24</v>
      </c>
      <c r="F25" s="2" t="s">
        <v>27</v>
      </c>
      <c r="G25" s="8" t="str">
        <f>IFERROR(__xludf.DUMMYFUNCTION("REGEXEXTRACT(B25, ""-([^-\s]+)$"")"),"XL")</f>
        <v>XL</v>
      </c>
      <c r="H25" s="2" t="s">
        <v>345</v>
      </c>
      <c r="I25" s="8" t="str">
        <f t="shared" si="1"/>
        <v>48 in</v>
      </c>
      <c r="J25" s="9" t="s">
        <v>349</v>
      </c>
    </row>
    <row r="26">
      <c r="A26" s="4">
        <v>3.3517703E7</v>
      </c>
      <c r="B26" s="1" t="s">
        <v>49</v>
      </c>
      <c r="C26" s="5">
        <v>1109.0</v>
      </c>
      <c r="D26" s="7" t="s">
        <v>20</v>
      </c>
      <c r="E26" s="2" t="s">
        <v>24</v>
      </c>
      <c r="F26" s="2" t="s">
        <v>27</v>
      </c>
      <c r="G26" s="8" t="str">
        <f>IFERROR(__xludf.DUMMYFUNCTION("REGEXEXTRACT(B26, ""-([^-\s]+)$"")"),"L")</f>
        <v>L</v>
      </c>
      <c r="H26" s="2" t="s">
        <v>148</v>
      </c>
      <c r="I26" s="8" t="str">
        <f t="shared" si="1"/>
        <v>46 in</v>
      </c>
      <c r="J26" s="9" t="s">
        <v>400</v>
      </c>
    </row>
    <row r="27">
      <c r="A27" s="4">
        <v>3.3517703E7</v>
      </c>
      <c r="B27" s="1" t="s">
        <v>50</v>
      </c>
      <c r="C27" s="5">
        <v>1109.0</v>
      </c>
      <c r="D27" s="7" t="s">
        <v>20</v>
      </c>
      <c r="E27" s="2" t="s">
        <v>24</v>
      </c>
      <c r="F27" s="2" t="s">
        <v>27</v>
      </c>
      <c r="G27" s="8" t="str">
        <f>IFERROR(__xludf.DUMMYFUNCTION("REGEXEXTRACT(B27, ""-([^-\s]+)$"")"),"M")</f>
        <v>M</v>
      </c>
      <c r="H27" s="2" t="s">
        <v>148</v>
      </c>
      <c r="I27" s="8" t="str">
        <f t="shared" si="1"/>
        <v>44 in</v>
      </c>
      <c r="J27" s="9" t="s">
        <v>400</v>
      </c>
    </row>
    <row r="28">
      <c r="A28" s="4">
        <v>3.3517703E7</v>
      </c>
      <c r="B28" s="1" t="s">
        <v>51</v>
      </c>
      <c r="C28" s="5">
        <v>1109.0</v>
      </c>
      <c r="D28" s="7" t="s">
        <v>20</v>
      </c>
      <c r="E28" s="2" t="s">
        <v>24</v>
      </c>
      <c r="F28" s="2" t="s">
        <v>27</v>
      </c>
      <c r="G28" s="8" t="str">
        <f>IFERROR(__xludf.DUMMYFUNCTION("REGEXEXTRACT(B28, ""-([^-\s]+)$"")"),"S")</f>
        <v>S</v>
      </c>
      <c r="H28" s="2" t="s">
        <v>148</v>
      </c>
      <c r="I28" s="8" t="str">
        <f t="shared" si="1"/>
        <v>42 in</v>
      </c>
      <c r="J28" s="9" t="s">
        <v>400</v>
      </c>
    </row>
    <row r="29">
      <c r="A29" s="4">
        <v>3.3517703E7</v>
      </c>
      <c r="B29" s="1" t="s">
        <v>54</v>
      </c>
      <c r="C29" s="5">
        <v>1109.0</v>
      </c>
      <c r="D29" s="7" t="s">
        <v>20</v>
      </c>
      <c r="E29" s="2" t="s">
        <v>24</v>
      </c>
      <c r="F29" s="2" t="s">
        <v>27</v>
      </c>
      <c r="G29" s="8" t="str">
        <f>IFERROR(__xludf.DUMMYFUNCTION("REGEXEXTRACT(B29, ""-([^-\s]+)$"")"),"XL")</f>
        <v>XL</v>
      </c>
      <c r="H29" s="2" t="s">
        <v>148</v>
      </c>
      <c r="I29" s="8" t="str">
        <f t="shared" si="1"/>
        <v>48 in</v>
      </c>
      <c r="J29" s="9" t="s">
        <v>400</v>
      </c>
    </row>
    <row r="30">
      <c r="A30" s="4">
        <v>3.3752859E7</v>
      </c>
      <c r="B30" s="1" t="s">
        <v>55</v>
      </c>
      <c r="C30" s="5">
        <v>1109.0</v>
      </c>
      <c r="D30" s="7" t="s">
        <v>20</v>
      </c>
      <c r="E30" s="2" t="s">
        <v>24</v>
      </c>
      <c r="F30" s="2" t="s">
        <v>27</v>
      </c>
      <c r="G30" s="8" t="str">
        <f>IFERROR(__xludf.DUMMYFUNCTION("REGEXEXTRACT(B30, ""-([^-\s]+)$"")"),"L")</f>
        <v>L</v>
      </c>
      <c r="H30" s="2" t="s">
        <v>484</v>
      </c>
      <c r="I30" s="8" t="str">
        <f t="shared" si="1"/>
        <v>46 in</v>
      </c>
      <c r="J30" s="9" t="s">
        <v>491</v>
      </c>
    </row>
    <row r="31">
      <c r="A31" s="4">
        <v>3.3752859E7</v>
      </c>
      <c r="B31" s="1" t="s">
        <v>57</v>
      </c>
      <c r="C31" s="5">
        <v>1109.0</v>
      </c>
      <c r="D31" s="7" t="s">
        <v>20</v>
      </c>
      <c r="E31" s="2" t="s">
        <v>24</v>
      </c>
      <c r="F31" s="2" t="s">
        <v>27</v>
      </c>
      <c r="G31" s="8" t="str">
        <f>IFERROR(__xludf.DUMMYFUNCTION("REGEXEXTRACT(B31, ""-([^-\s]+)$"")"),"M")</f>
        <v>M</v>
      </c>
      <c r="H31" s="2" t="s">
        <v>484</v>
      </c>
      <c r="I31" s="8" t="str">
        <f t="shared" si="1"/>
        <v>44 in</v>
      </c>
      <c r="J31" s="9" t="s">
        <v>491</v>
      </c>
    </row>
    <row r="32">
      <c r="A32" s="4">
        <v>3.3752859E7</v>
      </c>
      <c r="B32" s="1" t="s">
        <v>58</v>
      </c>
      <c r="C32" s="5">
        <v>1109.0</v>
      </c>
      <c r="D32" s="7" t="s">
        <v>20</v>
      </c>
      <c r="E32" s="2" t="s">
        <v>24</v>
      </c>
      <c r="F32" s="2" t="s">
        <v>27</v>
      </c>
      <c r="G32" s="8" t="str">
        <f>IFERROR(__xludf.DUMMYFUNCTION("REGEXEXTRACT(B32, ""-([^-\s]+)$"")"),"S")</f>
        <v>S</v>
      </c>
      <c r="H32" s="2" t="s">
        <v>484</v>
      </c>
      <c r="I32" s="8" t="str">
        <f t="shared" si="1"/>
        <v>42 in</v>
      </c>
      <c r="J32" s="9" t="s">
        <v>491</v>
      </c>
    </row>
    <row r="33">
      <c r="A33" s="4">
        <v>3.3752859E7</v>
      </c>
      <c r="B33" s="1" t="s">
        <v>60</v>
      </c>
      <c r="C33" s="5">
        <v>1109.0</v>
      </c>
      <c r="D33" s="7" t="s">
        <v>20</v>
      </c>
      <c r="E33" s="2" t="s">
        <v>24</v>
      </c>
      <c r="F33" s="2" t="s">
        <v>27</v>
      </c>
      <c r="G33" s="8" t="str">
        <f>IFERROR(__xludf.DUMMYFUNCTION("REGEXEXTRACT(B33, ""-([^-\s]+)$"")"),"XL")</f>
        <v>XL</v>
      </c>
      <c r="H33" s="2" t="s">
        <v>484</v>
      </c>
      <c r="I33" s="8" t="str">
        <f t="shared" si="1"/>
        <v>48 in</v>
      </c>
      <c r="J33" s="9" t="s">
        <v>491</v>
      </c>
    </row>
    <row r="34">
      <c r="A34" s="4">
        <v>3.3517655E7</v>
      </c>
      <c r="B34" s="1" t="s">
        <v>61</v>
      </c>
      <c r="C34" s="5">
        <v>1440.0</v>
      </c>
      <c r="D34" s="7" t="s">
        <v>20</v>
      </c>
      <c r="E34" s="2" t="s">
        <v>24</v>
      </c>
      <c r="F34" s="2" t="s">
        <v>27</v>
      </c>
      <c r="G34" s="8" t="str">
        <f>IFERROR(__xludf.DUMMYFUNCTION("REGEXEXTRACT(B34, ""-([^-\s]+)$"")"),"L")</f>
        <v>L</v>
      </c>
      <c r="H34" s="2" t="s">
        <v>550</v>
      </c>
      <c r="I34" s="8" t="str">
        <f t="shared" si="1"/>
        <v>46 in</v>
      </c>
      <c r="J34" s="9" t="s">
        <v>555</v>
      </c>
    </row>
    <row r="35">
      <c r="A35" s="4">
        <v>3.3517655E7</v>
      </c>
      <c r="B35" s="1" t="s">
        <v>63</v>
      </c>
      <c r="C35" s="5">
        <v>1440.0</v>
      </c>
      <c r="D35" s="7" t="s">
        <v>20</v>
      </c>
      <c r="E35" s="2" t="s">
        <v>24</v>
      </c>
      <c r="F35" s="2" t="s">
        <v>27</v>
      </c>
      <c r="G35" s="8" t="str">
        <f>IFERROR(__xludf.DUMMYFUNCTION("REGEXEXTRACT(B35, ""-([^-\s]+)$"")"),"M")</f>
        <v>M</v>
      </c>
      <c r="H35" s="2" t="s">
        <v>550</v>
      </c>
      <c r="I35" s="8" t="str">
        <f t="shared" si="1"/>
        <v>44 in</v>
      </c>
      <c r="J35" s="9" t="s">
        <v>555</v>
      </c>
    </row>
    <row r="36">
      <c r="A36" s="4">
        <v>3.3517655E7</v>
      </c>
      <c r="B36" s="1" t="s">
        <v>64</v>
      </c>
      <c r="C36" s="5">
        <v>1440.0</v>
      </c>
      <c r="D36" s="7" t="s">
        <v>20</v>
      </c>
      <c r="E36" s="2" t="s">
        <v>24</v>
      </c>
      <c r="F36" s="2" t="s">
        <v>27</v>
      </c>
      <c r="G36" s="8" t="str">
        <f>IFERROR(__xludf.DUMMYFUNCTION("REGEXEXTRACT(B36, ""-([^-\s]+)$"")"),"S")</f>
        <v>S</v>
      </c>
      <c r="H36" s="2" t="s">
        <v>550</v>
      </c>
      <c r="I36" s="8" t="str">
        <f t="shared" si="1"/>
        <v>42 in</v>
      </c>
      <c r="J36" s="9" t="s">
        <v>555</v>
      </c>
    </row>
    <row r="37">
      <c r="A37" s="4">
        <v>3.3517655E7</v>
      </c>
      <c r="B37" s="1" t="s">
        <v>66</v>
      </c>
      <c r="C37" s="5">
        <v>1440.0</v>
      </c>
      <c r="D37" s="7" t="s">
        <v>20</v>
      </c>
      <c r="E37" s="2" t="s">
        <v>24</v>
      </c>
      <c r="F37" s="2" t="s">
        <v>27</v>
      </c>
      <c r="G37" s="8" t="str">
        <f>IFERROR(__xludf.DUMMYFUNCTION("REGEXEXTRACT(B37, ""-([^-\s]+)$"")"),"XL")</f>
        <v>XL</v>
      </c>
      <c r="H37" s="2" t="s">
        <v>550</v>
      </c>
      <c r="I37" s="8" t="str">
        <f t="shared" si="1"/>
        <v>48 in</v>
      </c>
      <c r="J37" s="9" t="s">
        <v>555</v>
      </c>
    </row>
    <row r="38">
      <c r="A38" s="4">
        <v>3.6201921E7</v>
      </c>
      <c r="B38" s="2" t="s">
        <v>67</v>
      </c>
      <c r="C38" s="5">
        <v>1427.0</v>
      </c>
      <c r="D38" s="7" t="s">
        <v>20</v>
      </c>
      <c r="E38" s="2" t="s">
        <v>614</v>
      </c>
      <c r="F38" s="2" t="s">
        <v>27</v>
      </c>
      <c r="G38" s="8" t="str">
        <f>IFERROR(__xludf.DUMMYFUNCTION("REGEXEXTRACT(B38, ""-([^-\s]+)$"")"),"L")</f>
        <v>L</v>
      </c>
      <c r="H38" s="2" t="s">
        <v>484</v>
      </c>
      <c r="I38" s="8" t="str">
        <f t="shared" si="1"/>
        <v>46 in</v>
      </c>
      <c r="J38" s="9" t="s">
        <v>619</v>
      </c>
    </row>
    <row r="39">
      <c r="A39" s="4">
        <v>3.6201921E7</v>
      </c>
      <c r="B39" s="2" t="s">
        <v>68</v>
      </c>
      <c r="C39" s="5">
        <v>1427.0</v>
      </c>
      <c r="D39" s="7" t="s">
        <v>20</v>
      </c>
      <c r="E39" s="2" t="s">
        <v>614</v>
      </c>
      <c r="F39" s="2" t="s">
        <v>27</v>
      </c>
      <c r="G39" s="8" t="str">
        <f>IFERROR(__xludf.DUMMYFUNCTION("REGEXEXTRACT(B39, ""-([^-\s]+)$"")"),"M")</f>
        <v>M</v>
      </c>
      <c r="H39" s="2" t="s">
        <v>484</v>
      </c>
      <c r="I39" s="8" t="str">
        <f t="shared" si="1"/>
        <v>44 in</v>
      </c>
      <c r="J39" s="9" t="s">
        <v>619</v>
      </c>
    </row>
    <row r="40">
      <c r="A40" s="4">
        <v>3.6201921E7</v>
      </c>
      <c r="B40" s="2" t="s">
        <v>70</v>
      </c>
      <c r="C40" s="5">
        <v>1427.0</v>
      </c>
      <c r="D40" s="7" t="s">
        <v>20</v>
      </c>
      <c r="E40" s="2" t="s">
        <v>614</v>
      </c>
      <c r="F40" s="2" t="s">
        <v>27</v>
      </c>
      <c r="G40" s="8" t="str">
        <f>IFERROR(__xludf.DUMMYFUNCTION("REGEXEXTRACT(B40, ""-([^-\s]+)$"")"),"S")</f>
        <v>S</v>
      </c>
      <c r="H40" s="2" t="s">
        <v>484</v>
      </c>
      <c r="I40" s="8" t="str">
        <f t="shared" si="1"/>
        <v>42 in</v>
      </c>
      <c r="J40" s="9" t="s">
        <v>619</v>
      </c>
    </row>
    <row r="41">
      <c r="A41" s="4">
        <v>3.6201921E7</v>
      </c>
      <c r="B41" s="2" t="s">
        <v>71</v>
      </c>
      <c r="C41" s="5">
        <v>1427.0</v>
      </c>
      <c r="D41" s="7" t="s">
        <v>20</v>
      </c>
      <c r="E41" s="2" t="s">
        <v>614</v>
      </c>
      <c r="F41" s="2" t="s">
        <v>27</v>
      </c>
      <c r="G41" s="8" t="str">
        <f>IFERROR(__xludf.DUMMYFUNCTION("REGEXEXTRACT(B41, ""-([^-\s]+)$"")"),"XL")</f>
        <v>XL</v>
      </c>
      <c r="H41" s="2" t="s">
        <v>484</v>
      </c>
      <c r="I41" s="8" t="str">
        <f t="shared" si="1"/>
        <v>48 in</v>
      </c>
      <c r="J41" s="9" t="s">
        <v>619</v>
      </c>
    </row>
    <row r="42">
      <c r="A42" s="4">
        <v>3.620191E7</v>
      </c>
      <c r="B42" s="2" t="s">
        <v>72</v>
      </c>
      <c r="C42" s="5">
        <v>1427.0</v>
      </c>
      <c r="D42" s="7" t="s">
        <v>20</v>
      </c>
      <c r="E42" s="2" t="s">
        <v>614</v>
      </c>
      <c r="F42" s="2" t="s">
        <v>27</v>
      </c>
      <c r="G42" s="8" t="str">
        <f>IFERROR(__xludf.DUMMYFUNCTION("REGEXEXTRACT(B42, ""-([^-\s]+)$"")"),"L")</f>
        <v>L</v>
      </c>
      <c r="H42" s="2" t="s">
        <v>643</v>
      </c>
      <c r="I42" s="8" t="str">
        <f t="shared" si="1"/>
        <v>46 in</v>
      </c>
      <c r="J42" s="9" t="s">
        <v>646</v>
      </c>
    </row>
    <row r="43">
      <c r="A43" s="4">
        <v>3.620191E7</v>
      </c>
      <c r="B43" s="2" t="s">
        <v>74</v>
      </c>
      <c r="C43" s="5">
        <v>1427.0</v>
      </c>
      <c r="D43" s="7" t="s">
        <v>20</v>
      </c>
      <c r="E43" s="2" t="s">
        <v>614</v>
      </c>
      <c r="F43" s="2" t="s">
        <v>27</v>
      </c>
      <c r="G43" s="8" t="str">
        <f>IFERROR(__xludf.DUMMYFUNCTION("REGEXEXTRACT(B43, ""-([^-\s]+)$"")"),"M")</f>
        <v>M</v>
      </c>
      <c r="H43" s="2" t="s">
        <v>643</v>
      </c>
      <c r="I43" s="8" t="str">
        <f t="shared" si="1"/>
        <v>44 in</v>
      </c>
      <c r="J43" s="9" t="s">
        <v>646</v>
      </c>
    </row>
    <row r="44">
      <c r="A44" s="4">
        <v>3.620191E7</v>
      </c>
      <c r="B44" s="2" t="s">
        <v>75</v>
      </c>
      <c r="C44" s="5">
        <v>1427.0</v>
      </c>
      <c r="D44" s="7" t="s">
        <v>20</v>
      </c>
      <c r="E44" s="2" t="s">
        <v>614</v>
      </c>
      <c r="F44" s="2" t="s">
        <v>27</v>
      </c>
      <c r="G44" s="8" t="str">
        <f>IFERROR(__xludf.DUMMYFUNCTION("REGEXEXTRACT(B44, ""-([^-\s]+)$"")"),"S")</f>
        <v>S</v>
      </c>
      <c r="H44" s="2" t="s">
        <v>643</v>
      </c>
      <c r="I44" s="8" t="str">
        <f t="shared" si="1"/>
        <v>42 in</v>
      </c>
      <c r="J44" s="9" t="s">
        <v>646</v>
      </c>
    </row>
    <row r="45">
      <c r="A45" s="4">
        <v>3.620191E7</v>
      </c>
      <c r="B45" s="2" t="s">
        <v>77</v>
      </c>
      <c r="C45" s="5">
        <v>1427.0</v>
      </c>
      <c r="D45" s="7" t="s">
        <v>20</v>
      </c>
      <c r="E45" s="2" t="s">
        <v>614</v>
      </c>
      <c r="F45" s="2" t="s">
        <v>27</v>
      </c>
      <c r="G45" s="8" t="str">
        <f>IFERROR(__xludf.DUMMYFUNCTION("REGEXEXTRACT(B45, ""-([^-\s]+)$"")"),"XL")</f>
        <v>XL</v>
      </c>
      <c r="H45" s="2" t="s">
        <v>643</v>
      </c>
      <c r="I45" s="8" t="str">
        <f t="shared" si="1"/>
        <v>48 in</v>
      </c>
      <c r="J45" s="9" t="s">
        <v>646</v>
      </c>
    </row>
    <row r="46">
      <c r="A46" s="4">
        <v>3.6689837E7</v>
      </c>
      <c r="B46" s="1" t="s">
        <v>78</v>
      </c>
      <c r="C46" s="12">
        <v>2657.0</v>
      </c>
      <c r="D46" s="7" t="s">
        <v>20</v>
      </c>
      <c r="E46" s="1" t="s">
        <v>673</v>
      </c>
      <c r="F46" s="2" t="s">
        <v>27</v>
      </c>
      <c r="G46" s="8" t="str">
        <f>IFERROR(__xludf.DUMMYFUNCTION("REGEXEXTRACT(B46, ""-([^-\s]+)$"")"),"L")</f>
        <v>L</v>
      </c>
      <c r="H46" s="2" t="s">
        <v>484</v>
      </c>
      <c r="I46" s="8" t="str">
        <f t="shared" si="1"/>
        <v>46 in</v>
      </c>
      <c r="J46" s="9" t="s">
        <v>679</v>
      </c>
    </row>
    <row r="47">
      <c r="A47" s="4">
        <v>3.6689837E7</v>
      </c>
      <c r="B47" s="1" t="s">
        <v>79</v>
      </c>
      <c r="C47" s="12">
        <v>2657.0</v>
      </c>
      <c r="D47" s="7" t="s">
        <v>20</v>
      </c>
      <c r="E47" s="1" t="s">
        <v>673</v>
      </c>
      <c r="F47" s="2" t="s">
        <v>27</v>
      </c>
      <c r="G47" s="8" t="str">
        <f>IFERROR(__xludf.DUMMYFUNCTION("REGEXEXTRACT(B47, ""-([^-\s]+)$"")"),"M")</f>
        <v>M</v>
      </c>
      <c r="H47" s="2" t="s">
        <v>484</v>
      </c>
      <c r="I47" s="8" t="str">
        <f t="shared" si="1"/>
        <v>44 in</v>
      </c>
      <c r="J47" s="9" t="s">
        <v>679</v>
      </c>
    </row>
    <row r="48">
      <c r="A48" s="4">
        <v>3.6689837E7</v>
      </c>
      <c r="B48" s="1" t="s">
        <v>81</v>
      </c>
      <c r="C48" s="12">
        <v>2657.0</v>
      </c>
      <c r="D48" s="7" t="s">
        <v>20</v>
      </c>
      <c r="E48" s="1" t="s">
        <v>673</v>
      </c>
      <c r="F48" s="2" t="s">
        <v>27</v>
      </c>
      <c r="G48" s="8" t="str">
        <f>IFERROR(__xludf.DUMMYFUNCTION("REGEXEXTRACT(B48, ""-([^-\s]+)$"")"),"S")</f>
        <v>S</v>
      </c>
      <c r="H48" s="2" t="s">
        <v>484</v>
      </c>
      <c r="I48" s="8" t="str">
        <f t="shared" si="1"/>
        <v>42 in</v>
      </c>
      <c r="J48" s="9" t="s">
        <v>679</v>
      </c>
    </row>
    <row r="49">
      <c r="A49" s="4">
        <v>3.6689837E7</v>
      </c>
      <c r="B49" s="1" t="s">
        <v>82</v>
      </c>
      <c r="C49" s="12">
        <v>2657.0</v>
      </c>
      <c r="D49" s="7" t="s">
        <v>20</v>
      </c>
      <c r="E49" s="1" t="s">
        <v>673</v>
      </c>
      <c r="F49" s="2" t="s">
        <v>27</v>
      </c>
      <c r="G49" s="8" t="str">
        <f>IFERROR(__xludf.DUMMYFUNCTION("REGEXEXTRACT(B49, ""-([^-\s]+)$"")"),"XL")</f>
        <v>XL</v>
      </c>
      <c r="H49" s="2" t="s">
        <v>484</v>
      </c>
      <c r="I49" s="8" t="str">
        <f t="shared" si="1"/>
        <v>48 in</v>
      </c>
      <c r="J49" s="9" t="s">
        <v>679</v>
      </c>
    </row>
    <row r="50">
      <c r="A50" s="2">
        <v>3.8335572E7</v>
      </c>
      <c r="B50" s="14" t="s">
        <v>84</v>
      </c>
      <c r="C50" s="2">
        <v>2999.0</v>
      </c>
      <c r="D50" s="7" t="s">
        <v>20</v>
      </c>
      <c r="E50" s="1" t="s">
        <v>673</v>
      </c>
      <c r="F50" s="2" t="s">
        <v>27</v>
      </c>
      <c r="G50" s="8" t="str">
        <f>IFERROR(__xludf.DUMMYFUNCTION("REGEXEXTRACT(B50, ""-([^-\s]+)$"")"),"L")</f>
        <v>L</v>
      </c>
      <c r="H50" s="2" t="s">
        <v>710</v>
      </c>
      <c r="I50" s="8" t="str">
        <f t="shared" si="1"/>
        <v>46 in</v>
      </c>
      <c r="J50" s="9" t="s">
        <v>713</v>
      </c>
    </row>
    <row r="51">
      <c r="A51" s="2">
        <v>3.8335572E7</v>
      </c>
      <c r="B51" s="14" t="s">
        <v>85</v>
      </c>
      <c r="C51" s="2">
        <v>2999.0</v>
      </c>
      <c r="D51" s="7" t="s">
        <v>20</v>
      </c>
      <c r="E51" s="1" t="s">
        <v>673</v>
      </c>
      <c r="F51" s="2" t="s">
        <v>27</v>
      </c>
      <c r="G51" s="8" t="str">
        <f>IFERROR(__xludf.DUMMYFUNCTION("REGEXEXTRACT(B51, ""-([^-\s]+)$"")"),"M")</f>
        <v>M</v>
      </c>
      <c r="H51" s="2" t="s">
        <v>710</v>
      </c>
      <c r="I51" s="8" t="str">
        <f t="shared" si="1"/>
        <v>44 in</v>
      </c>
      <c r="J51" s="9" t="s">
        <v>713</v>
      </c>
    </row>
    <row r="52">
      <c r="A52" s="2">
        <v>3.8335572E7</v>
      </c>
      <c r="B52" s="14" t="s">
        <v>87</v>
      </c>
      <c r="C52" s="2">
        <v>2999.0</v>
      </c>
      <c r="D52" s="7" t="s">
        <v>20</v>
      </c>
      <c r="E52" s="1" t="s">
        <v>673</v>
      </c>
      <c r="F52" s="2" t="s">
        <v>27</v>
      </c>
      <c r="G52" s="8" t="str">
        <f>IFERROR(__xludf.DUMMYFUNCTION("REGEXEXTRACT(B52, ""-([^-\s]+)$"")"),"S")</f>
        <v>S</v>
      </c>
      <c r="H52" s="2" t="s">
        <v>710</v>
      </c>
      <c r="I52" s="8" t="str">
        <f t="shared" si="1"/>
        <v>42 in</v>
      </c>
      <c r="J52" s="9" t="s">
        <v>713</v>
      </c>
    </row>
    <row r="53">
      <c r="A53" s="2">
        <v>3.833557E7</v>
      </c>
      <c r="B53" s="14" t="s">
        <v>88</v>
      </c>
      <c r="C53" s="2">
        <v>2999.0</v>
      </c>
      <c r="D53" s="7" t="s">
        <v>20</v>
      </c>
      <c r="E53" s="1" t="s">
        <v>673</v>
      </c>
      <c r="F53" s="2" t="s">
        <v>27</v>
      </c>
      <c r="G53" s="8" t="str">
        <f>IFERROR(__xludf.DUMMYFUNCTION("REGEXEXTRACT(B53, ""-([^-\s]+)$"")"),"S")</f>
        <v>S</v>
      </c>
      <c r="H53" s="2" t="s">
        <v>710</v>
      </c>
      <c r="I53" s="8" t="str">
        <f t="shared" si="1"/>
        <v>42 in</v>
      </c>
      <c r="J53" s="9" t="s">
        <v>738</v>
      </c>
    </row>
    <row r="54">
      <c r="A54" s="2">
        <v>3.833557E7</v>
      </c>
      <c r="B54" s="14" t="s">
        <v>90</v>
      </c>
      <c r="C54" s="2">
        <v>2999.0</v>
      </c>
      <c r="D54" s="7" t="s">
        <v>20</v>
      </c>
      <c r="E54" s="1" t="s">
        <v>673</v>
      </c>
      <c r="F54" s="2" t="s">
        <v>27</v>
      </c>
      <c r="G54" s="8" t="str">
        <f>IFERROR(__xludf.DUMMYFUNCTION("REGEXEXTRACT(B54, ""-([^-\s]+)$"")"),"L")</f>
        <v>L</v>
      </c>
      <c r="H54" s="2" t="s">
        <v>710</v>
      </c>
      <c r="I54" s="8" t="str">
        <f t="shared" si="1"/>
        <v>46 in</v>
      </c>
      <c r="J54" s="9" t="s">
        <v>738</v>
      </c>
    </row>
    <row r="55">
      <c r="A55" s="2">
        <v>3.833557E7</v>
      </c>
      <c r="B55" s="14" t="s">
        <v>91</v>
      </c>
      <c r="C55" s="2">
        <v>2999.0</v>
      </c>
      <c r="D55" s="7" t="s">
        <v>20</v>
      </c>
      <c r="E55" s="1" t="s">
        <v>673</v>
      </c>
      <c r="F55" s="2" t="s">
        <v>27</v>
      </c>
      <c r="G55" s="8" t="str">
        <f>IFERROR(__xludf.DUMMYFUNCTION("REGEXEXTRACT(B55, ""-([^-\s]+)$"")"),"M")</f>
        <v>M</v>
      </c>
      <c r="H55" s="2" t="s">
        <v>710</v>
      </c>
      <c r="I55" s="8" t="str">
        <f t="shared" si="1"/>
        <v>44 in</v>
      </c>
      <c r="J55" s="9" t="s">
        <v>738</v>
      </c>
    </row>
    <row r="56">
      <c r="A56" s="2">
        <v>3.8335568E7</v>
      </c>
      <c r="B56" s="14" t="s">
        <v>93</v>
      </c>
      <c r="C56" s="2">
        <v>2999.0</v>
      </c>
      <c r="D56" s="7" t="s">
        <v>20</v>
      </c>
      <c r="E56" s="1" t="s">
        <v>673</v>
      </c>
      <c r="F56" s="2" t="s">
        <v>27</v>
      </c>
      <c r="G56" s="8" t="str">
        <f>IFERROR(__xludf.DUMMYFUNCTION("REGEXEXTRACT(B56, ""-([^-\s]+)$"")"),"S")</f>
        <v>S</v>
      </c>
      <c r="H56" s="2" t="s">
        <v>710</v>
      </c>
      <c r="I56" s="8" t="str">
        <f t="shared" si="1"/>
        <v>42 in</v>
      </c>
      <c r="J56" s="9" t="s">
        <v>762</v>
      </c>
    </row>
    <row r="57">
      <c r="A57" s="2">
        <v>3.8335571E7</v>
      </c>
      <c r="B57" s="14" t="s">
        <v>94</v>
      </c>
      <c r="C57" s="2">
        <v>2999.0</v>
      </c>
      <c r="D57" s="7" t="s">
        <v>20</v>
      </c>
      <c r="E57" s="1" t="s">
        <v>673</v>
      </c>
      <c r="F57" s="2" t="s">
        <v>27</v>
      </c>
      <c r="G57" s="8" t="str">
        <f>IFERROR(__xludf.DUMMYFUNCTION("REGEXEXTRACT(B57, ""-([^-\s]+)$"")"),"S")</f>
        <v>S</v>
      </c>
      <c r="H57" s="2" t="s">
        <v>710</v>
      </c>
      <c r="I57" s="8" t="str">
        <f t="shared" si="1"/>
        <v>42 in</v>
      </c>
      <c r="J57" s="9" t="s">
        <v>766</v>
      </c>
    </row>
    <row r="58">
      <c r="A58" s="2">
        <v>3.8335568E7</v>
      </c>
      <c r="B58" s="14" t="s">
        <v>96</v>
      </c>
      <c r="C58" s="2">
        <v>2999.0</v>
      </c>
      <c r="D58" s="7" t="s">
        <v>20</v>
      </c>
      <c r="E58" s="1" t="s">
        <v>673</v>
      </c>
      <c r="F58" s="2" t="s">
        <v>27</v>
      </c>
      <c r="G58" s="8" t="str">
        <f>IFERROR(__xludf.DUMMYFUNCTION("REGEXEXTRACT(B58, ""-([^-\s]+)$"")"),"L")</f>
        <v>L</v>
      </c>
      <c r="H58" s="2" t="s">
        <v>710</v>
      </c>
      <c r="I58" s="8" t="str">
        <f t="shared" si="1"/>
        <v>46 in</v>
      </c>
      <c r="J58" s="9" t="s">
        <v>762</v>
      </c>
    </row>
    <row r="59">
      <c r="A59" s="2">
        <v>3.8335568E7</v>
      </c>
      <c r="B59" s="14" t="s">
        <v>99</v>
      </c>
      <c r="C59" s="2">
        <v>2999.0</v>
      </c>
      <c r="D59" s="7" t="s">
        <v>20</v>
      </c>
      <c r="E59" s="1" t="s">
        <v>673</v>
      </c>
      <c r="F59" s="2" t="s">
        <v>27</v>
      </c>
      <c r="G59" s="8" t="str">
        <f>IFERROR(__xludf.DUMMYFUNCTION("REGEXEXTRACT(B59, ""-([^-\s]+)$"")"),"M")</f>
        <v>M</v>
      </c>
      <c r="H59" s="2" t="s">
        <v>710</v>
      </c>
      <c r="I59" s="8" t="str">
        <f t="shared" si="1"/>
        <v>44 in</v>
      </c>
      <c r="J59" s="9" t="s">
        <v>762</v>
      </c>
    </row>
    <row r="60">
      <c r="A60" s="2">
        <v>3.8335572E7</v>
      </c>
      <c r="B60" s="14" t="s">
        <v>100</v>
      </c>
      <c r="C60" s="2">
        <v>2999.0</v>
      </c>
      <c r="D60" s="7" t="s">
        <v>20</v>
      </c>
      <c r="E60" s="1" t="s">
        <v>673</v>
      </c>
      <c r="F60" s="2" t="s">
        <v>27</v>
      </c>
      <c r="G60" s="8" t="str">
        <f>IFERROR(__xludf.DUMMYFUNCTION("REGEXEXTRACT(B60, ""-([^-\s]+)$"")"),"XL")</f>
        <v>XL</v>
      </c>
      <c r="H60" s="2" t="s">
        <v>710</v>
      </c>
      <c r="I60" s="8" t="str">
        <f t="shared" si="1"/>
        <v>48 in</v>
      </c>
      <c r="J60" s="9" t="s">
        <v>713</v>
      </c>
    </row>
    <row r="61">
      <c r="A61" s="2">
        <v>3.833557E7</v>
      </c>
      <c r="B61" s="14" t="s">
        <v>102</v>
      </c>
      <c r="C61" s="2">
        <v>2999.0</v>
      </c>
      <c r="D61" s="7" t="s">
        <v>20</v>
      </c>
      <c r="E61" s="1" t="s">
        <v>673</v>
      </c>
      <c r="F61" s="2" t="s">
        <v>27</v>
      </c>
      <c r="G61" s="8" t="str">
        <f>IFERROR(__xludf.DUMMYFUNCTION("REGEXEXTRACT(B61, ""-([^-\s]+)$"")"),"XL")</f>
        <v>XL</v>
      </c>
      <c r="H61" s="2" t="s">
        <v>710</v>
      </c>
      <c r="I61" s="8" t="str">
        <f t="shared" si="1"/>
        <v>48 in</v>
      </c>
      <c r="J61" s="9" t="s">
        <v>738</v>
      </c>
    </row>
    <row r="62">
      <c r="A62" s="4">
        <v>3.5805405E7</v>
      </c>
      <c r="B62" s="14" t="s">
        <v>104</v>
      </c>
      <c r="C62" s="5">
        <v>2657.0</v>
      </c>
      <c r="D62" s="7" t="s">
        <v>20</v>
      </c>
      <c r="E62" s="1" t="s">
        <v>779</v>
      </c>
      <c r="F62" s="2" t="s">
        <v>27</v>
      </c>
      <c r="G62" s="8" t="str">
        <f>IFERROR(__xludf.DUMMYFUNCTION("REGEXEXTRACT(B62, ""-([^-\s]+)$"")"),"L")</f>
        <v>L</v>
      </c>
      <c r="H62" s="2" t="s">
        <v>148</v>
      </c>
      <c r="I62" s="8" t="str">
        <f t="shared" si="1"/>
        <v>46 in</v>
      </c>
      <c r="J62" s="9" t="s">
        <v>783</v>
      </c>
    </row>
    <row r="63">
      <c r="A63" s="4">
        <v>3.5805405E7</v>
      </c>
      <c r="B63" s="14" t="s">
        <v>105</v>
      </c>
      <c r="C63" s="5">
        <v>2657.0</v>
      </c>
      <c r="D63" s="7" t="s">
        <v>20</v>
      </c>
      <c r="E63" s="1" t="s">
        <v>779</v>
      </c>
      <c r="F63" s="2" t="s">
        <v>27</v>
      </c>
      <c r="G63" s="8" t="str">
        <f>IFERROR(__xludf.DUMMYFUNCTION("REGEXEXTRACT(B63, ""-([^-\s]+)$"")"),"M")</f>
        <v>M</v>
      </c>
      <c r="H63" s="2" t="s">
        <v>148</v>
      </c>
      <c r="I63" s="8" t="str">
        <f t="shared" si="1"/>
        <v>44 in</v>
      </c>
      <c r="J63" s="9" t="s">
        <v>793</v>
      </c>
    </row>
    <row r="64">
      <c r="A64" s="4">
        <v>3.5805405E7</v>
      </c>
      <c r="B64" s="14" t="s">
        <v>107</v>
      </c>
      <c r="C64" s="5">
        <v>2657.0</v>
      </c>
      <c r="D64" s="7" t="s">
        <v>20</v>
      </c>
      <c r="E64" s="1" t="s">
        <v>779</v>
      </c>
      <c r="F64" s="2" t="s">
        <v>27</v>
      </c>
      <c r="G64" s="8" t="str">
        <f>IFERROR(__xludf.DUMMYFUNCTION("REGEXEXTRACT(B64, ""-([^-\s]+)$"")"),"S")</f>
        <v>S</v>
      </c>
      <c r="H64" s="2" t="s">
        <v>148</v>
      </c>
      <c r="I64" s="8" t="str">
        <f t="shared" si="1"/>
        <v>42 in</v>
      </c>
      <c r="J64" s="9" t="s">
        <v>793</v>
      </c>
    </row>
    <row r="65">
      <c r="A65" s="4">
        <v>3.5805405E7</v>
      </c>
      <c r="B65" s="14" t="s">
        <v>108</v>
      </c>
      <c r="C65" s="5">
        <v>2657.0</v>
      </c>
      <c r="D65" s="7" t="s">
        <v>20</v>
      </c>
      <c r="E65" s="1" t="s">
        <v>779</v>
      </c>
      <c r="F65" s="2" t="s">
        <v>27</v>
      </c>
      <c r="G65" s="8" t="str">
        <f>IFERROR(__xludf.DUMMYFUNCTION("REGEXEXTRACT(B65, ""-([^-\s]+)$"")"),"XL")</f>
        <v>XL</v>
      </c>
      <c r="H65" s="2" t="s">
        <v>148</v>
      </c>
      <c r="I65" s="8" t="str">
        <f t="shared" si="1"/>
        <v>48 in</v>
      </c>
      <c r="J65" s="9" t="s">
        <v>793</v>
      </c>
    </row>
    <row r="66">
      <c r="A66" s="2">
        <v>3.6689839E7</v>
      </c>
      <c r="B66" s="1" t="s">
        <v>110</v>
      </c>
      <c r="C66" s="12">
        <v>2828.0</v>
      </c>
      <c r="D66" s="7" t="s">
        <v>20</v>
      </c>
      <c r="E66" s="1" t="s">
        <v>673</v>
      </c>
      <c r="F66" s="2" t="s">
        <v>27</v>
      </c>
      <c r="G66" s="8" t="str">
        <f>IFERROR(__xludf.DUMMYFUNCTION("REGEXEXTRACT(B66, ""-([^-\s]+)$"")"),"L")</f>
        <v>L</v>
      </c>
      <c r="H66" s="2" t="s">
        <v>484</v>
      </c>
      <c r="I66" s="8" t="str">
        <f t="shared" si="1"/>
        <v>46 in</v>
      </c>
      <c r="J66" s="9" t="s">
        <v>802</v>
      </c>
    </row>
    <row r="67">
      <c r="A67" s="2">
        <v>3.6689839E7</v>
      </c>
      <c r="B67" s="1" t="s">
        <v>111</v>
      </c>
      <c r="C67" s="12">
        <v>2828.0</v>
      </c>
      <c r="D67" s="7" t="s">
        <v>20</v>
      </c>
      <c r="E67" s="1" t="s">
        <v>673</v>
      </c>
      <c r="F67" s="2" t="s">
        <v>27</v>
      </c>
      <c r="G67" s="8" t="str">
        <f>IFERROR(__xludf.DUMMYFUNCTION("REGEXEXTRACT(B67, ""-([^-\s]+)$"")"),"M")</f>
        <v>M</v>
      </c>
      <c r="H67" s="2" t="s">
        <v>484</v>
      </c>
      <c r="I67" s="8" t="str">
        <f t="shared" si="1"/>
        <v>44 in</v>
      </c>
      <c r="J67" s="9" t="s">
        <v>802</v>
      </c>
    </row>
    <row r="68">
      <c r="A68" s="2">
        <v>3.6689839E7</v>
      </c>
      <c r="B68" s="1" t="s">
        <v>113</v>
      </c>
      <c r="C68" s="12">
        <v>2828.0</v>
      </c>
      <c r="D68" s="7" t="s">
        <v>20</v>
      </c>
      <c r="E68" s="1" t="s">
        <v>673</v>
      </c>
      <c r="F68" s="2" t="s">
        <v>27</v>
      </c>
      <c r="G68" s="8" t="str">
        <f>IFERROR(__xludf.DUMMYFUNCTION("REGEXEXTRACT(B68, ""-([^-\s]+)$"")"),"S")</f>
        <v>S</v>
      </c>
      <c r="H68" s="2" t="s">
        <v>484</v>
      </c>
      <c r="I68" s="8" t="str">
        <f t="shared" si="1"/>
        <v>42 in</v>
      </c>
      <c r="J68" s="9" t="s">
        <v>802</v>
      </c>
    </row>
    <row r="69">
      <c r="A69" s="2">
        <v>3.6689839E7</v>
      </c>
      <c r="B69" s="1" t="s">
        <v>114</v>
      </c>
      <c r="C69" s="12">
        <v>2828.0</v>
      </c>
      <c r="D69" s="7" t="s">
        <v>20</v>
      </c>
      <c r="E69" s="1" t="s">
        <v>673</v>
      </c>
      <c r="F69" s="2" t="s">
        <v>27</v>
      </c>
      <c r="G69" s="8" t="str">
        <f>IFERROR(__xludf.DUMMYFUNCTION("REGEXEXTRACT(B69, ""-([^-\s]+)$"")"),"XL")</f>
        <v>XL</v>
      </c>
      <c r="H69" s="2" t="s">
        <v>484</v>
      </c>
      <c r="I69" s="8" t="str">
        <f t="shared" si="1"/>
        <v>48 in</v>
      </c>
      <c r="J69" s="9" t="s">
        <v>802</v>
      </c>
    </row>
    <row r="70">
      <c r="A70" s="2">
        <v>3.8335563E7</v>
      </c>
      <c r="B70" s="14" t="s">
        <v>116</v>
      </c>
      <c r="C70" s="2">
        <v>2999.0</v>
      </c>
      <c r="D70" s="7" t="s">
        <v>20</v>
      </c>
      <c r="E70" s="1" t="s">
        <v>673</v>
      </c>
      <c r="F70" s="2" t="s">
        <v>27</v>
      </c>
      <c r="G70" s="8" t="str">
        <f>IFERROR(__xludf.DUMMYFUNCTION("REGEXEXTRACT(B70, ""-([^-\s]+)$"")"),"L")</f>
        <v>L</v>
      </c>
      <c r="H70" s="2" t="s">
        <v>810</v>
      </c>
      <c r="I70" s="8" t="str">
        <f t="shared" si="1"/>
        <v>46 in</v>
      </c>
      <c r="J70" s="9" t="s">
        <v>812</v>
      </c>
    </row>
    <row r="71">
      <c r="A71" s="2">
        <v>3.8335563E7</v>
      </c>
      <c r="B71" s="14" t="s">
        <v>118</v>
      </c>
      <c r="C71" s="2">
        <v>2999.0</v>
      </c>
      <c r="D71" s="7" t="s">
        <v>20</v>
      </c>
      <c r="E71" s="1" t="s">
        <v>673</v>
      </c>
      <c r="F71" s="2" t="s">
        <v>27</v>
      </c>
      <c r="G71" s="8" t="str">
        <f>IFERROR(__xludf.DUMMYFUNCTION("REGEXEXTRACT(B71, ""-([^-\s]+)$"")"),"M")</f>
        <v>M</v>
      </c>
      <c r="H71" s="2" t="s">
        <v>810</v>
      </c>
      <c r="I71" s="8" t="str">
        <f t="shared" si="1"/>
        <v>44 in</v>
      </c>
      <c r="J71" s="9" t="s">
        <v>812</v>
      </c>
    </row>
    <row r="72">
      <c r="A72" s="2">
        <v>3.8335563E7</v>
      </c>
      <c r="B72" s="14" t="s">
        <v>119</v>
      </c>
      <c r="C72" s="2">
        <v>2999.0</v>
      </c>
      <c r="D72" s="7" t="s">
        <v>20</v>
      </c>
      <c r="E72" s="1" t="s">
        <v>673</v>
      </c>
      <c r="F72" s="2" t="s">
        <v>27</v>
      </c>
      <c r="G72" s="8" t="str">
        <f>IFERROR(__xludf.DUMMYFUNCTION("REGEXEXTRACT(B72, ""-([^-\s]+)$"")"),"S")</f>
        <v>S</v>
      </c>
      <c r="H72" s="2" t="s">
        <v>810</v>
      </c>
      <c r="I72" s="8" t="str">
        <f t="shared" si="1"/>
        <v>42 in</v>
      </c>
      <c r="J72" s="9" t="s">
        <v>812</v>
      </c>
    </row>
    <row r="73">
      <c r="A73" s="2">
        <v>3.8335563E7</v>
      </c>
      <c r="B73" s="14" t="s">
        <v>121</v>
      </c>
      <c r="C73" s="2">
        <v>2999.0</v>
      </c>
      <c r="D73" s="7" t="s">
        <v>20</v>
      </c>
      <c r="E73" s="1" t="s">
        <v>673</v>
      </c>
      <c r="F73" s="2" t="s">
        <v>27</v>
      </c>
      <c r="G73" s="8" t="str">
        <f>IFERROR(__xludf.DUMMYFUNCTION("REGEXEXTRACT(B73, ""-([^-\s]+)$"")"),"XL")</f>
        <v>XL</v>
      </c>
      <c r="H73" s="2" t="s">
        <v>810</v>
      </c>
      <c r="I73" s="8" t="str">
        <f t="shared" si="1"/>
        <v>48 in</v>
      </c>
      <c r="J73" s="9" t="s">
        <v>812</v>
      </c>
    </row>
    <row r="74">
      <c r="A74" s="2">
        <v>3.8335557E7</v>
      </c>
      <c r="B74" s="14" t="s">
        <v>122</v>
      </c>
      <c r="C74" s="2">
        <v>2999.0</v>
      </c>
      <c r="D74" s="7" t="s">
        <v>20</v>
      </c>
      <c r="E74" s="1" t="s">
        <v>673</v>
      </c>
      <c r="F74" s="2" t="s">
        <v>27</v>
      </c>
      <c r="G74" s="8" t="str">
        <f>IFERROR(__xludf.DUMMYFUNCTION("REGEXEXTRACT(B74, ""-([^-\s]+)$"")"),"L")</f>
        <v>L</v>
      </c>
      <c r="H74" s="2" t="s">
        <v>484</v>
      </c>
      <c r="I74" s="8" t="str">
        <f t="shared" si="1"/>
        <v>46 in</v>
      </c>
      <c r="J74" s="9" t="s">
        <v>835</v>
      </c>
    </row>
    <row r="75">
      <c r="A75" s="2">
        <v>3.8335557E7</v>
      </c>
      <c r="B75" s="14" t="s">
        <v>123</v>
      </c>
      <c r="C75" s="2">
        <v>2999.0</v>
      </c>
      <c r="D75" s="7" t="s">
        <v>20</v>
      </c>
      <c r="E75" s="1" t="s">
        <v>673</v>
      </c>
      <c r="F75" s="2" t="s">
        <v>27</v>
      </c>
      <c r="G75" s="8" t="str">
        <f>IFERROR(__xludf.DUMMYFUNCTION("REGEXEXTRACT(B75, ""-([^-\s]+)$"")"),"M")</f>
        <v>M</v>
      </c>
      <c r="H75" s="2" t="s">
        <v>484</v>
      </c>
      <c r="I75" s="8" t="str">
        <f t="shared" si="1"/>
        <v>44 in</v>
      </c>
      <c r="J75" s="9" t="s">
        <v>835</v>
      </c>
    </row>
    <row r="76">
      <c r="A76" s="2">
        <v>3.8335557E7</v>
      </c>
      <c r="B76" s="14" t="s">
        <v>125</v>
      </c>
      <c r="C76" s="2">
        <v>2999.0</v>
      </c>
      <c r="D76" s="7" t="s">
        <v>20</v>
      </c>
      <c r="E76" s="1" t="s">
        <v>673</v>
      </c>
      <c r="F76" s="2" t="s">
        <v>27</v>
      </c>
      <c r="G76" s="8" t="str">
        <f>IFERROR(__xludf.DUMMYFUNCTION("REGEXEXTRACT(B76, ""-([^-\s]+)$"")"),"S")</f>
        <v>S</v>
      </c>
      <c r="H76" s="2" t="s">
        <v>484</v>
      </c>
      <c r="I76" s="8" t="str">
        <f t="shared" si="1"/>
        <v>42 in</v>
      </c>
      <c r="J76" s="9" t="s">
        <v>835</v>
      </c>
    </row>
    <row r="77">
      <c r="A77" s="2">
        <v>3.8335557E7</v>
      </c>
      <c r="B77" s="14" t="s">
        <v>126</v>
      </c>
      <c r="C77" s="2">
        <v>2999.0</v>
      </c>
      <c r="D77" s="7" t="s">
        <v>20</v>
      </c>
      <c r="E77" s="1" t="s">
        <v>673</v>
      </c>
      <c r="F77" s="2" t="s">
        <v>27</v>
      </c>
      <c r="G77" s="8" t="str">
        <f>IFERROR(__xludf.DUMMYFUNCTION("REGEXEXTRACT(B77, ""-([^-\s]+)$"")"),"XL")</f>
        <v>XL</v>
      </c>
      <c r="H77" s="2" t="s">
        <v>484</v>
      </c>
      <c r="I77" s="8" t="str">
        <f t="shared" si="1"/>
        <v>48 in</v>
      </c>
      <c r="J77" s="9" t="s">
        <v>835</v>
      </c>
    </row>
    <row r="78">
      <c r="A78" s="2">
        <v>3.8335562E7</v>
      </c>
      <c r="B78" s="14" t="s">
        <v>127</v>
      </c>
      <c r="C78" s="2">
        <v>2999.0</v>
      </c>
      <c r="D78" s="7" t="s">
        <v>20</v>
      </c>
      <c r="E78" s="1" t="s">
        <v>673</v>
      </c>
      <c r="F78" s="2" t="s">
        <v>27</v>
      </c>
      <c r="G78" s="8" t="str">
        <f>IFERROR(__xludf.DUMMYFUNCTION("REGEXEXTRACT(B78, ""-([^-\s]+)$"")"),"L")</f>
        <v>L</v>
      </c>
      <c r="H78" s="2" t="s">
        <v>484</v>
      </c>
      <c r="I78" s="8" t="str">
        <f t="shared" si="1"/>
        <v>46 in</v>
      </c>
      <c r="J78" s="9" t="s">
        <v>857</v>
      </c>
    </row>
    <row r="79">
      <c r="A79" s="2">
        <v>3.8335562E7</v>
      </c>
      <c r="B79" s="14" t="s">
        <v>129</v>
      </c>
      <c r="C79" s="2">
        <v>2999.0</v>
      </c>
      <c r="D79" s="7" t="s">
        <v>20</v>
      </c>
      <c r="E79" s="1" t="s">
        <v>673</v>
      </c>
      <c r="F79" s="2" t="s">
        <v>27</v>
      </c>
      <c r="G79" s="8" t="str">
        <f>IFERROR(__xludf.DUMMYFUNCTION("REGEXEXTRACT(B79, ""-([^-\s]+)$"")"),"M")</f>
        <v>M</v>
      </c>
      <c r="H79" s="2" t="s">
        <v>484</v>
      </c>
      <c r="I79" s="8" t="str">
        <f t="shared" si="1"/>
        <v>44 in</v>
      </c>
      <c r="J79" s="9" t="s">
        <v>857</v>
      </c>
    </row>
    <row r="80">
      <c r="A80" s="2">
        <v>3.8335562E7</v>
      </c>
      <c r="B80" s="14" t="s">
        <v>130</v>
      </c>
      <c r="C80" s="2">
        <v>2999.0</v>
      </c>
      <c r="D80" s="7" t="s">
        <v>20</v>
      </c>
      <c r="E80" s="1" t="s">
        <v>673</v>
      </c>
      <c r="F80" s="2" t="s">
        <v>27</v>
      </c>
      <c r="G80" s="8" t="str">
        <f>IFERROR(__xludf.DUMMYFUNCTION("REGEXEXTRACT(B80, ""-([^-\s]+)$"")"),"S")</f>
        <v>S</v>
      </c>
      <c r="H80" s="2" t="s">
        <v>484</v>
      </c>
      <c r="I80" s="8" t="str">
        <f t="shared" si="1"/>
        <v>42 in</v>
      </c>
      <c r="J80" s="9" t="s">
        <v>857</v>
      </c>
    </row>
    <row r="81">
      <c r="A81" s="2">
        <v>3.8335562E7</v>
      </c>
      <c r="B81" s="14" t="s">
        <v>132</v>
      </c>
      <c r="C81" s="2">
        <v>2999.0</v>
      </c>
      <c r="D81" s="7" t="s">
        <v>20</v>
      </c>
      <c r="E81" s="1" t="s">
        <v>673</v>
      </c>
      <c r="F81" s="2" t="s">
        <v>27</v>
      </c>
      <c r="G81" s="8" t="str">
        <f>IFERROR(__xludf.DUMMYFUNCTION("REGEXEXTRACT(B81, ""-([^-\s]+)$"")"),"XL")</f>
        <v>XL</v>
      </c>
      <c r="H81" s="2" t="s">
        <v>484</v>
      </c>
      <c r="I81" s="8" t="str">
        <f t="shared" si="1"/>
        <v>48 in</v>
      </c>
      <c r="J81" s="9" t="s">
        <v>857</v>
      </c>
    </row>
    <row r="82">
      <c r="A82" s="4">
        <v>3.668984E7</v>
      </c>
      <c r="B82" s="1" t="s">
        <v>133</v>
      </c>
      <c r="C82" s="12">
        <v>2828.0</v>
      </c>
      <c r="D82" s="7" t="s">
        <v>20</v>
      </c>
      <c r="E82" s="1" t="s">
        <v>673</v>
      </c>
      <c r="F82" s="2" t="s">
        <v>27</v>
      </c>
      <c r="G82" s="8" t="str">
        <f>IFERROR(__xludf.DUMMYFUNCTION("REGEXEXTRACT(B82, ""-([^-\s]+)$"")"),"L")</f>
        <v>L</v>
      </c>
      <c r="H82" s="2" t="s">
        <v>484</v>
      </c>
      <c r="I82" s="8" t="str">
        <f t="shared" si="1"/>
        <v>46 in</v>
      </c>
      <c r="J82" s="9" t="s">
        <v>886</v>
      </c>
    </row>
    <row r="83">
      <c r="A83" s="4">
        <v>3.668984E7</v>
      </c>
      <c r="B83" s="1" t="s">
        <v>135</v>
      </c>
      <c r="C83" s="12">
        <v>2828.0</v>
      </c>
      <c r="D83" s="7" t="s">
        <v>20</v>
      </c>
      <c r="E83" s="1" t="s">
        <v>673</v>
      </c>
      <c r="F83" s="2" t="s">
        <v>27</v>
      </c>
      <c r="G83" s="8" t="str">
        <f>IFERROR(__xludf.DUMMYFUNCTION("REGEXEXTRACT(B83, ""-([^-\s]+)$"")"),"M")</f>
        <v>M</v>
      </c>
      <c r="H83" s="2" t="s">
        <v>484</v>
      </c>
      <c r="I83" s="8" t="str">
        <f t="shared" si="1"/>
        <v>44 in</v>
      </c>
      <c r="J83" s="9" t="s">
        <v>886</v>
      </c>
    </row>
    <row r="84">
      <c r="A84" s="4">
        <v>3.668984E7</v>
      </c>
      <c r="B84" s="1" t="s">
        <v>136</v>
      </c>
      <c r="C84" s="12">
        <v>2828.0</v>
      </c>
      <c r="D84" s="7" t="s">
        <v>20</v>
      </c>
      <c r="E84" s="1" t="s">
        <v>673</v>
      </c>
      <c r="F84" s="2" t="s">
        <v>27</v>
      </c>
      <c r="G84" s="8" t="str">
        <f>IFERROR(__xludf.DUMMYFUNCTION("REGEXEXTRACT(B84, ""-([^-\s]+)$"")"),"S")</f>
        <v>S</v>
      </c>
      <c r="H84" s="2" t="s">
        <v>484</v>
      </c>
      <c r="I84" s="8" t="str">
        <f t="shared" si="1"/>
        <v>42 in</v>
      </c>
      <c r="J84" s="9" t="s">
        <v>886</v>
      </c>
    </row>
    <row r="85">
      <c r="A85" s="4">
        <v>3.668984E7</v>
      </c>
      <c r="B85" s="1" t="s">
        <v>138</v>
      </c>
      <c r="C85" s="12">
        <v>2828.0</v>
      </c>
      <c r="D85" s="7" t="s">
        <v>20</v>
      </c>
      <c r="E85" s="1" t="s">
        <v>673</v>
      </c>
      <c r="F85" s="2" t="s">
        <v>27</v>
      </c>
      <c r="G85" s="8" t="str">
        <f>IFERROR(__xludf.DUMMYFUNCTION("REGEXEXTRACT(B85, ""-([^-\s]+)$"")"),"XL")</f>
        <v>XL</v>
      </c>
      <c r="H85" s="2" t="s">
        <v>484</v>
      </c>
      <c r="I85" s="8" t="str">
        <f t="shared" si="1"/>
        <v>48 in</v>
      </c>
      <c r="J85" s="9" t="s">
        <v>886</v>
      </c>
    </row>
    <row r="86">
      <c r="A86" s="2">
        <v>3.833556E7</v>
      </c>
      <c r="B86" s="14" t="s">
        <v>140</v>
      </c>
      <c r="C86" s="2">
        <v>2999.0</v>
      </c>
      <c r="D86" s="7" t="s">
        <v>20</v>
      </c>
      <c r="E86" s="1" t="s">
        <v>673</v>
      </c>
      <c r="F86" s="2" t="s">
        <v>27</v>
      </c>
      <c r="G86" s="8" t="str">
        <f>IFERROR(__xludf.DUMMYFUNCTION("REGEXEXTRACT(B86, ""-([^-\s]+)$"")"),"L")</f>
        <v>L</v>
      </c>
      <c r="H86" s="2" t="s">
        <v>898</v>
      </c>
      <c r="I86" s="8" t="str">
        <f t="shared" si="1"/>
        <v>46 in</v>
      </c>
      <c r="J86" s="9" t="s">
        <v>899</v>
      </c>
    </row>
    <row r="87">
      <c r="A87" s="2">
        <v>3.8335565E7</v>
      </c>
      <c r="B87" s="14" t="s">
        <v>142</v>
      </c>
      <c r="C87" s="2">
        <v>2999.0</v>
      </c>
      <c r="D87" s="7" t="s">
        <v>20</v>
      </c>
      <c r="E87" s="1" t="s">
        <v>673</v>
      </c>
      <c r="F87" s="2" t="s">
        <v>27</v>
      </c>
      <c r="G87" s="8" t="str">
        <f>IFERROR(__xludf.DUMMYFUNCTION("REGEXEXTRACT(B87, ""-([^-\s]+)$"")"),"L")</f>
        <v>L</v>
      </c>
      <c r="H87" s="2" t="s">
        <v>898</v>
      </c>
      <c r="I87" s="8" t="str">
        <f t="shared" si="1"/>
        <v>46 in</v>
      </c>
      <c r="J87" s="9" t="s">
        <v>900</v>
      </c>
    </row>
    <row r="88">
      <c r="A88" s="2">
        <v>3.833556E7</v>
      </c>
      <c r="B88" s="14" t="s">
        <v>144</v>
      </c>
      <c r="C88" s="2">
        <v>2999.0</v>
      </c>
      <c r="D88" s="7" t="s">
        <v>20</v>
      </c>
      <c r="E88" s="1" t="s">
        <v>673</v>
      </c>
      <c r="F88" s="2" t="s">
        <v>27</v>
      </c>
      <c r="G88" s="8" t="str">
        <f>IFERROR(__xludf.DUMMYFUNCTION("REGEXEXTRACT(B88, ""-([^-\s]+)$"")"),"S")</f>
        <v>S</v>
      </c>
      <c r="H88" s="2" t="s">
        <v>898</v>
      </c>
      <c r="I88" s="8" t="str">
        <f t="shared" si="1"/>
        <v>42 in</v>
      </c>
      <c r="J88" s="9" t="s">
        <v>899</v>
      </c>
    </row>
    <row r="89">
      <c r="A89" s="2">
        <v>3.8335559E7</v>
      </c>
      <c r="B89" s="14" t="s">
        <v>145</v>
      </c>
      <c r="C89" s="2">
        <v>2999.0</v>
      </c>
      <c r="D89" s="7" t="s">
        <v>20</v>
      </c>
      <c r="E89" s="1" t="s">
        <v>673</v>
      </c>
      <c r="F89" s="2" t="s">
        <v>27</v>
      </c>
      <c r="G89" s="8" t="str">
        <f>IFERROR(__xludf.DUMMYFUNCTION("REGEXEXTRACT(B89, ""-([^-\s]+)$"")"),"L")</f>
        <v>L</v>
      </c>
      <c r="H89" s="2" t="s">
        <v>898</v>
      </c>
      <c r="I89" s="8" t="str">
        <f t="shared" si="1"/>
        <v>46 in</v>
      </c>
      <c r="J89" s="9" t="s">
        <v>901</v>
      </c>
    </row>
    <row r="90">
      <c r="A90" s="2">
        <v>3.833556E7</v>
      </c>
      <c r="B90" s="14" t="s">
        <v>147</v>
      </c>
      <c r="C90" s="2">
        <v>2999.0</v>
      </c>
      <c r="D90" s="7" t="s">
        <v>20</v>
      </c>
      <c r="E90" s="1" t="s">
        <v>673</v>
      </c>
      <c r="F90" s="2" t="s">
        <v>27</v>
      </c>
      <c r="G90" s="8" t="str">
        <f>IFERROR(__xludf.DUMMYFUNCTION("REGEXEXTRACT(B90, ""-([^-\s]+)$"")"),"M")</f>
        <v>M</v>
      </c>
      <c r="H90" s="2" t="s">
        <v>898</v>
      </c>
      <c r="I90" s="8" t="str">
        <f t="shared" si="1"/>
        <v>44 in</v>
      </c>
      <c r="J90" s="9" t="s">
        <v>899</v>
      </c>
    </row>
    <row r="91">
      <c r="A91" s="2">
        <v>3.8335565E7</v>
      </c>
      <c r="B91" s="14" t="s">
        <v>149</v>
      </c>
      <c r="C91" s="2">
        <v>2999.0</v>
      </c>
      <c r="D91" s="7" t="s">
        <v>20</v>
      </c>
      <c r="E91" s="1" t="s">
        <v>673</v>
      </c>
      <c r="F91" s="2" t="s">
        <v>27</v>
      </c>
      <c r="G91" s="8" t="str">
        <f>IFERROR(__xludf.DUMMYFUNCTION("REGEXEXTRACT(B91, ""-([^-\s]+)$"")"),"M")</f>
        <v>M</v>
      </c>
      <c r="H91" s="2" t="s">
        <v>898</v>
      </c>
      <c r="I91" s="8" t="str">
        <f t="shared" si="1"/>
        <v>44 in</v>
      </c>
      <c r="J91" s="9" t="s">
        <v>900</v>
      </c>
    </row>
    <row r="92">
      <c r="A92" s="2">
        <v>3.8335565E7</v>
      </c>
      <c r="B92" s="14" t="s">
        <v>151</v>
      </c>
      <c r="C92" s="2">
        <v>2999.0</v>
      </c>
      <c r="D92" s="7" t="s">
        <v>20</v>
      </c>
      <c r="E92" s="1" t="s">
        <v>673</v>
      </c>
      <c r="F92" s="2" t="s">
        <v>27</v>
      </c>
      <c r="G92" s="8" t="str">
        <f>IFERROR(__xludf.DUMMYFUNCTION("REGEXEXTRACT(B92, ""-([^-\s]+)$"")"),"S")</f>
        <v>S</v>
      </c>
      <c r="H92" s="2" t="s">
        <v>898</v>
      </c>
      <c r="I92" s="8" t="str">
        <f t="shared" si="1"/>
        <v>42 in</v>
      </c>
      <c r="J92" s="9" t="s">
        <v>900</v>
      </c>
    </row>
    <row r="93">
      <c r="A93" s="2">
        <v>3.8335559E7</v>
      </c>
      <c r="B93" s="14" t="s">
        <v>153</v>
      </c>
      <c r="C93" s="2">
        <v>2999.0</v>
      </c>
      <c r="D93" s="7" t="s">
        <v>20</v>
      </c>
      <c r="E93" s="1" t="s">
        <v>673</v>
      </c>
      <c r="F93" s="2" t="s">
        <v>27</v>
      </c>
      <c r="G93" s="8" t="str">
        <f>IFERROR(__xludf.DUMMYFUNCTION("REGEXEXTRACT(B93, ""-([^-\s]+)$"")"),"M")</f>
        <v>M</v>
      </c>
      <c r="H93" s="2" t="s">
        <v>898</v>
      </c>
      <c r="I93" s="8" t="str">
        <f t="shared" si="1"/>
        <v>44 in</v>
      </c>
      <c r="J93" s="9" t="s">
        <v>901</v>
      </c>
    </row>
    <row r="94">
      <c r="A94" s="2">
        <v>3.8335566E7</v>
      </c>
      <c r="B94" s="14" t="s">
        <v>155</v>
      </c>
      <c r="C94" s="2">
        <v>2999.0</v>
      </c>
      <c r="D94" s="7" t="s">
        <v>20</v>
      </c>
      <c r="E94" s="1" t="s">
        <v>673</v>
      </c>
      <c r="F94" s="2" t="s">
        <v>27</v>
      </c>
      <c r="G94" s="8" t="str">
        <f>IFERROR(__xludf.DUMMYFUNCTION("REGEXEXTRACT(B94, ""-([^-\s]+)$"")"),"L")</f>
        <v>L</v>
      </c>
      <c r="H94" s="2" t="s">
        <v>484</v>
      </c>
      <c r="I94" s="8" t="str">
        <f t="shared" si="1"/>
        <v>46 in</v>
      </c>
      <c r="J94" s="9" t="s">
        <v>902</v>
      </c>
    </row>
    <row r="95">
      <c r="A95" s="2">
        <v>3.8335566E7</v>
      </c>
      <c r="B95" s="14" t="s">
        <v>157</v>
      </c>
      <c r="C95" s="2">
        <v>2999.0</v>
      </c>
      <c r="D95" s="7" t="s">
        <v>20</v>
      </c>
      <c r="E95" s="1" t="s">
        <v>673</v>
      </c>
      <c r="F95" s="2" t="s">
        <v>27</v>
      </c>
      <c r="G95" s="8" t="str">
        <f>IFERROR(__xludf.DUMMYFUNCTION("REGEXEXTRACT(B95, ""-([^-\s]+)$"")"),"M")</f>
        <v>M</v>
      </c>
      <c r="H95" s="2" t="s">
        <v>484</v>
      </c>
      <c r="I95" s="8" t="str">
        <f t="shared" si="1"/>
        <v>44 in</v>
      </c>
      <c r="J95" s="9" t="s">
        <v>902</v>
      </c>
    </row>
    <row r="96">
      <c r="A96" s="2">
        <v>3.8335566E7</v>
      </c>
      <c r="B96" s="14" t="s">
        <v>158</v>
      </c>
      <c r="C96" s="2">
        <v>2999.0</v>
      </c>
      <c r="D96" s="7" t="s">
        <v>20</v>
      </c>
      <c r="E96" s="1" t="s">
        <v>673</v>
      </c>
      <c r="F96" s="2" t="s">
        <v>27</v>
      </c>
      <c r="G96" s="8" t="str">
        <f>IFERROR(__xludf.DUMMYFUNCTION("REGEXEXTRACT(B96, ""-([^-\s]+)$"")"),"S")</f>
        <v>S</v>
      </c>
      <c r="H96" s="2" t="s">
        <v>484</v>
      </c>
      <c r="I96" s="8" t="str">
        <f t="shared" si="1"/>
        <v>42 in</v>
      </c>
      <c r="J96" s="9" t="s">
        <v>902</v>
      </c>
    </row>
    <row r="97">
      <c r="A97" s="2">
        <v>3.8335566E7</v>
      </c>
      <c r="B97" s="14" t="s">
        <v>159</v>
      </c>
      <c r="C97" s="2">
        <v>2999.0</v>
      </c>
      <c r="D97" s="7" t="s">
        <v>20</v>
      </c>
      <c r="E97" s="1" t="s">
        <v>673</v>
      </c>
      <c r="F97" s="2" t="s">
        <v>27</v>
      </c>
      <c r="G97" s="8" t="str">
        <f>IFERROR(__xludf.DUMMYFUNCTION("REGEXEXTRACT(B97, ""-([^-\s]+)$"")"),"XL")</f>
        <v>XL</v>
      </c>
      <c r="H97" s="2" t="s">
        <v>484</v>
      </c>
      <c r="I97" s="8" t="str">
        <f t="shared" si="1"/>
        <v>48 in</v>
      </c>
      <c r="J97" s="9" t="s">
        <v>902</v>
      </c>
    </row>
    <row r="98">
      <c r="A98" s="2">
        <v>3.8335567E7</v>
      </c>
      <c r="B98" s="14" t="s">
        <v>161</v>
      </c>
      <c r="C98" s="2">
        <v>2999.0</v>
      </c>
      <c r="D98" s="7" t="s">
        <v>20</v>
      </c>
      <c r="E98" s="1" t="s">
        <v>673</v>
      </c>
      <c r="F98" s="2" t="s">
        <v>27</v>
      </c>
      <c r="G98" s="8" t="str">
        <f>IFERROR(__xludf.DUMMYFUNCTION("REGEXEXTRACT(B98, ""-([^-\s]+)$"")"),"L")</f>
        <v>L</v>
      </c>
      <c r="H98" s="2" t="s">
        <v>484</v>
      </c>
      <c r="I98" s="8" t="str">
        <f t="shared" si="1"/>
        <v>46 in</v>
      </c>
      <c r="J98" s="9" t="s">
        <v>903</v>
      </c>
    </row>
    <row r="99">
      <c r="A99" s="2">
        <v>3.8335567E7</v>
      </c>
      <c r="B99" s="14" t="s">
        <v>162</v>
      </c>
      <c r="C99" s="2">
        <v>2999.0</v>
      </c>
      <c r="D99" s="7" t="s">
        <v>20</v>
      </c>
      <c r="E99" s="1" t="s">
        <v>673</v>
      </c>
      <c r="F99" s="2" t="s">
        <v>27</v>
      </c>
      <c r="G99" s="8" t="str">
        <f>IFERROR(__xludf.DUMMYFUNCTION("REGEXEXTRACT(B99, ""-([^-\s]+)$"")"),"M")</f>
        <v>M</v>
      </c>
      <c r="H99" s="2" t="s">
        <v>484</v>
      </c>
      <c r="I99" s="8" t="str">
        <f t="shared" si="1"/>
        <v>44 in</v>
      </c>
      <c r="J99" s="9" t="s">
        <v>903</v>
      </c>
    </row>
    <row r="100">
      <c r="A100" s="2">
        <v>3.8335567E7</v>
      </c>
      <c r="B100" s="14" t="s">
        <v>164</v>
      </c>
      <c r="C100" s="2">
        <v>2999.0</v>
      </c>
      <c r="D100" s="7" t="s">
        <v>20</v>
      </c>
      <c r="E100" s="1" t="s">
        <v>673</v>
      </c>
      <c r="F100" s="2" t="s">
        <v>27</v>
      </c>
      <c r="G100" s="8" t="str">
        <f>IFERROR(__xludf.DUMMYFUNCTION("REGEXEXTRACT(B100, ""-([^-\s]+)$"")"),"S")</f>
        <v>S</v>
      </c>
      <c r="H100" s="2" t="s">
        <v>484</v>
      </c>
      <c r="I100" s="8" t="str">
        <f t="shared" si="1"/>
        <v>42 in</v>
      </c>
      <c r="J100" s="9" t="s">
        <v>903</v>
      </c>
    </row>
    <row r="101">
      <c r="A101" s="2">
        <v>3.8335567E7</v>
      </c>
      <c r="B101" s="14" t="s">
        <v>165</v>
      </c>
      <c r="C101" s="2">
        <v>2999.0</v>
      </c>
      <c r="D101" s="7" t="s">
        <v>20</v>
      </c>
      <c r="E101" s="1" t="s">
        <v>673</v>
      </c>
      <c r="F101" s="2" t="s">
        <v>27</v>
      </c>
      <c r="G101" s="8" t="str">
        <f>IFERROR(__xludf.DUMMYFUNCTION("REGEXEXTRACT(B101, ""-([^-\s]+)$"")"),"XL")</f>
        <v>XL</v>
      </c>
      <c r="H101" s="2" t="s">
        <v>484</v>
      </c>
      <c r="I101" s="8" t="str">
        <f t="shared" si="1"/>
        <v>48 in</v>
      </c>
      <c r="J101" s="9" t="s">
        <v>903</v>
      </c>
    </row>
    <row r="102">
      <c r="A102" s="2">
        <v>3.8335564E7</v>
      </c>
      <c r="B102" s="14" t="s">
        <v>167</v>
      </c>
      <c r="C102" s="2">
        <v>2999.0</v>
      </c>
      <c r="D102" s="7" t="s">
        <v>20</v>
      </c>
      <c r="E102" s="1" t="s">
        <v>673</v>
      </c>
      <c r="F102" s="2" t="s">
        <v>27</v>
      </c>
      <c r="G102" s="8" t="str">
        <f>IFERROR(__xludf.DUMMYFUNCTION("REGEXEXTRACT(B102, ""-([^-\s]+)$"")"),"L")</f>
        <v>L</v>
      </c>
      <c r="H102" s="2" t="s">
        <v>810</v>
      </c>
      <c r="I102" s="8" t="str">
        <f t="shared" si="1"/>
        <v>46 in</v>
      </c>
      <c r="J102" s="9" t="s">
        <v>904</v>
      </c>
    </row>
    <row r="103">
      <c r="A103" s="2">
        <v>3.8335564E7</v>
      </c>
      <c r="B103" s="14" t="s">
        <v>169</v>
      </c>
      <c r="C103" s="2">
        <v>2999.0</v>
      </c>
      <c r="D103" s="7" t="s">
        <v>20</v>
      </c>
      <c r="E103" s="1" t="s">
        <v>673</v>
      </c>
      <c r="F103" s="2" t="s">
        <v>27</v>
      </c>
      <c r="G103" s="8" t="str">
        <f>IFERROR(__xludf.DUMMYFUNCTION("REGEXEXTRACT(B103, ""-([^-\s]+)$"")"),"M")</f>
        <v>M</v>
      </c>
      <c r="H103" s="2" t="s">
        <v>810</v>
      </c>
      <c r="I103" s="8" t="str">
        <f t="shared" si="1"/>
        <v>44 in</v>
      </c>
      <c r="J103" s="9" t="s">
        <v>904</v>
      </c>
    </row>
    <row r="104">
      <c r="A104" s="2">
        <v>3.8335564E7</v>
      </c>
      <c r="B104" s="14" t="s">
        <v>170</v>
      </c>
      <c r="C104" s="2">
        <v>2999.0</v>
      </c>
      <c r="D104" s="7" t="s">
        <v>20</v>
      </c>
      <c r="E104" s="1" t="s">
        <v>673</v>
      </c>
      <c r="F104" s="2" t="s">
        <v>27</v>
      </c>
      <c r="G104" s="8" t="str">
        <f>IFERROR(__xludf.DUMMYFUNCTION("REGEXEXTRACT(B104, ""-([^-\s]+)$"")"),"S")</f>
        <v>S</v>
      </c>
      <c r="H104" s="2" t="s">
        <v>810</v>
      </c>
      <c r="I104" s="8" t="str">
        <f t="shared" si="1"/>
        <v>42 in</v>
      </c>
      <c r="J104" s="9" t="s">
        <v>904</v>
      </c>
    </row>
    <row r="105">
      <c r="A105" s="2">
        <v>3.8335564E7</v>
      </c>
      <c r="B105" s="14" t="s">
        <v>172</v>
      </c>
      <c r="C105" s="2">
        <v>2999.0</v>
      </c>
      <c r="D105" s="7" t="s">
        <v>20</v>
      </c>
      <c r="E105" s="1" t="s">
        <v>673</v>
      </c>
      <c r="F105" s="2" t="s">
        <v>27</v>
      </c>
      <c r="G105" s="8" t="str">
        <f>IFERROR(__xludf.DUMMYFUNCTION("REGEXEXTRACT(B105, ""-([^-\s]+)$"")"),"XL")</f>
        <v>XL</v>
      </c>
      <c r="H105" s="2" t="s">
        <v>810</v>
      </c>
      <c r="I105" s="8" t="str">
        <f t="shared" si="1"/>
        <v>48 in</v>
      </c>
      <c r="J105" s="9" t="s">
        <v>904</v>
      </c>
    </row>
    <row r="106">
      <c r="A106" s="2">
        <v>3.8335571E7</v>
      </c>
      <c r="B106" s="14" t="s">
        <v>177</v>
      </c>
      <c r="C106" s="2">
        <v>2999.0</v>
      </c>
      <c r="D106" s="7" t="s">
        <v>20</v>
      </c>
      <c r="E106" s="1" t="s">
        <v>673</v>
      </c>
      <c r="F106" s="2" t="s">
        <v>27</v>
      </c>
      <c r="G106" s="8" t="str">
        <f>IFERROR(__xludf.DUMMYFUNCTION("REGEXEXTRACT(B106, ""-([^-\s]+)$"")"),"L")</f>
        <v>L</v>
      </c>
      <c r="H106" s="2" t="s">
        <v>710</v>
      </c>
      <c r="I106" s="8" t="str">
        <f t="shared" si="1"/>
        <v>46 in</v>
      </c>
      <c r="J106" s="9" t="s">
        <v>766</v>
      </c>
    </row>
    <row r="107">
      <c r="A107" s="2">
        <v>3.8335571E7</v>
      </c>
      <c r="B107" s="14" t="s">
        <v>179</v>
      </c>
      <c r="C107" s="2">
        <v>2999.0</v>
      </c>
      <c r="D107" s="7" t="s">
        <v>20</v>
      </c>
      <c r="E107" s="1" t="s">
        <v>673</v>
      </c>
      <c r="F107" s="2" t="s">
        <v>27</v>
      </c>
      <c r="G107" s="8" t="str">
        <f>IFERROR(__xludf.DUMMYFUNCTION("REGEXEXTRACT(B107, ""-([^-\s]+)$"")"),"M")</f>
        <v>M</v>
      </c>
      <c r="H107" s="2" t="s">
        <v>710</v>
      </c>
      <c r="I107" s="8" t="str">
        <f t="shared" si="1"/>
        <v>44 in</v>
      </c>
      <c r="J107" s="9" t="s">
        <v>766</v>
      </c>
    </row>
    <row r="108">
      <c r="A108" s="2">
        <v>3.8335568E7</v>
      </c>
      <c r="B108" s="14" t="s">
        <v>180</v>
      </c>
      <c r="C108" s="2">
        <v>2999.0</v>
      </c>
      <c r="D108" s="7" t="s">
        <v>20</v>
      </c>
      <c r="E108" s="1" t="s">
        <v>673</v>
      </c>
      <c r="F108" s="2" t="s">
        <v>27</v>
      </c>
      <c r="G108" s="8" t="str">
        <f>IFERROR(__xludf.DUMMYFUNCTION("REGEXEXTRACT(B108, ""-([^-\s]+)$"")"),"XL")</f>
        <v>XL</v>
      </c>
      <c r="H108" s="2" t="s">
        <v>710</v>
      </c>
      <c r="I108" s="8" t="str">
        <f t="shared" si="1"/>
        <v>48 in</v>
      </c>
      <c r="J108" s="9" t="s">
        <v>762</v>
      </c>
    </row>
    <row r="109">
      <c r="A109" s="2">
        <v>3.8335571E7</v>
      </c>
      <c r="B109" s="14" t="s">
        <v>182</v>
      </c>
      <c r="C109" s="2">
        <v>2999.0</v>
      </c>
      <c r="D109" s="7" t="s">
        <v>20</v>
      </c>
      <c r="E109" s="1" t="s">
        <v>673</v>
      </c>
      <c r="F109" s="2" t="s">
        <v>27</v>
      </c>
      <c r="G109" s="8" t="str">
        <f>IFERROR(__xludf.DUMMYFUNCTION("REGEXEXTRACT(B109, ""-([^-\s]+)$"")"),"XL")</f>
        <v>XL</v>
      </c>
      <c r="H109" s="2" t="s">
        <v>710</v>
      </c>
      <c r="I109" s="8" t="str">
        <f t="shared" si="1"/>
        <v>48 in</v>
      </c>
      <c r="J109" s="9" t="s">
        <v>766</v>
      </c>
    </row>
    <row r="110">
      <c r="A110" s="2">
        <v>3.7310367E7</v>
      </c>
      <c r="B110" s="1" t="s">
        <v>183</v>
      </c>
      <c r="C110" s="4">
        <v>2999.0</v>
      </c>
      <c r="D110" s="7" t="s">
        <v>20</v>
      </c>
      <c r="E110" s="1" t="s">
        <v>673</v>
      </c>
      <c r="F110" s="2" t="s">
        <v>27</v>
      </c>
      <c r="G110" s="8" t="str">
        <f>IFERROR(__xludf.DUMMYFUNCTION("REGEXEXTRACT(B110, ""-([^-\s]+)$"")"),"L")</f>
        <v>L</v>
      </c>
      <c r="H110" s="2" t="s">
        <v>810</v>
      </c>
      <c r="I110" s="8" t="str">
        <f t="shared" si="1"/>
        <v>46 in</v>
      </c>
      <c r="J110" s="9" t="s">
        <v>905</v>
      </c>
    </row>
    <row r="111">
      <c r="A111" s="2">
        <v>3.7310367E7</v>
      </c>
      <c r="B111" s="1" t="s">
        <v>185</v>
      </c>
      <c r="C111" s="4">
        <v>2999.0</v>
      </c>
      <c r="D111" s="7" t="s">
        <v>20</v>
      </c>
      <c r="E111" s="1" t="s">
        <v>673</v>
      </c>
      <c r="F111" s="2" t="s">
        <v>27</v>
      </c>
      <c r="G111" s="8" t="str">
        <f>IFERROR(__xludf.DUMMYFUNCTION("REGEXEXTRACT(B111, ""-([^-\s]+)$"")"),"M")</f>
        <v>M</v>
      </c>
      <c r="H111" s="2" t="s">
        <v>810</v>
      </c>
      <c r="I111" s="8" t="str">
        <f t="shared" si="1"/>
        <v>44 in</v>
      </c>
      <c r="J111" s="9" t="s">
        <v>905</v>
      </c>
    </row>
    <row r="112">
      <c r="A112" s="2">
        <v>3.7310367E7</v>
      </c>
      <c r="B112" s="1" t="s">
        <v>186</v>
      </c>
      <c r="C112" s="4">
        <v>2999.0</v>
      </c>
      <c r="D112" s="7" t="s">
        <v>20</v>
      </c>
      <c r="E112" s="1" t="s">
        <v>673</v>
      </c>
      <c r="F112" s="2" t="s">
        <v>27</v>
      </c>
      <c r="G112" s="8" t="str">
        <f>IFERROR(__xludf.DUMMYFUNCTION("REGEXEXTRACT(B112, ""-([^-\s]+)$"")"),"S")</f>
        <v>S</v>
      </c>
      <c r="H112" s="2" t="s">
        <v>810</v>
      </c>
      <c r="I112" s="8" t="str">
        <f t="shared" si="1"/>
        <v>42 in</v>
      </c>
      <c r="J112" s="9" t="s">
        <v>905</v>
      </c>
    </row>
    <row r="113">
      <c r="A113" s="2">
        <v>3.7310367E7</v>
      </c>
      <c r="B113" s="1" t="s">
        <v>187</v>
      </c>
      <c r="C113" s="4">
        <v>2999.0</v>
      </c>
      <c r="D113" s="7" t="s">
        <v>20</v>
      </c>
      <c r="E113" s="1" t="s">
        <v>673</v>
      </c>
      <c r="F113" s="2" t="s">
        <v>27</v>
      </c>
      <c r="G113" s="8" t="str">
        <f>IFERROR(__xludf.DUMMYFUNCTION("REGEXEXTRACT(B113, ""-([^-\s]+)$"")"),"XL")</f>
        <v>XL</v>
      </c>
      <c r="H113" s="2" t="s">
        <v>810</v>
      </c>
      <c r="I113" s="8" t="str">
        <f t="shared" si="1"/>
        <v>48 in</v>
      </c>
      <c r="J113" s="9" t="s">
        <v>905</v>
      </c>
    </row>
    <row r="114">
      <c r="A114" s="4">
        <v>3.58054E7</v>
      </c>
      <c r="B114" s="15" t="s">
        <v>188</v>
      </c>
      <c r="C114" s="5">
        <v>2828.0</v>
      </c>
      <c r="D114" s="7" t="s">
        <v>20</v>
      </c>
      <c r="E114" s="1" t="s">
        <v>673</v>
      </c>
      <c r="F114" s="2" t="s">
        <v>27</v>
      </c>
      <c r="G114" s="8" t="str">
        <f>IFERROR(__xludf.DUMMYFUNCTION("REGEXEXTRACT(B114, ""-([^-\s]+)$"")"),"L")</f>
        <v>L</v>
      </c>
      <c r="H114" s="2" t="s">
        <v>484</v>
      </c>
      <c r="I114" s="8" t="str">
        <f t="shared" si="1"/>
        <v>46 in</v>
      </c>
      <c r="J114" s="9" t="s">
        <v>906</v>
      </c>
    </row>
    <row r="115">
      <c r="A115" s="4">
        <v>3.58054E7</v>
      </c>
      <c r="B115" s="15" t="s">
        <v>190</v>
      </c>
      <c r="C115" s="5">
        <v>2828.0</v>
      </c>
      <c r="D115" s="7" t="s">
        <v>20</v>
      </c>
      <c r="E115" s="1" t="s">
        <v>673</v>
      </c>
      <c r="F115" s="2" t="s">
        <v>27</v>
      </c>
      <c r="G115" s="8" t="str">
        <f>IFERROR(__xludf.DUMMYFUNCTION("REGEXEXTRACT(B115, ""-([^-\s]+)$"")"),"M")</f>
        <v>M</v>
      </c>
      <c r="H115" s="2" t="s">
        <v>484</v>
      </c>
      <c r="I115" s="8" t="str">
        <f t="shared" si="1"/>
        <v>44 in</v>
      </c>
      <c r="J115" s="9" t="s">
        <v>906</v>
      </c>
    </row>
    <row r="116">
      <c r="A116" s="4">
        <v>3.58054E7</v>
      </c>
      <c r="B116" s="14" t="s">
        <v>192</v>
      </c>
      <c r="C116" s="5">
        <v>2828.0</v>
      </c>
      <c r="D116" s="7" t="s">
        <v>20</v>
      </c>
      <c r="E116" s="1" t="s">
        <v>673</v>
      </c>
      <c r="F116" s="2" t="s">
        <v>27</v>
      </c>
      <c r="G116" s="8" t="str">
        <f>IFERROR(__xludf.DUMMYFUNCTION("REGEXEXTRACT(B116, ""-([^-\s]+)$"")"),"S")</f>
        <v>S</v>
      </c>
      <c r="H116" s="2" t="s">
        <v>484</v>
      </c>
      <c r="I116" s="8" t="str">
        <f t="shared" si="1"/>
        <v>42 in</v>
      </c>
      <c r="J116" s="9" t="s">
        <v>906</v>
      </c>
    </row>
    <row r="117">
      <c r="A117" s="4">
        <v>3.58054E7</v>
      </c>
      <c r="B117" s="15" t="s">
        <v>195</v>
      </c>
      <c r="C117" s="5">
        <v>2828.0</v>
      </c>
      <c r="D117" s="7" t="s">
        <v>20</v>
      </c>
      <c r="E117" s="1" t="s">
        <v>673</v>
      </c>
      <c r="F117" s="2" t="s">
        <v>27</v>
      </c>
      <c r="G117" s="8" t="str">
        <f>IFERROR(__xludf.DUMMYFUNCTION("REGEXEXTRACT(B117, ""-([^-\s]+)$"")"),"XL")</f>
        <v>XL</v>
      </c>
      <c r="H117" s="2" t="s">
        <v>484</v>
      </c>
      <c r="I117" s="8" t="str">
        <f t="shared" si="1"/>
        <v>48 in</v>
      </c>
      <c r="J117" s="9" t="s">
        <v>906</v>
      </c>
    </row>
    <row r="118">
      <c r="A118" s="2">
        <v>3.7310368E7</v>
      </c>
      <c r="B118" s="1" t="s">
        <v>197</v>
      </c>
      <c r="C118" s="4">
        <v>2999.0</v>
      </c>
      <c r="D118" s="7" t="s">
        <v>20</v>
      </c>
      <c r="E118" s="1" t="s">
        <v>673</v>
      </c>
      <c r="F118" s="2" t="s">
        <v>27</v>
      </c>
      <c r="G118" s="8" t="str">
        <f>IFERROR(__xludf.DUMMYFUNCTION("REGEXEXTRACT(B118, ""-([^-\s]+)$"")"),"L")</f>
        <v>L</v>
      </c>
      <c r="H118" s="2" t="s">
        <v>810</v>
      </c>
      <c r="I118" s="8" t="str">
        <f t="shared" si="1"/>
        <v>46 in</v>
      </c>
      <c r="J118" s="9" t="s">
        <v>907</v>
      </c>
    </row>
    <row r="119">
      <c r="A119" s="2">
        <v>3.7310368E7</v>
      </c>
      <c r="B119" s="1" t="s">
        <v>199</v>
      </c>
      <c r="C119" s="4">
        <v>2999.0</v>
      </c>
      <c r="D119" s="7" t="s">
        <v>20</v>
      </c>
      <c r="E119" s="1" t="s">
        <v>673</v>
      </c>
      <c r="F119" s="2" t="s">
        <v>27</v>
      </c>
      <c r="G119" s="8" t="str">
        <f>IFERROR(__xludf.DUMMYFUNCTION("REGEXEXTRACT(B119, ""-([^-\s]+)$"")"),"M")</f>
        <v>M</v>
      </c>
      <c r="H119" s="2" t="s">
        <v>810</v>
      </c>
      <c r="I119" s="8" t="str">
        <f t="shared" si="1"/>
        <v>44 in</v>
      </c>
      <c r="J119" s="9" t="s">
        <v>907</v>
      </c>
    </row>
    <row r="120">
      <c r="A120" s="2">
        <v>3.7310368E7</v>
      </c>
      <c r="B120" s="1" t="s">
        <v>202</v>
      </c>
      <c r="C120" s="4">
        <v>2999.0</v>
      </c>
      <c r="D120" s="7" t="s">
        <v>20</v>
      </c>
      <c r="E120" s="1" t="s">
        <v>673</v>
      </c>
      <c r="F120" s="2" t="s">
        <v>27</v>
      </c>
      <c r="G120" s="8" t="str">
        <f>IFERROR(__xludf.DUMMYFUNCTION("REGEXEXTRACT(B120, ""-([^-\s]+)$"")"),"S")</f>
        <v>S</v>
      </c>
      <c r="H120" s="2" t="s">
        <v>810</v>
      </c>
      <c r="I120" s="8" t="str">
        <f t="shared" si="1"/>
        <v>42 in</v>
      </c>
      <c r="J120" s="9" t="s">
        <v>907</v>
      </c>
    </row>
    <row r="121">
      <c r="A121" s="2">
        <v>3.7310368E7</v>
      </c>
      <c r="B121" s="1" t="s">
        <v>203</v>
      </c>
      <c r="C121" s="4">
        <v>2999.0</v>
      </c>
      <c r="D121" s="7" t="s">
        <v>20</v>
      </c>
      <c r="E121" s="1" t="s">
        <v>673</v>
      </c>
      <c r="F121" s="2" t="s">
        <v>27</v>
      </c>
      <c r="G121" s="8" t="str">
        <f>IFERROR(__xludf.DUMMYFUNCTION("REGEXEXTRACT(B121, ""-([^-\s]+)$"")"),"XL")</f>
        <v>XL</v>
      </c>
      <c r="H121" s="2" t="s">
        <v>810</v>
      </c>
      <c r="I121" s="8" t="str">
        <f t="shared" si="1"/>
        <v>48 in</v>
      </c>
      <c r="J121" s="9" t="s">
        <v>907</v>
      </c>
    </row>
    <row r="122">
      <c r="A122" s="4">
        <v>3.6689838E7</v>
      </c>
      <c r="B122" s="1" t="s">
        <v>204</v>
      </c>
      <c r="C122" s="12">
        <v>2657.0</v>
      </c>
      <c r="D122" s="7" t="s">
        <v>20</v>
      </c>
      <c r="E122" s="1" t="s">
        <v>673</v>
      </c>
      <c r="F122" s="2" t="s">
        <v>27</v>
      </c>
      <c r="G122" s="8" t="str">
        <f>IFERROR(__xludf.DUMMYFUNCTION("REGEXEXTRACT(B122, ""-([^-\s]+)$"")"),"L")</f>
        <v>L</v>
      </c>
      <c r="H122" s="2" t="s">
        <v>484</v>
      </c>
      <c r="I122" s="8" t="str">
        <f t="shared" si="1"/>
        <v>46 in</v>
      </c>
      <c r="J122" s="9" t="s">
        <v>908</v>
      </c>
    </row>
    <row r="123">
      <c r="A123" s="4">
        <v>3.6689838E7</v>
      </c>
      <c r="B123" s="1" t="s">
        <v>205</v>
      </c>
      <c r="C123" s="12">
        <v>2657.0</v>
      </c>
      <c r="D123" s="7" t="s">
        <v>20</v>
      </c>
      <c r="E123" s="1" t="s">
        <v>673</v>
      </c>
      <c r="F123" s="2" t="s">
        <v>27</v>
      </c>
      <c r="G123" s="8" t="str">
        <f>IFERROR(__xludf.DUMMYFUNCTION("REGEXEXTRACT(B123, ""-([^-\s]+)$"")"),"M")</f>
        <v>M</v>
      </c>
      <c r="H123" s="2" t="s">
        <v>484</v>
      </c>
      <c r="I123" s="8" t="str">
        <f t="shared" si="1"/>
        <v>44 in</v>
      </c>
      <c r="J123" s="9" t="s">
        <v>908</v>
      </c>
    </row>
    <row r="124">
      <c r="A124" s="4">
        <v>3.6689838E7</v>
      </c>
      <c r="B124" s="1" t="s">
        <v>206</v>
      </c>
      <c r="C124" s="12">
        <v>2657.0</v>
      </c>
      <c r="D124" s="7" t="s">
        <v>20</v>
      </c>
      <c r="E124" s="1" t="s">
        <v>673</v>
      </c>
      <c r="F124" s="2" t="s">
        <v>27</v>
      </c>
      <c r="G124" s="8" t="str">
        <f>IFERROR(__xludf.DUMMYFUNCTION("REGEXEXTRACT(B124, ""-([^-\s]+)$"")"),"S")</f>
        <v>S</v>
      </c>
      <c r="H124" s="2" t="s">
        <v>484</v>
      </c>
      <c r="I124" s="8" t="str">
        <f t="shared" si="1"/>
        <v>42 in</v>
      </c>
      <c r="J124" s="9" t="s">
        <v>908</v>
      </c>
    </row>
    <row r="125">
      <c r="A125" s="4">
        <v>3.6689838E7</v>
      </c>
      <c r="B125" s="1" t="s">
        <v>207</v>
      </c>
      <c r="C125" s="12">
        <v>2657.0</v>
      </c>
      <c r="D125" s="7" t="s">
        <v>20</v>
      </c>
      <c r="E125" s="1" t="s">
        <v>673</v>
      </c>
      <c r="F125" s="2" t="s">
        <v>27</v>
      </c>
      <c r="G125" s="8" t="str">
        <f>IFERROR(__xludf.DUMMYFUNCTION("REGEXEXTRACT(B125, ""-([^-\s]+)$"")"),"XL")</f>
        <v>XL</v>
      </c>
      <c r="H125" s="2" t="s">
        <v>484</v>
      </c>
      <c r="I125" s="8" t="str">
        <f t="shared" si="1"/>
        <v>48 in</v>
      </c>
      <c r="J125" s="9" t="s">
        <v>908</v>
      </c>
    </row>
    <row r="126">
      <c r="A126" s="2">
        <v>3.8335558E7</v>
      </c>
      <c r="B126" s="14" t="s">
        <v>193</v>
      </c>
      <c r="C126" s="2">
        <v>2999.0</v>
      </c>
      <c r="D126" s="7" t="s">
        <v>20</v>
      </c>
      <c r="E126" s="1" t="s">
        <v>673</v>
      </c>
      <c r="F126" s="2" t="s">
        <v>27</v>
      </c>
      <c r="G126" s="8" t="str">
        <f>IFERROR(__xludf.DUMMYFUNCTION("REGEXEXTRACT(B126, ""-([^-\s]+)$"")"),"L")</f>
        <v>L</v>
      </c>
      <c r="H126" s="2" t="s">
        <v>484</v>
      </c>
      <c r="I126" s="8" t="str">
        <f t="shared" si="1"/>
        <v>46 in</v>
      </c>
      <c r="J126" s="9" t="s">
        <v>909</v>
      </c>
    </row>
    <row r="127">
      <c r="A127" s="2">
        <v>3.8335558E7</v>
      </c>
      <c r="B127" s="14" t="s">
        <v>200</v>
      </c>
      <c r="C127" s="2">
        <v>2999.0</v>
      </c>
      <c r="D127" s="7" t="s">
        <v>20</v>
      </c>
      <c r="E127" s="1" t="s">
        <v>673</v>
      </c>
      <c r="F127" s="2" t="s">
        <v>27</v>
      </c>
      <c r="G127" s="8" t="str">
        <f>IFERROR(__xludf.DUMMYFUNCTION("REGEXEXTRACT(B127, ""-([^-\s]+)$"")"),"M")</f>
        <v>M</v>
      </c>
      <c r="H127" s="2" t="s">
        <v>484</v>
      </c>
      <c r="I127" s="8" t="str">
        <f t="shared" si="1"/>
        <v>44 in</v>
      </c>
      <c r="J127" s="9" t="s">
        <v>909</v>
      </c>
    </row>
    <row r="128">
      <c r="A128" s="2">
        <v>3.8335558E7</v>
      </c>
      <c r="B128" s="14" t="s">
        <v>196</v>
      </c>
      <c r="C128" s="2">
        <v>2999.0</v>
      </c>
      <c r="D128" s="7" t="s">
        <v>20</v>
      </c>
      <c r="E128" s="1" t="s">
        <v>673</v>
      </c>
      <c r="F128" s="2" t="s">
        <v>27</v>
      </c>
      <c r="G128" s="8" t="str">
        <f>IFERROR(__xludf.DUMMYFUNCTION("REGEXEXTRACT(B128, ""-([^-\s]+)$"")"),"S")</f>
        <v>S</v>
      </c>
      <c r="H128" s="2" t="s">
        <v>484</v>
      </c>
      <c r="I128" s="8" t="str">
        <f t="shared" si="1"/>
        <v>42 in</v>
      </c>
      <c r="J128" s="9" t="s">
        <v>909</v>
      </c>
    </row>
    <row r="129">
      <c r="A129" s="2">
        <v>3.8335558E7</v>
      </c>
      <c r="B129" s="14" t="s">
        <v>198</v>
      </c>
      <c r="C129" s="2">
        <v>2999.0</v>
      </c>
      <c r="D129" s="7" t="s">
        <v>20</v>
      </c>
      <c r="E129" s="1" t="s">
        <v>673</v>
      </c>
      <c r="F129" s="2" t="s">
        <v>27</v>
      </c>
      <c r="G129" s="8" t="str">
        <f>IFERROR(__xludf.DUMMYFUNCTION("REGEXEXTRACT(B129, ""-([^-\s]+)$"")"),"XL")</f>
        <v>XL</v>
      </c>
      <c r="H129" s="2" t="s">
        <v>484</v>
      </c>
      <c r="I129" s="8" t="str">
        <f t="shared" si="1"/>
        <v>48 in</v>
      </c>
      <c r="J129" s="9" t="s">
        <v>909</v>
      </c>
    </row>
    <row r="130">
      <c r="A130" s="2">
        <v>3.7310364E7</v>
      </c>
      <c r="B130" s="1" t="s">
        <v>208</v>
      </c>
      <c r="C130" s="4">
        <v>2799.0</v>
      </c>
      <c r="D130" s="7" t="s">
        <v>20</v>
      </c>
      <c r="E130" s="1" t="s">
        <v>673</v>
      </c>
      <c r="F130" s="2" t="s">
        <v>27</v>
      </c>
      <c r="G130" s="8" t="str">
        <f>IFERROR(__xludf.DUMMYFUNCTION("REGEXEXTRACT(B130, ""-([^-\s]+)$"")"),"L")</f>
        <v>L</v>
      </c>
      <c r="H130" s="2" t="s">
        <v>484</v>
      </c>
      <c r="I130" s="8" t="str">
        <f t="shared" si="1"/>
        <v>46 in</v>
      </c>
      <c r="J130" s="9" t="s">
        <v>910</v>
      </c>
    </row>
    <row r="131">
      <c r="A131" s="2">
        <v>3.7310364E7</v>
      </c>
      <c r="B131" s="1" t="s">
        <v>209</v>
      </c>
      <c r="C131" s="4">
        <v>2799.0</v>
      </c>
      <c r="D131" s="7" t="s">
        <v>20</v>
      </c>
      <c r="E131" s="1" t="s">
        <v>673</v>
      </c>
      <c r="F131" s="2" t="s">
        <v>27</v>
      </c>
      <c r="G131" s="8" t="str">
        <f>IFERROR(__xludf.DUMMYFUNCTION("REGEXEXTRACT(B131, ""-([^-\s]+)$"")"),"M")</f>
        <v>M</v>
      </c>
      <c r="H131" s="2" t="s">
        <v>484</v>
      </c>
      <c r="I131" s="8" t="str">
        <f t="shared" si="1"/>
        <v>44 in</v>
      </c>
      <c r="J131" s="9" t="s">
        <v>910</v>
      </c>
    </row>
    <row r="132">
      <c r="A132" s="2">
        <v>3.7310364E7</v>
      </c>
      <c r="B132" s="1" t="s">
        <v>210</v>
      </c>
      <c r="C132" s="4">
        <v>2799.0</v>
      </c>
      <c r="D132" s="7" t="s">
        <v>20</v>
      </c>
      <c r="E132" s="1" t="s">
        <v>673</v>
      </c>
      <c r="F132" s="2" t="s">
        <v>27</v>
      </c>
      <c r="G132" s="8" t="str">
        <f>IFERROR(__xludf.DUMMYFUNCTION("REGEXEXTRACT(B132, ""-([^-\s]+)$"")"),"S")</f>
        <v>S</v>
      </c>
      <c r="H132" s="2" t="s">
        <v>484</v>
      </c>
      <c r="I132" s="8" t="str">
        <f t="shared" si="1"/>
        <v>42 in</v>
      </c>
      <c r="J132" s="9" t="s">
        <v>910</v>
      </c>
    </row>
    <row r="133">
      <c r="A133" s="2">
        <v>3.7310364E7</v>
      </c>
      <c r="B133" s="1" t="s">
        <v>211</v>
      </c>
      <c r="C133" s="4">
        <v>2799.0</v>
      </c>
      <c r="D133" s="7" t="s">
        <v>20</v>
      </c>
      <c r="E133" s="1" t="s">
        <v>673</v>
      </c>
      <c r="F133" s="2" t="s">
        <v>27</v>
      </c>
      <c r="G133" s="8" t="str">
        <f>IFERROR(__xludf.DUMMYFUNCTION("REGEXEXTRACT(B133, ""-([^-\s]+)$"")"),"XL")</f>
        <v>XL</v>
      </c>
      <c r="H133" s="2" t="s">
        <v>484</v>
      </c>
      <c r="I133" s="8" t="str">
        <f t="shared" si="1"/>
        <v>48 in</v>
      </c>
      <c r="J133" s="9" t="s">
        <v>910</v>
      </c>
    </row>
    <row r="134">
      <c r="A134" s="2">
        <v>3.7310365E7</v>
      </c>
      <c r="B134" s="1" t="s">
        <v>212</v>
      </c>
      <c r="C134" s="4">
        <v>2799.0</v>
      </c>
      <c r="D134" s="7" t="s">
        <v>20</v>
      </c>
      <c r="E134" s="1" t="s">
        <v>673</v>
      </c>
      <c r="F134" s="2" t="s">
        <v>27</v>
      </c>
      <c r="G134" s="8" t="str">
        <f>IFERROR(__xludf.DUMMYFUNCTION("REGEXEXTRACT(B134, ""-([^-\s]+)$"")"),"L")</f>
        <v>L</v>
      </c>
      <c r="H134" s="2" t="s">
        <v>810</v>
      </c>
      <c r="I134" s="8" t="str">
        <f t="shared" si="1"/>
        <v>46 in</v>
      </c>
      <c r="J134" s="9" t="s">
        <v>911</v>
      </c>
    </row>
    <row r="135">
      <c r="A135" s="2">
        <v>3.7310365E7</v>
      </c>
      <c r="B135" s="1" t="s">
        <v>213</v>
      </c>
      <c r="C135" s="4">
        <v>2799.0</v>
      </c>
      <c r="D135" s="7" t="s">
        <v>20</v>
      </c>
      <c r="E135" s="1" t="s">
        <v>673</v>
      </c>
      <c r="F135" s="2" t="s">
        <v>27</v>
      </c>
      <c r="G135" s="8" t="str">
        <f>IFERROR(__xludf.DUMMYFUNCTION("REGEXEXTRACT(B135, ""-([^-\s]+)$"")"),"M")</f>
        <v>M</v>
      </c>
      <c r="H135" s="2" t="s">
        <v>810</v>
      </c>
      <c r="I135" s="8" t="str">
        <f t="shared" si="1"/>
        <v>44 in</v>
      </c>
      <c r="J135" s="9" t="s">
        <v>911</v>
      </c>
    </row>
    <row r="136">
      <c r="A136" s="2">
        <v>3.7310365E7</v>
      </c>
      <c r="B136" s="1" t="s">
        <v>214</v>
      </c>
      <c r="C136" s="4">
        <v>2799.0</v>
      </c>
      <c r="D136" s="7" t="s">
        <v>20</v>
      </c>
      <c r="E136" s="1" t="s">
        <v>673</v>
      </c>
      <c r="F136" s="2" t="s">
        <v>27</v>
      </c>
      <c r="G136" s="8" t="str">
        <f>IFERROR(__xludf.DUMMYFUNCTION("REGEXEXTRACT(B136, ""-([^-\s]+)$"")"),"S")</f>
        <v>S</v>
      </c>
      <c r="H136" s="2" t="s">
        <v>810</v>
      </c>
      <c r="I136" s="8" t="str">
        <f t="shared" si="1"/>
        <v>42 in</v>
      </c>
      <c r="J136" s="9" t="s">
        <v>911</v>
      </c>
    </row>
    <row r="137">
      <c r="A137" s="2">
        <v>3.7310365E7</v>
      </c>
      <c r="B137" s="1" t="s">
        <v>216</v>
      </c>
      <c r="C137" s="4">
        <v>2799.0</v>
      </c>
      <c r="D137" s="7" t="s">
        <v>20</v>
      </c>
      <c r="E137" s="1" t="s">
        <v>673</v>
      </c>
      <c r="F137" s="2" t="s">
        <v>27</v>
      </c>
      <c r="G137" s="8" t="str">
        <f>IFERROR(__xludf.DUMMYFUNCTION("REGEXEXTRACT(B137, ""-([^-\s]+)$"")"),"XL")</f>
        <v>XL</v>
      </c>
      <c r="H137" s="2" t="s">
        <v>810</v>
      </c>
      <c r="I137" s="8" t="str">
        <f t="shared" si="1"/>
        <v>48 in</v>
      </c>
      <c r="J137" s="9" t="s">
        <v>911</v>
      </c>
    </row>
    <row r="138">
      <c r="A138" s="2">
        <v>3.7310366E7</v>
      </c>
      <c r="B138" s="1" t="s">
        <v>219</v>
      </c>
      <c r="C138" s="4">
        <v>2999.0</v>
      </c>
      <c r="D138" s="7" t="s">
        <v>20</v>
      </c>
      <c r="E138" s="1" t="s">
        <v>673</v>
      </c>
      <c r="F138" s="2" t="s">
        <v>27</v>
      </c>
      <c r="G138" s="8" t="str">
        <f>IFERROR(__xludf.DUMMYFUNCTION("REGEXEXTRACT(B138, ""-([^-\s]+)$"")"),"L")</f>
        <v>L</v>
      </c>
      <c r="H138" s="2" t="s">
        <v>810</v>
      </c>
      <c r="I138" s="8" t="str">
        <f t="shared" si="1"/>
        <v>46 in</v>
      </c>
      <c r="J138" s="9" t="s">
        <v>912</v>
      </c>
    </row>
    <row r="139">
      <c r="A139" s="2">
        <v>3.7310366E7</v>
      </c>
      <c r="B139" s="1" t="s">
        <v>220</v>
      </c>
      <c r="C139" s="4">
        <v>2999.0</v>
      </c>
      <c r="D139" s="7" t="s">
        <v>20</v>
      </c>
      <c r="E139" s="1" t="s">
        <v>673</v>
      </c>
      <c r="F139" s="2" t="s">
        <v>27</v>
      </c>
      <c r="G139" s="8" t="str">
        <f>IFERROR(__xludf.DUMMYFUNCTION("REGEXEXTRACT(B139, ""-([^-\s]+)$"")"),"M")</f>
        <v>M</v>
      </c>
      <c r="H139" s="2" t="s">
        <v>810</v>
      </c>
      <c r="I139" s="8" t="str">
        <f t="shared" si="1"/>
        <v>44 in</v>
      </c>
      <c r="J139" s="9" t="s">
        <v>912</v>
      </c>
    </row>
    <row r="140">
      <c r="A140" s="2">
        <v>3.7310366E7</v>
      </c>
      <c r="B140" s="1" t="s">
        <v>223</v>
      </c>
      <c r="C140" s="4">
        <v>2999.0</v>
      </c>
      <c r="D140" s="7" t="s">
        <v>20</v>
      </c>
      <c r="E140" s="1" t="s">
        <v>673</v>
      </c>
      <c r="F140" s="2" t="s">
        <v>27</v>
      </c>
      <c r="G140" s="8" t="str">
        <f>IFERROR(__xludf.DUMMYFUNCTION("REGEXEXTRACT(B140, ""-([^-\s]+)$"")"),"S")</f>
        <v>S</v>
      </c>
      <c r="H140" s="2" t="s">
        <v>810</v>
      </c>
      <c r="I140" s="8" t="str">
        <f t="shared" si="1"/>
        <v>42 in</v>
      </c>
      <c r="J140" s="9" t="s">
        <v>912</v>
      </c>
    </row>
    <row r="141">
      <c r="A141" s="2">
        <v>3.7310366E7</v>
      </c>
      <c r="B141" s="1" t="s">
        <v>226</v>
      </c>
      <c r="C141" s="4">
        <v>2999.0</v>
      </c>
      <c r="D141" s="7" t="s">
        <v>20</v>
      </c>
      <c r="E141" s="1" t="s">
        <v>673</v>
      </c>
      <c r="F141" s="2" t="s">
        <v>27</v>
      </c>
      <c r="G141" s="8" t="str">
        <f>IFERROR(__xludf.DUMMYFUNCTION("REGEXEXTRACT(B141, ""-([^-\s]+)$"")"),"XL")</f>
        <v>XL</v>
      </c>
      <c r="H141" s="2" t="s">
        <v>810</v>
      </c>
      <c r="I141" s="8" t="str">
        <f t="shared" si="1"/>
        <v>48 in</v>
      </c>
      <c r="J141" s="9" t="s">
        <v>912</v>
      </c>
    </row>
    <row r="142">
      <c r="A142" s="4">
        <v>3.6689841E7</v>
      </c>
      <c r="B142" s="1" t="s">
        <v>228</v>
      </c>
      <c r="C142" s="12">
        <v>2657.0</v>
      </c>
      <c r="D142" s="7" t="s">
        <v>20</v>
      </c>
      <c r="E142" s="1" t="s">
        <v>673</v>
      </c>
      <c r="F142" s="2" t="s">
        <v>27</v>
      </c>
      <c r="G142" s="8" t="str">
        <f>IFERROR(__xludf.DUMMYFUNCTION("REGEXEXTRACT(B142, ""-([^-\s]+)$"")"),"L")</f>
        <v>L</v>
      </c>
      <c r="H142" s="2" t="s">
        <v>484</v>
      </c>
      <c r="I142" s="8" t="str">
        <f t="shared" si="1"/>
        <v>46 in</v>
      </c>
      <c r="J142" s="9" t="s">
        <v>913</v>
      </c>
    </row>
    <row r="143">
      <c r="A143" s="4">
        <v>3.6689841E7</v>
      </c>
      <c r="B143" s="1" t="s">
        <v>231</v>
      </c>
      <c r="C143" s="12">
        <v>2657.0</v>
      </c>
      <c r="D143" s="7" t="s">
        <v>20</v>
      </c>
      <c r="E143" s="1" t="s">
        <v>673</v>
      </c>
      <c r="F143" s="2" t="s">
        <v>27</v>
      </c>
      <c r="G143" s="8" t="str">
        <f>IFERROR(__xludf.DUMMYFUNCTION("REGEXEXTRACT(B143, ""-([^-\s]+)$"")"),"M")</f>
        <v>M</v>
      </c>
      <c r="H143" s="2" t="s">
        <v>484</v>
      </c>
      <c r="I143" s="8" t="str">
        <f t="shared" si="1"/>
        <v>44 in</v>
      </c>
      <c r="J143" s="9" t="s">
        <v>913</v>
      </c>
    </row>
    <row r="144">
      <c r="A144" s="4">
        <v>3.6689841E7</v>
      </c>
      <c r="B144" s="1" t="s">
        <v>233</v>
      </c>
      <c r="C144" s="12">
        <v>2657.0</v>
      </c>
      <c r="D144" s="7" t="s">
        <v>20</v>
      </c>
      <c r="E144" s="1" t="s">
        <v>673</v>
      </c>
      <c r="F144" s="2" t="s">
        <v>27</v>
      </c>
      <c r="G144" s="8" t="str">
        <f>IFERROR(__xludf.DUMMYFUNCTION("REGEXEXTRACT(B144, ""-([^-\s]+)$"")"),"S")</f>
        <v>S</v>
      </c>
      <c r="H144" s="2" t="s">
        <v>484</v>
      </c>
      <c r="I144" s="8" t="str">
        <f t="shared" si="1"/>
        <v>42 in</v>
      </c>
      <c r="J144" s="9" t="s">
        <v>913</v>
      </c>
    </row>
    <row r="145">
      <c r="A145" s="4">
        <v>3.6689841E7</v>
      </c>
      <c r="B145" s="1" t="s">
        <v>236</v>
      </c>
      <c r="C145" s="12">
        <v>2657.0</v>
      </c>
      <c r="D145" s="7" t="s">
        <v>20</v>
      </c>
      <c r="E145" s="1" t="s">
        <v>673</v>
      </c>
      <c r="F145" s="2" t="s">
        <v>27</v>
      </c>
      <c r="G145" s="8" t="str">
        <f>IFERROR(__xludf.DUMMYFUNCTION("REGEXEXTRACT(B145, ""-([^-\s]+)$"")"),"XL")</f>
        <v>XL</v>
      </c>
      <c r="H145" s="2" t="s">
        <v>484</v>
      </c>
      <c r="I145" s="8" t="str">
        <f t="shared" si="1"/>
        <v>48 in</v>
      </c>
      <c r="J145" s="9" t="s">
        <v>913</v>
      </c>
    </row>
    <row r="146">
      <c r="A146" s="2">
        <v>3.8335569E7</v>
      </c>
      <c r="B146" s="14" t="s">
        <v>238</v>
      </c>
      <c r="C146" s="2">
        <v>2999.0</v>
      </c>
      <c r="D146" s="7" t="s">
        <v>20</v>
      </c>
      <c r="E146" s="1" t="s">
        <v>673</v>
      </c>
      <c r="F146" s="2" t="s">
        <v>27</v>
      </c>
      <c r="G146" s="8" t="str">
        <f>IFERROR(__xludf.DUMMYFUNCTION("REGEXEXTRACT(B146, ""-([^-\s]+)$"")"),"L")</f>
        <v>L</v>
      </c>
      <c r="H146" s="2" t="s">
        <v>810</v>
      </c>
      <c r="I146" s="8" t="str">
        <f t="shared" si="1"/>
        <v>46 in</v>
      </c>
      <c r="J146" s="9" t="s">
        <v>914</v>
      </c>
    </row>
    <row r="147">
      <c r="A147" s="2">
        <v>3.8335569E7</v>
      </c>
      <c r="B147" s="14" t="s">
        <v>240</v>
      </c>
      <c r="C147" s="2">
        <v>2999.0</v>
      </c>
      <c r="D147" s="7" t="s">
        <v>20</v>
      </c>
      <c r="E147" s="1" t="s">
        <v>673</v>
      </c>
      <c r="F147" s="2" t="s">
        <v>27</v>
      </c>
      <c r="G147" s="8" t="str">
        <f>IFERROR(__xludf.DUMMYFUNCTION("REGEXEXTRACT(B147, ""-([^-\s]+)$"")"),"M")</f>
        <v>M</v>
      </c>
      <c r="H147" s="2" t="s">
        <v>810</v>
      </c>
      <c r="I147" s="8" t="str">
        <f t="shared" si="1"/>
        <v>44 in</v>
      </c>
      <c r="J147" s="9" t="s">
        <v>914</v>
      </c>
    </row>
    <row r="148">
      <c r="A148" s="2">
        <v>3.8335569E7</v>
      </c>
      <c r="B148" s="14" t="s">
        <v>243</v>
      </c>
      <c r="C148" s="2">
        <v>2999.0</v>
      </c>
      <c r="D148" s="7" t="s">
        <v>20</v>
      </c>
      <c r="E148" s="1" t="s">
        <v>673</v>
      </c>
      <c r="F148" s="2" t="s">
        <v>27</v>
      </c>
      <c r="G148" s="8" t="str">
        <f>IFERROR(__xludf.DUMMYFUNCTION("REGEXEXTRACT(B148, ""-([^-\s]+)$"")"),"S")</f>
        <v>S</v>
      </c>
      <c r="H148" s="2" t="s">
        <v>810</v>
      </c>
      <c r="I148" s="8" t="str">
        <f t="shared" si="1"/>
        <v>42 in</v>
      </c>
      <c r="J148" s="9" t="s">
        <v>914</v>
      </c>
    </row>
    <row r="149">
      <c r="A149" s="2">
        <v>3.8335569E7</v>
      </c>
      <c r="B149" s="14" t="s">
        <v>245</v>
      </c>
      <c r="C149" s="2">
        <v>2999.0</v>
      </c>
      <c r="D149" s="7" t="s">
        <v>20</v>
      </c>
      <c r="E149" s="1" t="s">
        <v>673</v>
      </c>
      <c r="F149" s="2" t="s">
        <v>27</v>
      </c>
      <c r="G149" s="8" t="str">
        <f>IFERROR(__xludf.DUMMYFUNCTION("REGEXEXTRACT(B149, ""-([^-\s]+)$"")"),"XL")</f>
        <v>XL</v>
      </c>
      <c r="H149" s="2" t="s">
        <v>810</v>
      </c>
      <c r="I149" s="8" t="str">
        <f t="shared" si="1"/>
        <v>48 in</v>
      </c>
      <c r="J149" s="9" t="s">
        <v>914</v>
      </c>
    </row>
    <row r="150">
      <c r="A150" s="2">
        <v>3.833556E7</v>
      </c>
      <c r="B150" s="14" t="s">
        <v>247</v>
      </c>
      <c r="C150" s="2">
        <v>2999.0</v>
      </c>
      <c r="D150" s="7" t="s">
        <v>20</v>
      </c>
      <c r="E150" s="1" t="s">
        <v>673</v>
      </c>
      <c r="F150" s="2" t="s">
        <v>27</v>
      </c>
      <c r="G150" s="8" t="str">
        <f>IFERROR(__xludf.DUMMYFUNCTION("REGEXEXTRACT(B150, ""-([^-\s]+)$"")"),"XL")</f>
        <v>XL</v>
      </c>
      <c r="H150" s="2" t="s">
        <v>898</v>
      </c>
      <c r="I150" s="8" t="str">
        <f t="shared" si="1"/>
        <v>48 in</v>
      </c>
      <c r="J150" s="9" t="s">
        <v>899</v>
      </c>
    </row>
    <row r="151">
      <c r="A151" s="2">
        <v>3.8335565E7</v>
      </c>
      <c r="B151" s="14" t="s">
        <v>250</v>
      </c>
      <c r="C151" s="2">
        <v>2999.0</v>
      </c>
      <c r="D151" s="7" t="s">
        <v>20</v>
      </c>
      <c r="E151" s="1" t="s">
        <v>673</v>
      </c>
      <c r="F151" s="2" t="s">
        <v>27</v>
      </c>
      <c r="G151" s="8" t="str">
        <f>IFERROR(__xludf.DUMMYFUNCTION("REGEXEXTRACT(B151, ""-([^-\s]+)$"")"),"XL")</f>
        <v>XL</v>
      </c>
      <c r="H151" s="2" t="s">
        <v>898</v>
      </c>
      <c r="I151" s="8" t="str">
        <f t="shared" si="1"/>
        <v>48 in</v>
      </c>
      <c r="J151" s="9" t="s">
        <v>900</v>
      </c>
    </row>
    <row r="152">
      <c r="A152" s="2">
        <v>3.8335559E7</v>
      </c>
      <c r="B152" s="14" t="s">
        <v>252</v>
      </c>
      <c r="C152" s="2">
        <v>2999.0</v>
      </c>
      <c r="D152" s="7" t="s">
        <v>20</v>
      </c>
      <c r="E152" s="1" t="s">
        <v>673</v>
      </c>
      <c r="F152" s="2" t="s">
        <v>27</v>
      </c>
      <c r="G152" s="8" t="str">
        <f>IFERROR(__xludf.DUMMYFUNCTION("REGEXEXTRACT(B152, ""-([^-\s]+)$"")"),"S")</f>
        <v>S</v>
      </c>
      <c r="H152" s="2" t="s">
        <v>898</v>
      </c>
      <c r="I152" s="8" t="str">
        <f t="shared" si="1"/>
        <v>42 in</v>
      </c>
      <c r="J152" s="9" t="s">
        <v>901</v>
      </c>
    </row>
    <row r="153">
      <c r="A153" s="2">
        <v>3.8335559E7</v>
      </c>
      <c r="B153" s="14" t="s">
        <v>254</v>
      </c>
      <c r="C153" s="2">
        <v>2999.0</v>
      </c>
      <c r="D153" s="7" t="s">
        <v>20</v>
      </c>
      <c r="E153" s="1" t="s">
        <v>673</v>
      </c>
      <c r="F153" s="2" t="s">
        <v>27</v>
      </c>
      <c r="G153" s="8" t="str">
        <f>IFERROR(__xludf.DUMMYFUNCTION("REGEXEXTRACT(B153, ""-([^-\s]+)$"")"),"XL")</f>
        <v>XL</v>
      </c>
      <c r="H153" s="2" t="s">
        <v>898</v>
      </c>
      <c r="I153" s="8" t="str">
        <f t="shared" si="1"/>
        <v>48 in</v>
      </c>
      <c r="J153" s="9" t="s">
        <v>901</v>
      </c>
    </row>
    <row r="154">
      <c r="A154" s="2">
        <v>3.8335561E7</v>
      </c>
      <c r="B154" s="14" t="s">
        <v>258</v>
      </c>
      <c r="C154" s="2">
        <v>2999.0</v>
      </c>
      <c r="D154" s="7" t="s">
        <v>20</v>
      </c>
      <c r="E154" s="1" t="s">
        <v>673</v>
      </c>
      <c r="F154" s="2" t="s">
        <v>27</v>
      </c>
      <c r="G154" s="8" t="str">
        <f>IFERROR(__xludf.DUMMYFUNCTION("REGEXEXTRACT(B154, ""-([^-\s]+)$"")"),"L")</f>
        <v>L</v>
      </c>
      <c r="H154" s="2" t="s">
        <v>484</v>
      </c>
      <c r="I154" s="8" t="str">
        <f t="shared" si="1"/>
        <v>46 in</v>
      </c>
      <c r="J154" s="9" t="s">
        <v>915</v>
      </c>
    </row>
    <row r="155">
      <c r="A155" s="2">
        <v>3.8335561E7</v>
      </c>
      <c r="B155" s="14" t="s">
        <v>261</v>
      </c>
      <c r="C155" s="2">
        <v>2999.0</v>
      </c>
      <c r="D155" s="7" t="s">
        <v>20</v>
      </c>
      <c r="E155" s="1" t="s">
        <v>673</v>
      </c>
      <c r="F155" s="2" t="s">
        <v>27</v>
      </c>
      <c r="G155" s="8" t="str">
        <f>IFERROR(__xludf.DUMMYFUNCTION("REGEXEXTRACT(B155, ""-([^-\s]+)$"")"),"M")</f>
        <v>M</v>
      </c>
      <c r="H155" s="2" t="s">
        <v>484</v>
      </c>
      <c r="I155" s="8" t="str">
        <f t="shared" si="1"/>
        <v>44 in</v>
      </c>
      <c r="J155" s="9" t="s">
        <v>915</v>
      </c>
    </row>
    <row r="156">
      <c r="A156" s="2">
        <v>3.8335561E7</v>
      </c>
      <c r="B156" s="14" t="s">
        <v>264</v>
      </c>
      <c r="C156" s="2">
        <v>2999.0</v>
      </c>
      <c r="D156" s="7" t="s">
        <v>20</v>
      </c>
      <c r="E156" s="1" t="s">
        <v>673</v>
      </c>
      <c r="F156" s="2" t="s">
        <v>27</v>
      </c>
      <c r="G156" s="8" t="str">
        <f>IFERROR(__xludf.DUMMYFUNCTION("REGEXEXTRACT(B156, ""-([^-\s]+)$"")"),"S")</f>
        <v>S</v>
      </c>
      <c r="H156" s="2" t="s">
        <v>484</v>
      </c>
      <c r="I156" s="8" t="str">
        <f t="shared" si="1"/>
        <v>42 in</v>
      </c>
      <c r="J156" s="9" t="s">
        <v>915</v>
      </c>
    </row>
    <row r="157">
      <c r="A157" s="2">
        <v>3.8335561E7</v>
      </c>
      <c r="B157" s="14" t="s">
        <v>266</v>
      </c>
      <c r="C157" s="2">
        <v>2999.0</v>
      </c>
      <c r="D157" s="7" t="s">
        <v>20</v>
      </c>
      <c r="E157" s="1" t="s">
        <v>673</v>
      </c>
      <c r="F157" s="2" t="s">
        <v>27</v>
      </c>
      <c r="G157" s="8" t="str">
        <f>IFERROR(__xludf.DUMMYFUNCTION("REGEXEXTRACT(B157, ""-([^-\s]+)$"")"),"XL")</f>
        <v>XL</v>
      </c>
      <c r="H157" s="2" t="s">
        <v>484</v>
      </c>
      <c r="I157" s="8" t="str">
        <f t="shared" si="1"/>
        <v>48 in</v>
      </c>
      <c r="J157" s="9" t="s">
        <v>915</v>
      </c>
    </row>
    <row r="158">
      <c r="A158" s="4">
        <v>3.4590252E7</v>
      </c>
      <c r="B158" s="1" t="s">
        <v>269</v>
      </c>
      <c r="C158" s="5">
        <v>1570.0</v>
      </c>
      <c r="D158" s="7" t="s">
        <v>20</v>
      </c>
      <c r="E158" s="2" t="s">
        <v>24</v>
      </c>
      <c r="F158" s="2" t="s">
        <v>27</v>
      </c>
      <c r="G158" s="8" t="str">
        <f>IFERROR(__xludf.DUMMYFUNCTION("REGEXEXTRACT(B158, ""-([^-\s]+)$"")"),"L")</f>
        <v>L</v>
      </c>
      <c r="H158" s="2" t="s">
        <v>484</v>
      </c>
      <c r="I158" s="8" t="str">
        <f t="shared" si="1"/>
        <v>46 in</v>
      </c>
      <c r="J158" s="9" t="s">
        <v>916</v>
      </c>
    </row>
    <row r="159">
      <c r="A159" s="4">
        <v>3.4590252E7</v>
      </c>
      <c r="B159" s="1" t="s">
        <v>271</v>
      </c>
      <c r="C159" s="5">
        <v>1570.0</v>
      </c>
      <c r="D159" s="7" t="s">
        <v>20</v>
      </c>
      <c r="E159" s="2" t="s">
        <v>24</v>
      </c>
      <c r="F159" s="2" t="s">
        <v>27</v>
      </c>
      <c r="G159" s="8" t="str">
        <f>IFERROR(__xludf.DUMMYFUNCTION("REGEXEXTRACT(B159, ""-([^-\s]+)$"")"),"M")</f>
        <v>M</v>
      </c>
      <c r="H159" s="2" t="s">
        <v>484</v>
      </c>
      <c r="I159" s="8" t="str">
        <f t="shared" si="1"/>
        <v>44 in</v>
      </c>
      <c r="J159" s="9" t="s">
        <v>916</v>
      </c>
    </row>
    <row r="160">
      <c r="A160" s="4">
        <v>3.4590252E7</v>
      </c>
      <c r="B160" s="1" t="s">
        <v>273</v>
      </c>
      <c r="C160" s="5">
        <v>1570.0</v>
      </c>
      <c r="D160" s="7" t="s">
        <v>20</v>
      </c>
      <c r="E160" s="2" t="s">
        <v>24</v>
      </c>
      <c r="F160" s="2" t="s">
        <v>27</v>
      </c>
      <c r="G160" s="8" t="str">
        <f>IFERROR(__xludf.DUMMYFUNCTION("REGEXEXTRACT(B160, ""-([^-\s]+)$"")"),"S")</f>
        <v>S</v>
      </c>
      <c r="H160" s="2" t="s">
        <v>484</v>
      </c>
      <c r="I160" s="8" t="str">
        <f t="shared" si="1"/>
        <v>42 in</v>
      </c>
      <c r="J160" s="9" t="s">
        <v>916</v>
      </c>
    </row>
    <row r="161">
      <c r="A161" s="4">
        <v>3.4590252E7</v>
      </c>
      <c r="B161" s="1" t="s">
        <v>275</v>
      </c>
      <c r="C161" s="5">
        <v>1570.0</v>
      </c>
      <c r="D161" s="7" t="s">
        <v>20</v>
      </c>
      <c r="E161" s="2" t="s">
        <v>24</v>
      </c>
      <c r="F161" s="2" t="s">
        <v>27</v>
      </c>
      <c r="G161" s="8" t="str">
        <f>IFERROR(__xludf.DUMMYFUNCTION("REGEXEXTRACT(B161, ""-([^-\s]+)$"")"),"XL")</f>
        <v>XL</v>
      </c>
      <c r="H161" s="2" t="s">
        <v>484</v>
      </c>
      <c r="I161" s="8" t="str">
        <f t="shared" si="1"/>
        <v>48 in</v>
      </c>
      <c r="J161" s="9" t="s">
        <v>916</v>
      </c>
    </row>
    <row r="162">
      <c r="A162" s="4">
        <v>3.4590213E7</v>
      </c>
      <c r="B162" s="1" t="s">
        <v>277</v>
      </c>
      <c r="C162" s="5">
        <v>1570.0</v>
      </c>
      <c r="D162" s="7" t="s">
        <v>20</v>
      </c>
      <c r="E162" s="2" t="s">
        <v>24</v>
      </c>
      <c r="F162" s="2" t="s">
        <v>27</v>
      </c>
      <c r="G162" s="8" t="str">
        <f>IFERROR(__xludf.DUMMYFUNCTION("REGEXEXTRACT(B162, ""-([^-\s]+)$"")"),"L")</f>
        <v>L</v>
      </c>
      <c r="H162" s="2" t="s">
        <v>189</v>
      </c>
      <c r="I162" s="8" t="str">
        <f t="shared" si="1"/>
        <v>46 in</v>
      </c>
      <c r="J162" s="9" t="s">
        <v>917</v>
      </c>
    </row>
    <row r="163">
      <c r="A163" s="4">
        <v>3.4590213E7</v>
      </c>
      <c r="B163" s="1" t="s">
        <v>280</v>
      </c>
      <c r="C163" s="5">
        <v>1570.0</v>
      </c>
      <c r="D163" s="7" t="s">
        <v>20</v>
      </c>
      <c r="E163" s="2" t="s">
        <v>24</v>
      </c>
      <c r="F163" s="2" t="s">
        <v>27</v>
      </c>
      <c r="G163" s="8" t="str">
        <f>IFERROR(__xludf.DUMMYFUNCTION("REGEXEXTRACT(B163, ""-([^-\s]+)$"")"),"M")</f>
        <v>M</v>
      </c>
      <c r="H163" s="2" t="s">
        <v>189</v>
      </c>
      <c r="I163" s="8" t="str">
        <f t="shared" si="1"/>
        <v>44 in</v>
      </c>
      <c r="J163" s="9" t="s">
        <v>917</v>
      </c>
    </row>
    <row r="164">
      <c r="A164" s="4">
        <v>3.4590213E7</v>
      </c>
      <c r="B164" s="1" t="s">
        <v>282</v>
      </c>
      <c r="C164" s="5">
        <v>1570.0</v>
      </c>
      <c r="D164" s="7" t="s">
        <v>20</v>
      </c>
      <c r="E164" s="2" t="s">
        <v>24</v>
      </c>
      <c r="F164" s="2" t="s">
        <v>27</v>
      </c>
      <c r="G164" s="8" t="str">
        <f>IFERROR(__xludf.DUMMYFUNCTION("REGEXEXTRACT(B164, ""-([^-\s]+)$"")"),"S")</f>
        <v>S</v>
      </c>
      <c r="H164" s="2" t="s">
        <v>189</v>
      </c>
      <c r="I164" s="8" t="str">
        <f t="shared" si="1"/>
        <v>42 in</v>
      </c>
      <c r="J164" s="9" t="s">
        <v>917</v>
      </c>
    </row>
    <row r="165">
      <c r="A165" s="4">
        <v>3.4590213E7</v>
      </c>
      <c r="B165" s="1" t="s">
        <v>285</v>
      </c>
      <c r="C165" s="5">
        <v>1570.0</v>
      </c>
      <c r="D165" s="7" t="s">
        <v>20</v>
      </c>
      <c r="E165" s="2" t="s">
        <v>24</v>
      </c>
      <c r="F165" s="2" t="s">
        <v>27</v>
      </c>
      <c r="G165" s="8" t="str">
        <f>IFERROR(__xludf.DUMMYFUNCTION("REGEXEXTRACT(B165, ""-([^-\s]+)$"")"),"XL")</f>
        <v>XL</v>
      </c>
      <c r="H165" s="2" t="s">
        <v>189</v>
      </c>
      <c r="I165" s="8" t="str">
        <f t="shared" si="1"/>
        <v>48 in</v>
      </c>
      <c r="J165" s="9" t="s">
        <v>917</v>
      </c>
    </row>
    <row r="166">
      <c r="A166" s="4">
        <v>3.4590218E7</v>
      </c>
      <c r="B166" s="1" t="s">
        <v>80</v>
      </c>
      <c r="C166" s="5">
        <v>1285.0</v>
      </c>
      <c r="D166" s="7" t="s">
        <v>20</v>
      </c>
      <c r="E166" s="2" t="s">
        <v>24</v>
      </c>
      <c r="F166" s="2" t="s">
        <v>27</v>
      </c>
      <c r="G166" s="8" t="str">
        <f>IFERROR(__xludf.DUMMYFUNCTION("REGEXEXTRACT(B166, ""-([^-\s]+)$"")"),"L")</f>
        <v>L</v>
      </c>
      <c r="H166" s="2" t="s">
        <v>710</v>
      </c>
      <c r="I166" s="8" t="str">
        <f t="shared" si="1"/>
        <v>46 in</v>
      </c>
      <c r="J166" s="9" t="s">
        <v>918</v>
      </c>
    </row>
    <row r="167">
      <c r="A167" s="4">
        <v>3.4590218E7</v>
      </c>
      <c r="B167" s="1" t="s">
        <v>62</v>
      </c>
      <c r="C167" s="5">
        <v>1285.0</v>
      </c>
      <c r="D167" s="7" t="s">
        <v>20</v>
      </c>
      <c r="E167" s="2" t="s">
        <v>24</v>
      </c>
      <c r="F167" s="2" t="s">
        <v>27</v>
      </c>
      <c r="G167" s="8" t="str">
        <f>IFERROR(__xludf.DUMMYFUNCTION("REGEXEXTRACT(B167, ""-([^-\s]+)$"")"),"M")</f>
        <v>M</v>
      </c>
      <c r="H167" s="2" t="s">
        <v>710</v>
      </c>
      <c r="I167" s="8" t="str">
        <f t="shared" si="1"/>
        <v>44 in</v>
      </c>
      <c r="J167" s="9" t="s">
        <v>918</v>
      </c>
    </row>
    <row r="168">
      <c r="A168" s="4">
        <v>3.4590218E7</v>
      </c>
      <c r="B168" s="1" t="s">
        <v>131</v>
      </c>
      <c r="C168" s="5">
        <v>1285.0</v>
      </c>
      <c r="D168" s="7" t="s">
        <v>20</v>
      </c>
      <c r="E168" s="2" t="s">
        <v>24</v>
      </c>
      <c r="F168" s="2" t="s">
        <v>27</v>
      </c>
      <c r="G168" s="8" t="str">
        <f>IFERROR(__xludf.DUMMYFUNCTION("REGEXEXTRACT(B168, ""-([^-\s]+)$"")"),"S")</f>
        <v>S</v>
      </c>
      <c r="H168" s="2" t="s">
        <v>710</v>
      </c>
      <c r="I168" s="8" t="str">
        <f t="shared" si="1"/>
        <v>42 in</v>
      </c>
      <c r="J168" s="9" t="s">
        <v>918</v>
      </c>
    </row>
    <row r="169">
      <c r="A169" s="4">
        <v>3.4590218E7</v>
      </c>
      <c r="B169" s="1" t="s">
        <v>112</v>
      </c>
      <c r="C169" s="5">
        <v>1285.0</v>
      </c>
      <c r="D169" s="7" t="s">
        <v>20</v>
      </c>
      <c r="E169" s="2" t="s">
        <v>24</v>
      </c>
      <c r="F169" s="2" t="s">
        <v>27</v>
      </c>
      <c r="G169" s="8" t="str">
        <f>IFERROR(__xludf.DUMMYFUNCTION("REGEXEXTRACT(B169, ""-([^-\s]+)$"")"),"XL")</f>
        <v>XL</v>
      </c>
      <c r="H169" s="2" t="s">
        <v>710</v>
      </c>
      <c r="I169" s="8" t="str">
        <f t="shared" si="1"/>
        <v>48 in</v>
      </c>
      <c r="J169" s="9" t="s">
        <v>918</v>
      </c>
    </row>
    <row r="170">
      <c r="A170" s="16">
        <v>3.6672976E7</v>
      </c>
      <c r="B170" s="1" t="s">
        <v>292</v>
      </c>
      <c r="C170" s="12">
        <v>1700.0</v>
      </c>
      <c r="D170" s="7" t="s">
        <v>20</v>
      </c>
      <c r="E170" s="2" t="s">
        <v>24</v>
      </c>
      <c r="F170" s="2" t="s">
        <v>27</v>
      </c>
      <c r="G170" s="8" t="str">
        <f>IFERROR(__xludf.DUMMYFUNCTION("REGEXEXTRACT(B170, ""-([^-\s]+)$"")"),"L")</f>
        <v>L</v>
      </c>
      <c r="H170" s="2" t="s">
        <v>710</v>
      </c>
      <c r="I170" s="8" t="str">
        <f t="shared" si="1"/>
        <v>46 in</v>
      </c>
      <c r="J170" s="9" t="s">
        <v>919</v>
      </c>
    </row>
    <row r="171">
      <c r="A171" s="16">
        <v>3.6672976E7</v>
      </c>
      <c r="B171" s="1" t="s">
        <v>294</v>
      </c>
      <c r="C171" s="12">
        <v>1700.0</v>
      </c>
      <c r="D171" s="7" t="s">
        <v>20</v>
      </c>
      <c r="E171" s="2" t="s">
        <v>24</v>
      </c>
      <c r="F171" s="2" t="s">
        <v>27</v>
      </c>
      <c r="G171" s="8" t="str">
        <f>IFERROR(__xludf.DUMMYFUNCTION("REGEXEXTRACT(B171, ""-([^-\s]+)$"")"),"M")</f>
        <v>M</v>
      </c>
      <c r="H171" s="2" t="s">
        <v>710</v>
      </c>
      <c r="I171" s="8" t="str">
        <f t="shared" si="1"/>
        <v>44 in</v>
      </c>
      <c r="J171" s="9" t="s">
        <v>919</v>
      </c>
    </row>
    <row r="172">
      <c r="A172" s="16">
        <v>3.6672976E7</v>
      </c>
      <c r="B172" s="1" t="s">
        <v>296</v>
      </c>
      <c r="C172" s="12">
        <v>1700.0</v>
      </c>
      <c r="D172" s="7" t="s">
        <v>20</v>
      </c>
      <c r="E172" s="2" t="s">
        <v>24</v>
      </c>
      <c r="F172" s="2" t="s">
        <v>27</v>
      </c>
      <c r="G172" s="8" t="str">
        <f>IFERROR(__xludf.DUMMYFUNCTION("REGEXEXTRACT(B172, ""-([^-\s]+)$"")"),"S")</f>
        <v>S</v>
      </c>
      <c r="H172" s="2" t="s">
        <v>710</v>
      </c>
      <c r="I172" s="8" t="str">
        <f t="shared" si="1"/>
        <v>42 in</v>
      </c>
      <c r="J172" s="9" t="s">
        <v>919</v>
      </c>
    </row>
    <row r="173">
      <c r="A173" s="16">
        <v>3.6672976E7</v>
      </c>
      <c r="B173" s="1" t="s">
        <v>298</v>
      </c>
      <c r="C173" s="12">
        <v>1700.0</v>
      </c>
      <c r="D173" s="7" t="s">
        <v>20</v>
      </c>
      <c r="E173" s="2" t="s">
        <v>24</v>
      </c>
      <c r="F173" s="2" t="s">
        <v>27</v>
      </c>
      <c r="G173" s="8" t="str">
        <f>IFERROR(__xludf.DUMMYFUNCTION("REGEXEXTRACT(B173, ""-([^-\s]+)$"")"),"XL")</f>
        <v>XL</v>
      </c>
      <c r="H173" s="2" t="s">
        <v>710</v>
      </c>
      <c r="I173" s="8" t="str">
        <f t="shared" si="1"/>
        <v>48 in</v>
      </c>
      <c r="J173" s="9" t="s">
        <v>919</v>
      </c>
    </row>
    <row r="174">
      <c r="A174" s="4">
        <v>4.2353957E7</v>
      </c>
      <c r="B174" s="1" t="s">
        <v>300</v>
      </c>
      <c r="C174" s="2">
        <v>1999.0</v>
      </c>
      <c r="D174" s="7" t="s">
        <v>20</v>
      </c>
      <c r="E174" s="1" t="s">
        <v>24</v>
      </c>
      <c r="F174" s="2" t="s">
        <v>27</v>
      </c>
      <c r="G174" s="8" t="str">
        <f>IFERROR(__xludf.DUMMYFUNCTION("REGEXEXTRACT(B174, ""-([^-\s]+)$"")"),"L")</f>
        <v>L</v>
      </c>
      <c r="H174" s="2" t="s">
        <v>484</v>
      </c>
      <c r="I174" s="8" t="str">
        <f t="shared" si="1"/>
        <v>46 in</v>
      </c>
      <c r="J174" s="9" t="s">
        <v>920</v>
      </c>
    </row>
    <row r="175">
      <c r="A175" s="4">
        <v>4.2353957E7</v>
      </c>
      <c r="B175" s="1" t="s">
        <v>302</v>
      </c>
      <c r="C175" s="2">
        <v>1999.0</v>
      </c>
      <c r="D175" s="7" t="s">
        <v>20</v>
      </c>
      <c r="E175" s="1" t="s">
        <v>24</v>
      </c>
      <c r="F175" s="2" t="s">
        <v>27</v>
      </c>
      <c r="G175" s="8" t="str">
        <f>IFERROR(__xludf.DUMMYFUNCTION("REGEXEXTRACT(B175, ""-([^-\s]+)$"")"),"M")</f>
        <v>M</v>
      </c>
      <c r="H175" s="2" t="s">
        <v>484</v>
      </c>
      <c r="I175" s="8" t="str">
        <f t="shared" si="1"/>
        <v>44 in</v>
      </c>
      <c r="J175" s="9" t="s">
        <v>920</v>
      </c>
    </row>
    <row r="176">
      <c r="A176" s="4">
        <v>4.2353957E7</v>
      </c>
      <c r="B176" s="1" t="s">
        <v>304</v>
      </c>
      <c r="C176" s="2">
        <v>1999.0</v>
      </c>
      <c r="D176" s="7" t="s">
        <v>20</v>
      </c>
      <c r="E176" s="1" t="s">
        <v>24</v>
      </c>
      <c r="F176" s="2" t="s">
        <v>27</v>
      </c>
      <c r="G176" s="8" t="str">
        <f>IFERROR(__xludf.DUMMYFUNCTION("REGEXEXTRACT(B176, ""-([^-\s]+)$"")"),"S")</f>
        <v>S</v>
      </c>
      <c r="H176" s="2" t="s">
        <v>484</v>
      </c>
      <c r="I176" s="8" t="str">
        <f t="shared" si="1"/>
        <v>42 in</v>
      </c>
      <c r="J176" s="9" t="s">
        <v>920</v>
      </c>
    </row>
    <row r="177">
      <c r="A177" s="4">
        <v>4.2353957E7</v>
      </c>
      <c r="B177" s="1" t="s">
        <v>306</v>
      </c>
      <c r="C177" s="2">
        <v>1999.0</v>
      </c>
      <c r="D177" s="7" t="s">
        <v>20</v>
      </c>
      <c r="E177" s="1" t="s">
        <v>24</v>
      </c>
      <c r="F177" s="2" t="s">
        <v>27</v>
      </c>
      <c r="G177" s="8" t="str">
        <f>IFERROR(__xludf.DUMMYFUNCTION("REGEXEXTRACT(B177, ""-([^-\s]+)$"")"),"XL")</f>
        <v>XL</v>
      </c>
      <c r="H177" s="2" t="s">
        <v>484</v>
      </c>
      <c r="I177" s="8" t="str">
        <f t="shared" si="1"/>
        <v>48 in</v>
      </c>
      <c r="J177" s="9" t="s">
        <v>920</v>
      </c>
    </row>
    <row r="178">
      <c r="A178" s="4">
        <v>3.5357017E7</v>
      </c>
      <c r="B178" s="1" t="s">
        <v>308</v>
      </c>
      <c r="C178" s="5">
        <v>1700.0</v>
      </c>
      <c r="D178" s="7" t="s">
        <v>20</v>
      </c>
      <c r="E178" s="2" t="s">
        <v>24</v>
      </c>
      <c r="F178" s="2" t="s">
        <v>27</v>
      </c>
      <c r="G178" s="8" t="str">
        <f>IFERROR(__xludf.DUMMYFUNCTION("REGEXEXTRACT(B178, ""-([^-\s]+)$"")"),"L")</f>
        <v>L</v>
      </c>
      <c r="H178" s="2" t="s">
        <v>710</v>
      </c>
      <c r="I178" s="8" t="str">
        <f t="shared" si="1"/>
        <v>46 in</v>
      </c>
      <c r="J178" s="9" t="s">
        <v>921</v>
      </c>
    </row>
    <row r="179">
      <c r="A179" s="4">
        <v>3.5357017E7</v>
      </c>
      <c r="B179" s="1" t="s">
        <v>309</v>
      </c>
      <c r="C179" s="5">
        <v>1700.0</v>
      </c>
      <c r="D179" s="7" t="s">
        <v>20</v>
      </c>
      <c r="E179" s="2" t="s">
        <v>24</v>
      </c>
      <c r="F179" s="2" t="s">
        <v>27</v>
      </c>
      <c r="G179" s="8" t="str">
        <f>IFERROR(__xludf.DUMMYFUNCTION("REGEXEXTRACT(B179, ""-([^-\s]+)$"")"),"M")</f>
        <v>M</v>
      </c>
      <c r="H179" s="2" t="s">
        <v>710</v>
      </c>
      <c r="I179" s="8" t="str">
        <f t="shared" si="1"/>
        <v>44 in</v>
      </c>
      <c r="J179" s="9" t="s">
        <v>921</v>
      </c>
    </row>
    <row r="180">
      <c r="A180" s="4">
        <v>3.5357017E7</v>
      </c>
      <c r="B180" s="1" t="s">
        <v>311</v>
      </c>
      <c r="C180" s="5">
        <v>1700.0</v>
      </c>
      <c r="D180" s="7" t="s">
        <v>20</v>
      </c>
      <c r="E180" s="2" t="s">
        <v>24</v>
      </c>
      <c r="F180" s="2" t="s">
        <v>27</v>
      </c>
      <c r="G180" s="8" t="str">
        <f>IFERROR(__xludf.DUMMYFUNCTION("REGEXEXTRACT(B180, ""-([^-\s]+)$"")"),"S")</f>
        <v>S</v>
      </c>
      <c r="H180" s="2" t="s">
        <v>710</v>
      </c>
      <c r="I180" s="8" t="str">
        <f t="shared" si="1"/>
        <v>42 in</v>
      </c>
      <c r="J180" s="9" t="s">
        <v>921</v>
      </c>
    </row>
    <row r="181">
      <c r="A181" s="4">
        <v>3.5357017E7</v>
      </c>
      <c r="B181" s="1" t="s">
        <v>312</v>
      </c>
      <c r="C181" s="5">
        <v>1700.0</v>
      </c>
      <c r="D181" s="7" t="s">
        <v>20</v>
      </c>
      <c r="E181" s="2" t="s">
        <v>24</v>
      </c>
      <c r="F181" s="2" t="s">
        <v>27</v>
      </c>
      <c r="G181" s="8" t="str">
        <f>IFERROR(__xludf.DUMMYFUNCTION("REGEXEXTRACT(B181, ""-([^-\s]+)$"")"),"XL")</f>
        <v>XL</v>
      </c>
      <c r="H181" s="2" t="s">
        <v>710</v>
      </c>
      <c r="I181" s="8" t="str">
        <f t="shared" si="1"/>
        <v>48 in</v>
      </c>
      <c r="J181" s="9" t="s">
        <v>921</v>
      </c>
    </row>
    <row r="182">
      <c r="A182" s="4">
        <v>3.6672979E7</v>
      </c>
      <c r="B182" s="1" t="s">
        <v>314</v>
      </c>
      <c r="C182" s="12">
        <v>2060.0</v>
      </c>
      <c r="D182" s="7" t="s">
        <v>20</v>
      </c>
      <c r="E182" s="1" t="s">
        <v>24</v>
      </c>
      <c r="F182" s="2" t="s">
        <v>27</v>
      </c>
      <c r="G182" s="8" t="str">
        <f>IFERROR(__xludf.DUMMYFUNCTION("REGEXEXTRACT(B182, ""-([^-\s]+)$"")"),"L")</f>
        <v>L</v>
      </c>
      <c r="H182" s="2" t="s">
        <v>148</v>
      </c>
      <c r="I182" s="8" t="str">
        <f t="shared" si="1"/>
        <v>46 in</v>
      </c>
      <c r="J182" s="9" t="s">
        <v>922</v>
      </c>
    </row>
    <row r="183">
      <c r="A183" s="4">
        <v>3.6672979E7</v>
      </c>
      <c r="B183" s="1" t="s">
        <v>315</v>
      </c>
      <c r="C183" s="12">
        <v>2060.0</v>
      </c>
      <c r="D183" s="7" t="s">
        <v>20</v>
      </c>
      <c r="E183" s="1" t="s">
        <v>24</v>
      </c>
      <c r="F183" s="2" t="s">
        <v>27</v>
      </c>
      <c r="G183" s="8" t="str">
        <f>IFERROR(__xludf.DUMMYFUNCTION("REGEXEXTRACT(B183, ""-([^-\s]+)$"")"),"M")</f>
        <v>M</v>
      </c>
      <c r="H183" s="2" t="s">
        <v>148</v>
      </c>
      <c r="I183" s="8" t="str">
        <f t="shared" si="1"/>
        <v>44 in</v>
      </c>
      <c r="J183" s="9" t="s">
        <v>922</v>
      </c>
    </row>
    <row r="184">
      <c r="A184" s="4">
        <v>3.6672979E7</v>
      </c>
      <c r="B184" s="1" t="s">
        <v>317</v>
      </c>
      <c r="C184" s="12">
        <v>2060.0</v>
      </c>
      <c r="D184" s="7" t="s">
        <v>20</v>
      </c>
      <c r="E184" s="1" t="s">
        <v>24</v>
      </c>
      <c r="F184" s="2" t="s">
        <v>27</v>
      </c>
      <c r="G184" s="8" t="str">
        <f>IFERROR(__xludf.DUMMYFUNCTION("REGEXEXTRACT(B184, ""-([^-\s]+)$"")"),"S")</f>
        <v>S</v>
      </c>
      <c r="H184" s="2" t="s">
        <v>148</v>
      </c>
      <c r="I184" s="8" t="str">
        <f t="shared" si="1"/>
        <v>42 in</v>
      </c>
      <c r="J184" s="9" t="s">
        <v>922</v>
      </c>
    </row>
    <row r="185">
      <c r="A185" s="4">
        <v>3.6672979E7</v>
      </c>
      <c r="B185" s="1" t="s">
        <v>318</v>
      </c>
      <c r="C185" s="12">
        <v>2060.0</v>
      </c>
      <c r="D185" s="7" t="s">
        <v>20</v>
      </c>
      <c r="E185" s="1" t="s">
        <v>24</v>
      </c>
      <c r="F185" s="2" t="s">
        <v>27</v>
      </c>
      <c r="G185" s="8" t="str">
        <f>IFERROR(__xludf.DUMMYFUNCTION("REGEXEXTRACT(B185, ""-([^-\s]+)$"")"),"XL")</f>
        <v>XL</v>
      </c>
      <c r="H185" s="2" t="s">
        <v>148</v>
      </c>
      <c r="I185" s="8" t="str">
        <f t="shared" si="1"/>
        <v>48 in</v>
      </c>
      <c r="J185" s="9" t="s">
        <v>922</v>
      </c>
    </row>
    <row r="186">
      <c r="A186" s="4">
        <v>3.4590206E7</v>
      </c>
      <c r="B186" s="1" t="s">
        <v>29</v>
      </c>
      <c r="C186" s="5">
        <v>1285.0</v>
      </c>
      <c r="D186" s="7" t="s">
        <v>20</v>
      </c>
      <c r="E186" s="2" t="s">
        <v>24</v>
      </c>
      <c r="F186" s="2" t="s">
        <v>27</v>
      </c>
      <c r="G186" s="8" t="str">
        <f>IFERROR(__xludf.DUMMYFUNCTION("REGEXEXTRACT(B186, ""-([^-\s]+)$"")"),"L")</f>
        <v>L</v>
      </c>
      <c r="H186" s="2" t="s">
        <v>923</v>
      </c>
      <c r="I186" s="8" t="str">
        <f t="shared" si="1"/>
        <v>46 in</v>
      </c>
      <c r="J186" s="9" t="s">
        <v>924</v>
      </c>
    </row>
    <row r="187">
      <c r="A187" s="4">
        <v>3.4590206E7</v>
      </c>
      <c r="B187" s="1" t="s">
        <v>76</v>
      </c>
      <c r="C187" s="5">
        <v>1285.0</v>
      </c>
      <c r="D187" s="7" t="s">
        <v>20</v>
      </c>
      <c r="E187" s="2" t="s">
        <v>24</v>
      </c>
      <c r="F187" s="2" t="s">
        <v>27</v>
      </c>
      <c r="G187" s="8" t="str">
        <f>IFERROR(__xludf.DUMMYFUNCTION("REGEXEXTRACT(B187, ""-([^-\s]+)$"")"),"M")</f>
        <v>M</v>
      </c>
      <c r="H187" s="2" t="s">
        <v>923</v>
      </c>
      <c r="I187" s="8" t="str">
        <f t="shared" si="1"/>
        <v>44 in</v>
      </c>
      <c r="J187" s="9" t="s">
        <v>924</v>
      </c>
    </row>
    <row r="188">
      <c r="A188" s="4">
        <v>3.4590206E7</v>
      </c>
      <c r="B188" s="1" t="s">
        <v>40</v>
      </c>
      <c r="C188" s="5">
        <v>1285.0</v>
      </c>
      <c r="D188" s="7" t="s">
        <v>20</v>
      </c>
      <c r="E188" s="2" t="s">
        <v>24</v>
      </c>
      <c r="F188" s="2" t="s">
        <v>27</v>
      </c>
      <c r="G188" s="8" t="str">
        <f>IFERROR(__xludf.DUMMYFUNCTION("REGEXEXTRACT(B188, ""-([^-\s]+)$"")"),"S")</f>
        <v>S</v>
      </c>
      <c r="H188" s="2" t="s">
        <v>923</v>
      </c>
      <c r="I188" s="8" t="str">
        <f t="shared" si="1"/>
        <v>42 in</v>
      </c>
      <c r="J188" s="9" t="s">
        <v>924</v>
      </c>
    </row>
    <row r="189">
      <c r="A189" s="4">
        <v>3.4590206E7</v>
      </c>
      <c r="B189" s="1" t="s">
        <v>103</v>
      </c>
      <c r="C189" s="5">
        <v>1285.0</v>
      </c>
      <c r="D189" s="7" t="s">
        <v>20</v>
      </c>
      <c r="E189" s="2" t="s">
        <v>24</v>
      </c>
      <c r="F189" s="2" t="s">
        <v>27</v>
      </c>
      <c r="G189" s="8" t="str">
        <f>IFERROR(__xludf.DUMMYFUNCTION("REGEXEXTRACT(B189, ""-([^-\s]+)$"")"),"XL")</f>
        <v>XL</v>
      </c>
      <c r="H189" s="2" t="s">
        <v>923</v>
      </c>
      <c r="I189" s="8" t="str">
        <f t="shared" si="1"/>
        <v>48 in</v>
      </c>
      <c r="J189" s="9" t="s">
        <v>924</v>
      </c>
    </row>
    <row r="190">
      <c r="A190" s="4">
        <v>3.459024E7</v>
      </c>
      <c r="B190" s="1" t="s">
        <v>324</v>
      </c>
      <c r="C190" s="5">
        <v>1570.0</v>
      </c>
      <c r="D190" s="7" t="s">
        <v>20</v>
      </c>
      <c r="E190" s="2" t="s">
        <v>24</v>
      </c>
      <c r="F190" s="2" t="s">
        <v>27</v>
      </c>
      <c r="G190" s="8" t="str">
        <f>IFERROR(__xludf.DUMMYFUNCTION("REGEXEXTRACT(B190, ""-([^-\s]+)$"")"),"L")</f>
        <v>L</v>
      </c>
      <c r="H190" s="2" t="s">
        <v>484</v>
      </c>
      <c r="I190" s="8" t="str">
        <f t="shared" si="1"/>
        <v>46 in</v>
      </c>
      <c r="J190" s="9" t="s">
        <v>925</v>
      </c>
    </row>
    <row r="191">
      <c r="A191" s="4">
        <v>3.459024E7</v>
      </c>
      <c r="B191" s="1" t="s">
        <v>326</v>
      </c>
      <c r="C191" s="5">
        <v>1570.0</v>
      </c>
      <c r="D191" s="7" t="s">
        <v>20</v>
      </c>
      <c r="E191" s="2" t="s">
        <v>24</v>
      </c>
      <c r="F191" s="2" t="s">
        <v>27</v>
      </c>
      <c r="G191" s="8" t="str">
        <f>IFERROR(__xludf.DUMMYFUNCTION("REGEXEXTRACT(B191, ""-([^-\s]+)$"")"),"M")</f>
        <v>M</v>
      </c>
      <c r="H191" s="2" t="s">
        <v>484</v>
      </c>
      <c r="I191" s="8" t="str">
        <f t="shared" si="1"/>
        <v>44 in</v>
      </c>
      <c r="J191" s="9" t="s">
        <v>925</v>
      </c>
    </row>
    <row r="192">
      <c r="A192" s="4">
        <v>3.459024E7</v>
      </c>
      <c r="B192" s="1" t="s">
        <v>328</v>
      </c>
      <c r="C192" s="5">
        <v>1570.0</v>
      </c>
      <c r="D192" s="7" t="s">
        <v>20</v>
      </c>
      <c r="E192" s="2" t="s">
        <v>24</v>
      </c>
      <c r="F192" s="2" t="s">
        <v>27</v>
      </c>
      <c r="G192" s="8" t="str">
        <f>IFERROR(__xludf.DUMMYFUNCTION("REGEXEXTRACT(B192, ""-([^-\s]+)$"")"),"S")</f>
        <v>S</v>
      </c>
      <c r="H192" s="2" t="s">
        <v>484</v>
      </c>
      <c r="I192" s="8" t="str">
        <f t="shared" si="1"/>
        <v>42 in</v>
      </c>
      <c r="J192" s="9" t="s">
        <v>925</v>
      </c>
    </row>
    <row r="193">
      <c r="A193" s="4">
        <v>3.459024E7</v>
      </c>
      <c r="B193" s="1" t="s">
        <v>330</v>
      </c>
      <c r="C193" s="5">
        <v>1570.0</v>
      </c>
      <c r="D193" s="7" t="s">
        <v>20</v>
      </c>
      <c r="E193" s="2" t="s">
        <v>24</v>
      </c>
      <c r="F193" s="2" t="s">
        <v>27</v>
      </c>
      <c r="G193" s="8" t="str">
        <f>IFERROR(__xludf.DUMMYFUNCTION("REGEXEXTRACT(B193, ""-([^-\s]+)$"")"),"XL")</f>
        <v>XL</v>
      </c>
      <c r="H193" s="2" t="s">
        <v>484</v>
      </c>
      <c r="I193" s="8" t="str">
        <f t="shared" si="1"/>
        <v>48 in</v>
      </c>
      <c r="J193" s="9" t="s">
        <v>925</v>
      </c>
    </row>
    <row r="194">
      <c r="A194" s="4">
        <v>3.5357006E7</v>
      </c>
      <c r="B194" s="1" t="s">
        <v>154</v>
      </c>
      <c r="C194" s="5">
        <v>1285.0</v>
      </c>
      <c r="D194" s="7" t="s">
        <v>20</v>
      </c>
      <c r="E194" s="2" t="s">
        <v>24</v>
      </c>
      <c r="F194" s="2" t="s">
        <v>27</v>
      </c>
      <c r="G194" s="8" t="str">
        <f>IFERROR(__xludf.DUMMYFUNCTION("REGEXEXTRACT(B194, ""-([^-\s]+)$"")"),"L")</f>
        <v>L</v>
      </c>
      <c r="H194" s="2" t="s">
        <v>278</v>
      </c>
      <c r="I194" s="8" t="str">
        <f t="shared" si="1"/>
        <v>46 in</v>
      </c>
      <c r="J194" s="9" t="s">
        <v>926</v>
      </c>
    </row>
    <row r="195">
      <c r="A195" s="4">
        <v>3.5357006E7</v>
      </c>
      <c r="B195" s="1" t="s">
        <v>95</v>
      </c>
      <c r="C195" s="5">
        <v>1285.0</v>
      </c>
      <c r="D195" s="7" t="s">
        <v>20</v>
      </c>
      <c r="E195" s="2" t="s">
        <v>24</v>
      </c>
      <c r="F195" s="2" t="s">
        <v>27</v>
      </c>
      <c r="G195" s="8" t="str">
        <f>IFERROR(__xludf.DUMMYFUNCTION("REGEXEXTRACT(B195, ""-([^-\s]+)$"")"),"M")</f>
        <v>M</v>
      </c>
      <c r="H195" s="2" t="s">
        <v>278</v>
      </c>
      <c r="I195" s="8" t="str">
        <f t="shared" si="1"/>
        <v>44 in</v>
      </c>
      <c r="J195" s="9" t="s">
        <v>927</v>
      </c>
    </row>
    <row r="196">
      <c r="A196" s="4">
        <v>3.5357006E7</v>
      </c>
      <c r="B196" s="1" t="s">
        <v>109</v>
      </c>
      <c r="C196" s="5">
        <v>1285.0</v>
      </c>
      <c r="D196" s="7" t="s">
        <v>20</v>
      </c>
      <c r="E196" s="2" t="s">
        <v>24</v>
      </c>
      <c r="F196" s="2" t="s">
        <v>27</v>
      </c>
      <c r="G196" s="8" t="str">
        <f>IFERROR(__xludf.DUMMYFUNCTION("REGEXEXTRACT(B196, ""-([^-\s]+)$"")"),"S")</f>
        <v>S</v>
      </c>
      <c r="H196" s="2" t="s">
        <v>278</v>
      </c>
      <c r="I196" s="8" t="str">
        <f t="shared" si="1"/>
        <v>42 in</v>
      </c>
      <c r="J196" s="9" t="s">
        <v>927</v>
      </c>
    </row>
    <row r="197">
      <c r="A197" s="4">
        <v>3.5357006E7</v>
      </c>
      <c r="B197" s="1" t="s">
        <v>117</v>
      </c>
      <c r="C197" s="5">
        <v>1285.0</v>
      </c>
      <c r="D197" s="7" t="s">
        <v>20</v>
      </c>
      <c r="E197" s="2" t="s">
        <v>24</v>
      </c>
      <c r="F197" s="2" t="s">
        <v>27</v>
      </c>
      <c r="G197" s="8" t="str">
        <f>IFERROR(__xludf.DUMMYFUNCTION("REGEXEXTRACT(B197, ""-([^-\s]+)$"")"),"XL")</f>
        <v>XL</v>
      </c>
      <c r="H197" s="2" t="s">
        <v>278</v>
      </c>
      <c r="I197" s="8" t="str">
        <f t="shared" si="1"/>
        <v>48 in</v>
      </c>
      <c r="J197" s="9" t="s">
        <v>927</v>
      </c>
    </row>
    <row r="198">
      <c r="A198" s="4">
        <v>3.4590237E7</v>
      </c>
      <c r="B198" s="1" t="s">
        <v>335</v>
      </c>
      <c r="C198" s="5">
        <v>1570.0</v>
      </c>
      <c r="D198" s="7" t="s">
        <v>20</v>
      </c>
      <c r="E198" s="2" t="s">
        <v>24</v>
      </c>
      <c r="F198" s="2" t="s">
        <v>27</v>
      </c>
      <c r="G198" s="8" t="str">
        <f>IFERROR(__xludf.DUMMYFUNCTION("REGEXEXTRACT(B198, ""-([^-\s]+)$"")"),"L")</f>
        <v>L</v>
      </c>
      <c r="H198" s="2" t="s">
        <v>928</v>
      </c>
      <c r="I198" s="8" t="str">
        <f t="shared" si="1"/>
        <v>46 in</v>
      </c>
      <c r="J198" s="9" t="s">
        <v>929</v>
      </c>
    </row>
    <row r="199">
      <c r="A199" s="4">
        <v>3.5356991E7</v>
      </c>
      <c r="B199" s="1" t="s">
        <v>337</v>
      </c>
      <c r="C199" s="5">
        <v>1570.0</v>
      </c>
      <c r="D199" s="7" t="s">
        <v>20</v>
      </c>
      <c r="E199" s="2" t="s">
        <v>24</v>
      </c>
      <c r="F199" s="2" t="s">
        <v>27</v>
      </c>
      <c r="G199" s="8" t="str">
        <f>IFERROR(__xludf.DUMMYFUNCTION("REGEXEXTRACT(B199, ""-([^-\s]+)$"")"),"L")</f>
        <v>L</v>
      </c>
      <c r="H199" s="2" t="s">
        <v>928</v>
      </c>
      <c r="I199" s="8" t="str">
        <f t="shared" si="1"/>
        <v>46 in</v>
      </c>
      <c r="J199" s="9" t="s">
        <v>930</v>
      </c>
    </row>
    <row r="200">
      <c r="A200" s="4">
        <v>4.2353948E7</v>
      </c>
      <c r="B200" s="1" t="s">
        <v>339</v>
      </c>
      <c r="C200" s="2">
        <v>1999.0</v>
      </c>
      <c r="D200" s="7" t="s">
        <v>20</v>
      </c>
      <c r="E200" s="1" t="s">
        <v>24</v>
      </c>
      <c r="F200" s="2" t="s">
        <v>27</v>
      </c>
      <c r="G200" s="8" t="str">
        <f>IFERROR(__xludf.DUMMYFUNCTION("REGEXEXTRACT(B200, ""-([^-\s]+)$"")"),"L")</f>
        <v>L</v>
      </c>
      <c r="H200" s="2" t="s">
        <v>928</v>
      </c>
      <c r="I200" s="8" t="str">
        <f t="shared" si="1"/>
        <v>46 in</v>
      </c>
      <c r="J200" s="9" t="s">
        <v>931</v>
      </c>
    </row>
    <row r="201">
      <c r="A201" s="4">
        <v>3.4590237E7</v>
      </c>
      <c r="B201" s="1" t="s">
        <v>341</v>
      </c>
      <c r="C201" s="5">
        <v>1570.0</v>
      </c>
      <c r="D201" s="7" t="s">
        <v>20</v>
      </c>
      <c r="E201" s="2" t="s">
        <v>24</v>
      </c>
      <c r="F201" s="2" t="s">
        <v>27</v>
      </c>
      <c r="G201" s="8" t="str">
        <f>IFERROR(__xludf.DUMMYFUNCTION("REGEXEXTRACT(B201, ""-([^-\s]+)$"")"),"XL")</f>
        <v>XL</v>
      </c>
      <c r="H201" s="2" t="s">
        <v>928</v>
      </c>
      <c r="I201" s="8" t="str">
        <f t="shared" si="1"/>
        <v>48 in</v>
      </c>
      <c r="J201" s="9" t="s">
        <v>929</v>
      </c>
    </row>
    <row r="202">
      <c r="A202" s="4">
        <v>3.6672975E7</v>
      </c>
      <c r="B202" s="1" t="s">
        <v>343</v>
      </c>
      <c r="C202" s="12">
        <v>2060.0</v>
      </c>
      <c r="D202" s="7" t="s">
        <v>20</v>
      </c>
      <c r="E202" s="1" t="s">
        <v>24</v>
      </c>
      <c r="F202" s="2" t="s">
        <v>27</v>
      </c>
      <c r="G202" s="8" t="str">
        <f>IFERROR(__xludf.DUMMYFUNCTION("REGEXEXTRACT(B202, ""-([^-\s]+)$"")"),"L")</f>
        <v>L</v>
      </c>
      <c r="H202" s="2" t="s">
        <v>932</v>
      </c>
      <c r="I202" s="8" t="str">
        <f t="shared" si="1"/>
        <v>46 in</v>
      </c>
      <c r="J202" s="9" t="s">
        <v>933</v>
      </c>
    </row>
    <row r="203">
      <c r="A203" s="4">
        <v>3.6672975E7</v>
      </c>
      <c r="B203" s="1" t="s">
        <v>347</v>
      </c>
      <c r="C203" s="12">
        <v>2060.0</v>
      </c>
      <c r="D203" s="7" t="s">
        <v>20</v>
      </c>
      <c r="E203" s="1" t="s">
        <v>24</v>
      </c>
      <c r="F203" s="2" t="s">
        <v>27</v>
      </c>
      <c r="G203" s="8" t="str">
        <f>IFERROR(__xludf.DUMMYFUNCTION("REGEXEXTRACT(B203, ""-([^-\s]+)$"")"),"M")</f>
        <v>M</v>
      </c>
      <c r="H203" s="2" t="s">
        <v>932</v>
      </c>
      <c r="I203" s="8" t="str">
        <f t="shared" si="1"/>
        <v>44 in</v>
      </c>
      <c r="J203" s="9" t="s">
        <v>933</v>
      </c>
    </row>
    <row r="204">
      <c r="A204" s="4">
        <v>3.6672975E7</v>
      </c>
      <c r="B204" s="1" t="s">
        <v>350</v>
      </c>
      <c r="C204" s="12">
        <v>2060.0</v>
      </c>
      <c r="D204" s="7" t="s">
        <v>20</v>
      </c>
      <c r="E204" s="1" t="s">
        <v>24</v>
      </c>
      <c r="F204" s="2" t="s">
        <v>27</v>
      </c>
      <c r="G204" s="8" t="str">
        <f>IFERROR(__xludf.DUMMYFUNCTION("REGEXEXTRACT(B204, ""-([^-\s]+)$"")"),"S")</f>
        <v>S</v>
      </c>
      <c r="H204" s="2" t="s">
        <v>932</v>
      </c>
      <c r="I204" s="8" t="str">
        <f t="shared" si="1"/>
        <v>42 in</v>
      </c>
      <c r="J204" s="9" t="s">
        <v>933</v>
      </c>
    </row>
    <row r="205">
      <c r="A205" s="4">
        <v>3.6672975E7</v>
      </c>
      <c r="B205" s="1" t="s">
        <v>352</v>
      </c>
      <c r="C205" s="12">
        <v>2060.0</v>
      </c>
      <c r="D205" s="7" t="s">
        <v>20</v>
      </c>
      <c r="E205" s="1" t="s">
        <v>24</v>
      </c>
      <c r="F205" s="2" t="s">
        <v>27</v>
      </c>
      <c r="G205" s="8" t="str">
        <f>IFERROR(__xludf.DUMMYFUNCTION("REGEXEXTRACT(B205, ""-([^-\s]+)$"")"),"XL")</f>
        <v>XL</v>
      </c>
      <c r="H205" s="2" t="s">
        <v>932</v>
      </c>
      <c r="I205" s="8" t="str">
        <f t="shared" si="1"/>
        <v>48 in</v>
      </c>
      <c r="J205" s="9" t="s">
        <v>933</v>
      </c>
    </row>
    <row r="206">
      <c r="A206" s="4">
        <v>3.4590227E7</v>
      </c>
      <c r="B206" s="1" t="s">
        <v>73</v>
      </c>
      <c r="C206" s="5">
        <v>1285.0</v>
      </c>
      <c r="D206" s="7" t="s">
        <v>20</v>
      </c>
      <c r="E206" s="2" t="s">
        <v>24</v>
      </c>
      <c r="F206" s="2" t="s">
        <v>27</v>
      </c>
      <c r="G206" s="8" t="str">
        <f>IFERROR(__xludf.DUMMYFUNCTION("REGEXEXTRACT(B206, ""-([^-\s]+)$"")"),"L")</f>
        <v>L</v>
      </c>
      <c r="H206" s="2" t="s">
        <v>484</v>
      </c>
      <c r="I206" s="8" t="str">
        <f t="shared" si="1"/>
        <v>46 in</v>
      </c>
      <c r="J206" s="9" t="s">
        <v>934</v>
      </c>
    </row>
    <row r="207">
      <c r="A207" s="4">
        <v>3.4590227E7</v>
      </c>
      <c r="B207" s="1" t="s">
        <v>65</v>
      </c>
      <c r="C207" s="5">
        <v>1285.0</v>
      </c>
      <c r="D207" s="7" t="s">
        <v>20</v>
      </c>
      <c r="E207" s="2" t="s">
        <v>24</v>
      </c>
      <c r="F207" s="2" t="s">
        <v>27</v>
      </c>
      <c r="G207" s="8" t="str">
        <f>IFERROR(__xludf.DUMMYFUNCTION("REGEXEXTRACT(B207, ""-([^-\s]+)$"")"),"M")</f>
        <v>M</v>
      </c>
      <c r="H207" s="2" t="s">
        <v>484</v>
      </c>
      <c r="I207" s="8" t="str">
        <f t="shared" si="1"/>
        <v>44 in</v>
      </c>
      <c r="J207" s="9" t="s">
        <v>934</v>
      </c>
    </row>
    <row r="208">
      <c r="A208" s="4">
        <v>3.4590227E7</v>
      </c>
      <c r="B208" s="1" t="s">
        <v>97</v>
      </c>
      <c r="C208" s="5">
        <v>1285.0</v>
      </c>
      <c r="D208" s="7" t="s">
        <v>20</v>
      </c>
      <c r="E208" s="2" t="s">
        <v>24</v>
      </c>
      <c r="F208" s="2" t="s">
        <v>27</v>
      </c>
      <c r="G208" s="8" t="str">
        <f>IFERROR(__xludf.DUMMYFUNCTION("REGEXEXTRACT(B208, ""-([^-\s]+)$"")"),"S")</f>
        <v>S</v>
      </c>
      <c r="H208" s="2" t="s">
        <v>484</v>
      </c>
      <c r="I208" s="8" t="str">
        <f t="shared" si="1"/>
        <v>42 in</v>
      </c>
      <c r="J208" s="9" t="s">
        <v>934</v>
      </c>
    </row>
    <row r="209">
      <c r="A209" s="4">
        <v>3.4590227E7</v>
      </c>
      <c r="B209" s="1" t="s">
        <v>53</v>
      </c>
      <c r="C209" s="5">
        <v>1285.0</v>
      </c>
      <c r="D209" s="7" t="s">
        <v>20</v>
      </c>
      <c r="E209" s="2" t="s">
        <v>24</v>
      </c>
      <c r="F209" s="2" t="s">
        <v>27</v>
      </c>
      <c r="G209" s="8" t="str">
        <f>IFERROR(__xludf.DUMMYFUNCTION("REGEXEXTRACT(B209, ""-([^-\s]+)$"")"),"XL")</f>
        <v>XL</v>
      </c>
      <c r="H209" s="2" t="s">
        <v>484</v>
      </c>
      <c r="I209" s="8" t="str">
        <f t="shared" si="1"/>
        <v>48 in</v>
      </c>
      <c r="J209" s="9" t="s">
        <v>934</v>
      </c>
    </row>
    <row r="210">
      <c r="A210" s="4">
        <v>3.4590242E7</v>
      </c>
      <c r="B210" s="1" t="s">
        <v>168</v>
      </c>
      <c r="C210" s="5">
        <v>1285.0</v>
      </c>
      <c r="D210" s="7" t="s">
        <v>20</v>
      </c>
      <c r="E210" s="2" t="s">
        <v>24</v>
      </c>
      <c r="F210" s="2" t="s">
        <v>27</v>
      </c>
      <c r="G210" s="8" t="str">
        <f>IFERROR(__xludf.DUMMYFUNCTION("REGEXEXTRACT(B210, ""-([^-\s]+)$"")"),"L")</f>
        <v>L</v>
      </c>
      <c r="H210" s="2" t="s">
        <v>928</v>
      </c>
      <c r="I210" s="8" t="str">
        <f t="shared" si="1"/>
        <v>46 in</v>
      </c>
      <c r="J210" s="9" t="s">
        <v>935</v>
      </c>
    </row>
    <row r="211">
      <c r="A211" s="4">
        <v>4.2353967E7</v>
      </c>
      <c r="B211" s="1" t="s">
        <v>359</v>
      </c>
      <c r="C211" s="2">
        <v>1999.0</v>
      </c>
      <c r="D211" s="7" t="s">
        <v>20</v>
      </c>
      <c r="E211" s="1" t="s">
        <v>24</v>
      </c>
      <c r="F211" s="2" t="s">
        <v>27</v>
      </c>
      <c r="G211" s="8" t="str">
        <f>IFERROR(__xludf.DUMMYFUNCTION("REGEXEXTRACT(B211, ""-([^-\s]+)$"")"),"L")</f>
        <v>L</v>
      </c>
      <c r="H211" s="2" t="s">
        <v>928</v>
      </c>
      <c r="I211" s="8" t="str">
        <f t="shared" si="1"/>
        <v>46 in</v>
      </c>
      <c r="J211" s="9" t="s">
        <v>936</v>
      </c>
    </row>
    <row r="212">
      <c r="A212" s="4">
        <v>4.2353966E7</v>
      </c>
      <c r="B212" s="1" t="s">
        <v>361</v>
      </c>
      <c r="C212" s="2">
        <v>1999.0</v>
      </c>
      <c r="D212" s="7" t="s">
        <v>20</v>
      </c>
      <c r="E212" s="1" t="s">
        <v>24</v>
      </c>
      <c r="F212" s="2" t="s">
        <v>27</v>
      </c>
      <c r="G212" s="8" t="str">
        <f>IFERROR(__xludf.DUMMYFUNCTION("REGEXEXTRACT(B212, ""-([^-\s]+)$"")"),"L")</f>
        <v>L</v>
      </c>
      <c r="H212" s="2" t="s">
        <v>928</v>
      </c>
      <c r="I212" s="8" t="str">
        <f t="shared" si="1"/>
        <v>46 in</v>
      </c>
      <c r="J212" s="9" t="s">
        <v>937</v>
      </c>
    </row>
    <row r="213">
      <c r="A213" s="4">
        <v>3.5356991E7</v>
      </c>
      <c r="B213" s="1" t="s">
        <v>362</v>
      </c>
      <c r="C213" s="5">
        <v>1570.0</v>
      </c>
      <c r="D213" s="7" t="s">
        <v>20</v>
      </c>
      <c r="E213" s="2" t="s">
        <v>24</v>
      </c>
      <c r="F213" s="2" t="s">
        <v>27</v>
      </c>
      <c r="G213" s="8" t="str">
        <f>IFERROR(__xludf.DUMMYFUNCTION("REGEXEXTRACT(B213, ""-([^-\s]+)$"")"),"XL")</f>
        <v>XL</v>
      </c>
      <c r="H213" s="2" t="s">
        <v>928</v>
      </c>
      <c r="I213" s="8" t="str">
        <f t="shared" si="1"/>
        <v>48 in</v>
      </c>
      <c r="J213" s="9" t="s">
        <v>930</v>
      </c>
    </row>
    <row r="214">
      <c r="A214" s="4">
        <v>3.4590219E7</v>
      </c>
      <c r="B214" s="1" t="s">
        <v>171</v>
      </c>
      <c r="C214" s="5">
        <v>1285.0</v>
      </c>
      <c r="D214" s="7" t="s">
        <v>20</v>
      </c>
      <c r="E214" s="2" t="s">
        <v>24</v>
      </c>
      <c r="F214" s="2" t="s">
        <v>27</v>
      </c>
      <c r="G214" s="8" t="str">
        <f>IFERROR(__xludf.DUMMYFUNCTION("REGEXEXTRACT(B214, ""-([^-\s]+)$"")"),"L")</f>
        <v>L</v>
      </c>
      <c r="H214" s="2" t="s">
        <v>938</v>
      </c>
      <c r="I214" s="8" t="str">
        <f t="shared" si="1"/>
        <v>46 in</v>
      </c>
      <c r="J214" s="9" t="s">
        <v>939</v>
      </c>
    </row>
    <row r="215">
      <c r="A215" s="4">
        <v>3.4590219E7</v>
      </c>
      <c r="B215" s="1" t="s">
        <v>175</v>
      </c>
      <c r="C215" s="5">
        <v>1285.0</v>
      </c>
      <c r="D215" s="7" t="s">
        <v>20</v>
      </c>
      <c r="E215" s="2" t="s">
        <v>24</v>
      </c>
      <c r="F215" s="2" t="s">
        <v>27</v>
      </c>
      <c r="G215" s="8" t="str">
        <f>IFERROR(__xludf.DUMMYFUNCTION("REGEXEXTRACT(B215, ""-([^-\s]+)$"")"),"M")</f>
        <v>M</v>
      </c>
      <c r="H215" s="2" t="s">
        <v>938</v>
      </c>
      <c r="I215" s="8" t="str">
        <f t="shared" si="1"/>
        <v>44 in</v>
      </c>
      <c r="J215" s="9" t="s">
        <v>939</v>
      </c>
    </row>
    <row r="216">
      <c r="A216" s="4">
        <v>3.4590219E7</v>
      </c>
      <c r="B216" s="1" t="s">
        <v>174</v>
      </c>
      <c r="C216" s="5">
        <v>1285.0</v>
      </c>
      <c r="D216" s="7" t="s">
        <v>20</v>
      </c>
      <c r="E216" s="2" t="s">
        <v>24</v>
      </c>
      <c r="F216" s="2" t="s">
        <v>27</v>
      </c>
      <c r="G216" s="8" t="str">
        <f>IFERROR(__xludf.DUMMYFUNCTION("REGEXEXTRACT(B216, ""-([^-\s]+)$"")"),"S")</f>
        <v>S</v>
      </c>
      <c r="H216" s="2" t="s">
        <v>938</v>
      </c>
      <c r="I216" s="8" t="str">
        <f t="shared" si="1"/>
        <v>42 in</v>
      </c>
      <c r="J216" s="9" t="s">
        <v>939</v>
      </c>
    </row>
    <row r="217">
      <c r="A217" s="4">
        <v>3.4590219E7</v>
      </c>
      <c r="B217" s="1" t="s">
        <v>173</v>
      </c>
      <c r="C217" s="5">
        <v>1285.0</v>
      </c>
      <c r="D217" s="7" t="s">
        <v>20</v>
      </c>
      <c r="E217" s="2" t="s">
        <v>24</v>
      </c>
      <c r="F217" s="2" t="s">
        <v>27</v>
      </c>
      <c r="G217" s="8" t="str">
        <f>IFERROR(__xludf.DUMMYFUNCTION("REGEXEXTRACT(B217, ""-([^-\s]+)$"")"),"XL")</f>
        <v>XL</v>
      </c>
      <c r="H217" s="2" t="s">
        <v>938</v>
      </c>
      <c r="I217" s="8" t="str">
        <f t="shared" si="1"/>
        <v>48 in</v>
      </c>
      <c r="J217" s="9" t="s">
        <v>939</v>
      </c>
    </row>
    <row r="218">
      <c r="A218" s="4">
        <v>3.5357007E7</v>
      </c>
      <c r="B218" s="1" t="s">
        <v>370</v>
      </c>
      <c r="C218" s="5">
        <v>1700.0</v>
      </c>
      <c r="D218" s="7" t="s">
        <v>20</v>
      </c>
      <c r="E218" s="2" t="s">
        <v>24</v>
      </c>
      <c r="F218" s="2" t="s">
        <v>27</v>
      </c>
      <c r="G218" s="8" t="str">
        <f>IFERROR(__xludf.DUMMYFUNCTION("REGEXEXTRACT(B218, ""-([^-\s]+)$"")"),"L")</f>
        <v>L</v>
      </c>
      <c r="H218" s="2" t="s">
        <v>484</v>
      </c>
      <c r="I218" s="8" t="str">
        <f t="shared" si="1"/>
        <v>46 in</v>
      </c>
      <c r="J218" s="9" t="s">
        <v>940</v>
      </c>
    </row>
    <row r="219">
      <c r="A219" s="4">
        <v>3.5357007E7</v>
      </c>
      <c r="B219" s="1" t="s">
        <v>372</v>
      </c>
      <c r="C219" s="5">
        <v>1700.0</v>
      </c>
      <c r="D219" s="7" t="s">
        <v>20</v>
      </c>
      <c r="E219" s="2" t="s">
        <v>24</v>
      </c>
      <c r="F219" s="2" t="s">
        <v>27</v>
      </c>
      <c r="G219" s="8" t="str">
        <f>IFERROR(__xludf.DUMMYFUNCTION("REGEXEXTRACT(B219, ""-([^-\s]+)$"")"),"M")</f>
        <v>M</v>
      </c>
      <c r="H219" s="2" t="s">
        <v>484</v>
      </c>
      <c r="I219" s="8" t="str">
        <f t="shared" si="1"/>
        <v>44 in</v>
      </c>
      <c r="J219" s="9" t="s">
        <v>940</v>
      </c>
    </row>
    <row r="220">
      <c r="A220" s="4">
        <v>3.5357007E7</v>
      </c>
      <c r="B220" s="1" t="s">
        <v>373</v>
      </c>
      <c r="C220" s="5">
        <v>1700.0</v>
      </c>
      <c r="D220" s="7" t="s">
        <v>20</v>
      </c>
      <c r="E220" s="2" t="s">
        <v>24</v>
      </c>
      <c r="F220" s="2" t="s">
        <v>27</v>
      </c>
      <c r="G220" s="8" t="str">
        <f>IFERROR(__xludf.DUMMYFUNCTION("REGEXEXTRACT(B220, ""-([^-\s]+)$"")"),"S")</f>
        <v>S</v>
      </c>
      <c r="H220" s="2" t="s">
        <v>484</v>
      </c>
      <c r="I220" s="8" t="str">
        <f t="shared" si="1"/>
        <v>42 in</v>
      </c>
      <c r="J220" s="9" t="s">
        <v>940</v>
      </c>
    </row>
    <row r="221">
      <c r="A221" s="4">
        <v>3.5357007E7</v>
      </c>
      <c r="B221" s="1" t="s">
        <v>375</v>
      </c>
      <c r="C221" s="5">
        <v>1700.0</v>
      </c>
      <c r="D221" s="7" t="s">
        <v>20</v>
      </c>
      <c r="E221" s="2" t="s">
        <v>24</v>
      </c>
      <c r="F221" s="2" t="s">
        <v>27</v>
      </c>
      <c r="G221" s="8" t="str">
        <f>IFERROR(__xludf.DUMMYFUNCTION("REGEXEXTRACT(B221, ""-([^-\s]+)$"")"),"XL")</f>
        <v>XL</v>
      </c>
      <c r="H221" s="2" t="s">
        <v>484</v>
      </c>
      <c r="I221" s="8" t="str">
        <f t="shared" si="1"/>
        <v>48 in</v>
      </c>
      <c r="J221" s="9" t="s">
        <v>940</v>
      </c>
    </row>
    <row r="222">
      <c r="A222" s="4">
        <v>3.4590197E7</v>
      </c>
      <c r="B222" s="1" t="s">
        <v>377</v>
      </c>
      <c r="C222" s="5">
        <v>1700.0</v>
      </c>
      <c r="D222" s="7" t="s">
        <v>20</v>
      </c>
      <c r="E222" s="2" t="s">
        <v>24</v>
      </c>
      <c r="F222" s="2" t="s">
        <v>27</v>
      </c>
      <c r="G222" s="8" t="str">
        <f>IFERROR(__xludf.DUMMYFUNCTION("REGEXEXTRACT(B222, ""-([^-\s]+)$"")"),"L")</f>
        <v>L</v>
      </c>
      <c r="H222" s="2" t="s">
        <v>484</v>
      </c>
      <c r="I222" s="8" t="str">
        <f t="shared" si="1"/>
        <v>46 in</v>
      </c>
      <c r="J222" s="9" t="s">
        <v>941</v>
      </c>
    </row>
    <row r="223">
      <c r="A223" s="4">
        <v>3.4590197E7</v>
      </c>
      <c r="B223" s="1" t="s">
        <v>378</v>
      </c>
      <c r="C223" s="5">
        <v>1700.0</v>
      </c>
      <c r="D223" s="7" t="s">
        <v>20</v>
      </c>
      <c r="E223" s="2" t="s">
        <v>24</v>
      </c>
      <c r="F223" s="2" t="s">
        <v>27</v>
      </c>
      <c r="G223" s="8" t="str">
        <f>IFERROR(__xludf.DUMMYFUNCTION("REGEXEXTRACT(B223, ""-([^-\s]+)$"")"),"M")</f>
        <v>M</v>
      </c>
      <c r="H223" s="2" t="s">
        <v>484</v>
      </c>
      <c r="I223" s="8" t="str">
        <f t="shared" si="1"/>
        <v>44 in</v>
      </c>
      <c r="J223" s="9" t="s">
        <v>941</v>
      </c>
    </row>
    <row r="224">
      <c r="A224" s="4">
        <v>3.4590197E7</v>
      </c>
      <c r="B224" s="1" t="s">
        <v>380</v>
      </c>
      <c r="C224" s="5">
        <v>1700.0</v>
      </c>
      <c r="D224" s="7" t="s">
        <v>20</v>
      </c>
      <c r="E224" s="2" t="s">
        <v>24</v>
      </c>
      <c r="F224" s="2" t="s">
        <v>27</v>
      </c>
      <c r="G224" s="8" t="str">
        <f>IFERROR(__xludf.DUMMYFUNCTION("REGEXEXTRACT(B224, ""-([^-\s]+)$"")"),"S")</f>
        <v>S</v>
      </c>
      <c r="H224" s="2" t="s">
        <v>484</v>
      </c>
      <c r="I224" s="8" t="str">
        <f t="shared" si="1"/>
        <v>42 in</v>
      </c>
      <c r="J224" s="9" t="s">
        <v>941</v>
      </c>
    </row>
    <row r="225">
      <c r="A225" s="4">
        <v>3.4590197E7</v>
      </c>
      <c r="B225" s="1" t="s">
        <v>381</v>
      </c>
      <c r="C225" s="5">
        <v>1700.0</v>
      </c>
      <c r="D225" s="7" t="s">
        <v>20</v>
      </c>
      <c r="E225" s="2" t="s">
        <v>24</v>
      </c>
      <c r="F225" s="2" t="s">
        <v>27</v>
      </c>
      <c r="G225" s="8" t="str">
        <f>IFERROR(__xludf.DUMMYFUNCTION("REGEXEXTRACT(B225, ""-([^-\s]+)$"")"),"XL")</f>
        <v>XL</v>
      </c>
      <c r="H225" s="2" t="s">
        <v>484</v>
      </c>
      <c r="I225" s="8" t="str">
        <f t="shared" si="1"/>
        <v>48 in</v>
      </c>
      <c r="J225" s="9" t="s">
        <v>941</v>
      </c>
    </row>
    <row r="226">
      <c r="A226" s="4">
        <v>3.4590231E7</v>
      </c>
      <c r="B226" s="1" t="s">
        <v>383</v>
      </c>
      <c r="C226" s="5">
        <v>1570.0</v>
      </c>
      <c r="D226" s="7" t="s">
        <v>20</v>
      </c>
      <c r="E226" s="2" t="s">
        <v>24</v>
      </c>
      <c r="F226" s="2" t="s">
        <v>27</v>
      </c>
      <c r="G226" s="8" t="str">
        <f>IFERROR(__xludf.DUMMYFUNCTION("REGEXEXTRACT(B226, ""-([^-\s]+)$"")"),"L")</f>
        <v>L</v>
      </c>
      <c r="H226" s="2" t="s">
        <v>484</v>
      </c>
      <c r="I226" s="8" t="str">
        <f t="shared" si="1"/>
        <v>46 in</v>
      </c>
      <c r="J226" s="9" t="s">
        <v>942</v>
      </c>
    </row>
    <row r="227">
      <c r="A227" s="4">
        <v>3.4590231E7</v>
      </c>
      <c r="B227" s="1" t="s">
        <v>384</v>
      </c>
      <c r="C227" s="5">
        <v>1570.0</v>
      </c>
      <c r="D227" s="7" t="s">
        <v>20</v>
      </c>
      <c r="E227" s="2" t="s">
        <v>24</v>
      </c>
      <c r="F227" s="2" t="s">
        <v>27</v>
      </c>
      <c r="G227" s="8" t="str">
        <f>IFERROR(__xludf.DUMMYFUNCTION("REGEXEXTRACT(B227, ""-([^-\s]+)$"")"),"M")</f>
        <v>M</v>
      </c>
      <c r="H227" s="2" t="s">
        <v>484</v>
      </c>
      <c r="I227" s="8" t="str">
        <f t="shared" si="1"/>
        <v>44 in</v>
      </c>
      <c r="J227" s="9" t="s">
        <v>942</v>
      </c>
    </row>
    <row r="228">
      <c r="A228" s="4">
        <v>3.4590231E7</v>
      </c>
      <c r="B228" s="1" t="s">
        <v>386</v>
      </c>
      <c r="C228" s="5">
        <v>1570.0</v>
      </c>
      <c r="D228" s="7" t="s">
        <v>20</v>
      </c>
      <c r="E228" s="2" t="s">
        <v>24</v>
      </c>
      <c r="F228" s="2" t="s">
        <v>27</v>
      </c>
      <c r="G228" s="8" t="str">
        <f>IFERROR(__xludf.DUMMYFUNCTION("REGEXEXTRACT(B228, ""-([^-\s]+)$"")"),"S")</f>
        <v>S</v>
      </c>
      <c r="H228" s="2" t="s">
        <v>484</v>
      </c>
      <c r="I228" s="8" t="str">
        <f t="shared" si="1"/>
        <v>42 in</v>
      </c>
      <c r="J228" s="9" t="s">
        <v>942</v>
      </c>
    </row>
    <row r="229">
      <c r="A229" s="4">
        <v>3.4590231E7</v>
      </c>
      <c r="B229" s="1" t="s">
        <v>387</v>
      </c>
      <c r="C229" s="5">
        <v>1570.0</v>
      </c>
      <c r="D229" s="7" t="s">
        <v>20</v>
      </c>
      <c r="E229" s="2" t="s">
        <v>24</v>
      </c>
      <c r="F229" s="2" t="s">
        <v>27</v>
      </c>
      <c r="G229" s="8" t="str">
        <f>IFERROR(__xludf.DUMMYFUNCTION("REGEXEXTRACT(B229, ""-([^-\s]+)$"")"),"XL")</f>
        <v>XL</v>
      </c>
      <c r="H229" s="2" t="s">
        <v>484</v>
      </c>
      <c r="I229" s="8" t="str">
        <f t="shared" si="1"/>
        <v>48 in</v>
      </c>
      <c r="J229" s="9" t="s">
        <v>942</v>
      </c>
    </row>
    <row r="230">
      <c r="A230" s="4">
        <v>3.5356969E7</v>
      </c>
      <c r="B230" s="1" t="s">
        <v>388</v>
      </c>
      <c r="C230" s="5">
        <v>1570.0</v>
      </c>
      <c r="D230" s="7" t="s">
        <v>20</v>
      </c>
      <c r="E230" s="2" t="s">
        <v>24</v>
      </c>
      <c r="F230" s="2" t="s">
        <v>27</v>
      </c>
      <c r="G230" s="8" t="str">
        <f>IFERROR(__xludf.DUMMYFUNCTION("REGEXEXTRACT(B230, ""-([^-\s]+)$"")"),"L")</f>
        <v>L</v>
      </c>
      <c r="H230" s="2" t="s">
        <v>928</v>
      </c>
      <c r="I230" s="8" t="str">
        <f t="shared" si="1"/>
        <v>46 in</v>
      </c>
      <c r="J230" s="9" t="s">
        <v>943</v>
      </c>
    </row>
    <row r="231">
      <c r="A231" s="4">
        <v>3.4590226E7</v>
      </c>
      <c r="B231" s="1" t="s">
        <v>389</v>
      </c>
      <c r="C231" s="5">
        <v>1570.0</v>
      </c>
      <c r="D231" s="7" t="s">
        <v>20</v>
      </c>
      <c r="E231" s="2" t="s">
        <v>24</v>
      </c>
      <c r="F231" s="2" t="s">
        <v>27</v>
      </c>
      <c r="G231" s="8" t="str">
        <f>IFERROR(__xludf.DUMMYFUNCTION("REGEXEXTRACT(B231, ""-([^-\s]+)$"")"),"L")</f>
        <v>L</v>
      </c>
      <c r="H231" s="2" t="s">
        <v>928</v>
      </c>
      <c r="I231" s="8" t="str">
        <f t="shared" si="1"/>
        <v>46 in</v>
      </c>
      <c r="J231" s="9" t="s">
        <v>944</v>
      </c>
    </row>
    <row r="232">
      <c r="A232" s="4">
        <v>4.2353963E7</v>
      </c>
      <c r="B232" s="1" t="s">
        <v>390</v>
      </c>
      <c r="C232" s="2">
        <v>1999.0</v>
      </c>
      <c r="D232" s="7" t="s">
        <v>20</v>
      </c>
      <c r="E232" s="1" t="s">
        <v>24</v>
      </c>
      <c r="F232" s="2" t="s">
        <v>27</v>
      </c>
      <c r="G232" s="8" t="str">
        <f>IFERROR(__xludf.DUMMYFUNCTION("REGEXEXTRACT(B232, ""-([^-\s]+)$"")"),"L")</f>
        <v>L</v>
      </c>
      <c r="H232" s="2" t="s">
        <v>928</v>
      </c>
      <c r="I232" s="8" t="str">
        <f t="shared" si="1"/>
        <v>46 in</v>
      </c>
      <c r="J232" s="9" t="s">
        <v>945</v>
      </c>
    </row>
    <row r="233">
      <c r="A233" s="4">
        <v>4.2353948E7</v>
      </c>
      <c r="B233" s="1" t="s">
        <v>391</v>
      </c>
      <c r="C233" s="2">
        <v>1999.0</v>
      </c>
      <c r="D233" s="7" t="s">
        <v>20</v>
      </c>
      <c r="E233" s="1" t="s">
        <v>24</v>
      </c>
      <c r="F233" s="2" t="s">
        <v>27</v>
      </c>
      <c r="G233" s="8" t="str">
        <f>IFERROR(__xludf.DUMMYFUNCTION("REGEXEXTRACT(B233, ""-([^-\s]+)$"")"),"XL")</f>
        <v>XL</v>
      </c>
      <c r="H233" s="2" t="s">
        <v>928</v>
      </c>
      <c r="I233" s="8" t="str">
        <f t="shared" si="1"/>
        <v>48 in</v>
      </c>
      <c r="J233" s="9" t="s">
        <v>931</v>
      </c>
    </row>
    <row r="234">
      <c r="A234" s="4">
        <v>3.4590233E7</v>
      </c>
      <c r="B234" s="1" t="s">
        <v>392</v>
      </c>
      <c r="C234" s="5">
        <v>1570.0</v>
      </c>
      <c r="D234" s="7" t="s">
        <v>20</v>
      </c>
      <c r="E234" s="2" t="s">
        <v>24</v>
      </c>
      <c r="F234" s="2" t="s">
        <v>27</v>
      </c>
      <c r="G234" s="8" t="str">
        <f>IFERROR(__xludf.DUMMYFUNCTION("REGEXEXTRACT(B234, ""-([^-\s]+)$"")"),"L")</f>
        <v>L</v>
      </c>
      <c r="H234" s="2" t="s">
        <v>946</v>
      </c>
      <c r="I234" s="8" t="str">
        <f t="shared" si="1"/>
        <v>46 in</v>
      </c>
      <c r="J234" s="9" t="s">
        <v>947</v>
      </c>
    </row>
    <row r="235">
      <c r="A235" s="4">
        <v>3.4590233E7</v>
      </c>
      <c r="B235" s="1" t="s">
        <v>393</v>
      </c>
      <c r="C235" s="5">
        <v>1570.0</v>
      </c>
      <c r="D235" s="7" t="s">
        <v>20</v>
      </c>
      <c r="E235" s="2" t="s">
        <v>24</v>
      </c>
      <c r="F235" s="2" t="s">
        <v>27</v>
      </c>
      <c r="G235" s="8" t="str">
        <f>IFERROR(__xludf.DUMMYFUNCTION("REGEXEXTRACT(B235, ""-([^-\s]+)$"")"),"M")</f>
        <v>M</v>
      </c>
      <c r="H235" s="2" t="s">
        <v>946</v>
      </c>
      <c r="I235" s="8" t="str">
        <f t="shared" si="1"/>
        <v>44 in</v>
      </c>
      <c r="J235" s="9" t="s">
        <v>947</v>
      </c>
    </row>
    <row r="236">
      <c r="A236" s="4">
        <v>3.4590233E7</v>
      </c>
      <c r="B236" s="1" t="s">
        <v>394</v>
      </c>
      <c r="C236" s="5">
        <v>1570.0</v>
      </c>
      <c r="D236" s="7" t="s">
        <v>20</v>
      </c>
      <c r="E236" s="2" t="s">
        <v>24</v>
      </c>
      <c r="F236" s="2" t="s">
        <v>27</v>
      </c>
      <c r="G236" s="8" t="str">
        <f>IFERROR(__xludf.DUMMYFUNCTION("REGEXEXTRACT(B236, ""-([^-\s]+)$"")"),"S")</f>
        <v>S</v>
      </c>
      <c r="H236" s="2" t="s">
        <v>946</v>
      </c>
      <c r="I236" s="8" t="str">
        <f t="shared" si="1"/>
        <v>42 in</v>
      </c>
      <c r="J236" s="9" t="s">
        <v>947</v>
      </c>
    </row>
    <row r="237">
      <c r="A237" s="4">
        <v>3.4590233E7</v>
      </c>
      <c r="B237" s="1" t="s">
        <v>395</v>
      </c>
      <c r="C237" s="5">
        <v>1570.0</v>
      </c>
      <c r="D237" s="7" t="s">
        <v>20</v>
      </c>
      <c r="E237" s="2" t="s">
        <v>24</v>
      </c>
      <c r="F237" s="2" t="s">
        <v>27</v>
      </c>
      <c r="G237" s="8" t="str">
        <f>IFERROR(__xludf.DUMMYFUNCTION("REGEXEXTRACT(B237, ""-([^-\s]+)$"")"),"XL")</f>
        <v>XL</v>
      </c>
      <c r="H237" s="2" t="s">
        <v>946</v>
      </c>
      <c r="I237" s="8" t="str">
        <f t="shared" si="1"/>
        <v>48 in</v>
      </c>
      <c r="J237" s="9" t="s">
        <v>947</v>
      </c>
    </row>
    <row r="238">
      <c r="A238" s="4">
        <v>4.2353962E7</v>
      </c>
      <c r="B238" s="1" t="s">
        <v>396</v>
      </c>
      <c r="C238" s="2">
        <v>1999.0</v>
      </c>
      <c r="D238" s="7" t="s">
        <v>20</v>
      </c>
      <c r="E238" s="1" t="s">
        <v>24</v>
      </c>
      <c r="F238" s="2" t="s">
        <v>27</v>
      </c>
      <c r="G238" s="8" t="str">
        <f>IFERROR(__xludf.DUMMYFUNCTION("REGEXEXTRACT(B238, ""-([^-\s]+)$"")"),"L")</f>
        <v>L</v>
      </c>
      <c r="H238" s="2" t="s">
        <v>278</v>
      </c>
      <c r="I238" s="8" t="str">
        <f t="shared" si="1"/>
        <v>46 in</v>
      </c>
      <c r="J238" s="9" t="s">
        <v>948</v>
      </c>
    </row>
    <row r="239">
      <c r="A239" s="4">
        <v>4.2353962E7</v>
      </c>
      <c r="B239" s="1" t="s">
        <v>397</v>
      </c>
      <c r="C239" s="2">
        <v>1999.0</v>
      </c>
      <c r="D239" s="7" t="s">
        <v>20</v>
      </c>
      <c r="E239" s="1" t="s">
        <v>24</v>
      </c>
      <c r="F239" s="2" t="s">
        <v>27</v>
      </c>
      <c r="G239" s="8" t="str">
        <f>IFERROR(__xludf.DUMMYFUNCTION("REGEXEXTRACT(B239, ""-([^-\s]+)$"")"),"M")</f>
        <v>M</v>
      </c>
      <c r="H239" s="2" t="s">
        <v>278</v>
      </c>
      <c r="I239" s="8" t="str">
        <f t="shared" si="1"/>
        <v>44 in</v>
      </c>
      <c r="J239" s="9" t="s">
        <v>948</v>
      </c>
    </row>
    <row r="240">
      <c r="A240" s="4">
        <v>4.2353962E7</v>
      </c>
      <c r="B240" s="1" t="s">
        <v>398</v>
      </c>
      <c r="C240" s="2">
        <v>1999.0</v>
      </c>
      <c r="D240" s="7" t="s">
        <v>20</v>
      </c>
      <c r="E240" s="1" t="s">
        <v>24</v>
      </c>
      <c r="F240" s="2" t="s">
        <v>27</v>
      </c>
      <c r="G240" s="8" t="str">
        <f>IFERROR(__xludf.DUMMYFUNCTION("REGEXEXTRACT(B240, ""-([^-\s]+)$"")"),"S")</f>
        <v>S</v>
      </c>
      <c r="H240" s="2" t="s">
        <v>278</v>
      </c>
      <c r="I240" s="8" t="str">
        <f t="shared" si="1"/>
        <v>42 in</v>
      </c>
      <c r="J240" s="9" t="s">
        <v>948</v>
      </c>
    </row>
    <row r="241">
      <c r="A241" s="4">
        <v>4.2353962E7</v>
      </c>
      <c r="B241" s="1" t="s">
        <v>399</v>
      </c>
      <c r="C241" s="2">
        <v>1999.0</v>
      </c>
      <c r="D241" s="7" t="s">
        <v>20</v>
      </c>
      <c r="E241" s="1" t="s">
        <v>24</v>
      </c>
      <c r="F241" s="2" t="s">
        <v>27</v>
      </c>
      <c r="G241" s="8" t="str">
        <f>IFERROR(__xludf.DUMMYFUNCTION("REGEXEXTRACT(B241, ""-([^-\s]+)$"")"),"XL")</f>
        <v>XL</v>
      </c>
      <c r="H241" s="2" t="s">
        <v>278</v>
      </c>
      <c r="I241" s="8" t="str">
        <f t="shared" si="1"/>
        <v>48 in</v>
      </c>
      <c r="J241" s="9" t="s">
        <v>948</v>
      </c>
    </row>
    <row r="242">
      <c r="A242" s="4">
        <v>4.2353951E7</v>
      </c>
      <c r="B242" s="1" t="s">
        <v>401</v>
      </c>
      <c r="C242" s="2">
        <v>1999.0</v>
      </c>
      <c r="D242" s="7" t="s">
        <v>20</v>
      </c>
      <c r="E242" s="1" t="s">
        <v>24</v>
      </c>
      <c r="F242" s="2" t="s">
        <v>27</v>
      </c>
      <c r="G242" s="8" t="str">
        <f>IFERROR(__xludf.DUMMYFUNCTION("REGEXEXTRACT(B242, ""-([^-\s]+)$"")"),"L")</f>
        <v>L</v>
      </c>
      <c r="H242" s="2" t="s">
        <v>148</v>
      </c>
      <c r="I242" s="8" t="str">
        <f t="shared" si="1"/>
        <v>46 in</v>
      </c>
      <c r="J242" s="9" t="s">
        <v>949</v>
      </c>
    </row>
    <row r="243">
      <c r="A243" s="4">
        <v>4.2353951E7</v>
      </c>
      <c r="B243" s="1" t="s">
        <v>402</v>
      </c>
      <c r="C243" s="2">
        <v>1999.0</v>
      </c>
      <c r="D243" s="7" t="s">
        <v>20</v>
      </c>
      <c r="E243" s="1" t="s">
        <v>24</v>
      </c>
      <c r="F243" s="2" t="s">
        <v>27</v>
      </c>
      <c r="G243" s="8" t="str">
        <f>IFERROR(__xludf.DUMMYFUNCTION("REGEXEXTRACT(B243, ""-([^-\s]+)$"")"),"M")</f>
        <v>M</v>
      </c>
      <c r="H243" s="2" t="s">
        <v>148</v>
      </c>
      <c r="I243" s="8" t="str">
        <f t="shared" si="1"/>
        <v>44 in</v>
      </c>
      <c r="J243" s="9" t="s">
        <v>949</v>
      </c>
    </row>
    <row r="244">
      <c r="A244" s="4">
        <v>4.2353951E7</v>
      </c>
      <c r="B244" s="1" t="s">
        <v>403</v>
      </c>
      <c r="C244" s="2">
        <v>1999.0</v>
      </c>
      <c r="D244" s="7" t="s">
        <v>20</v>
      </c>
      <c r="E244" s="1" t="s">
        <v>24</v>
      </c>
      <c r="F244" s="2" t="s">
        <v>27</v>
      </c>
      <c r="G244" s="8" t="str">
        <f>IFERROR(__xludf.DUMMYFUNCTION("REGEXEXTRACT(B244, ""-([^-\s]+)$"")"),"S")</f>
        <v>S</v>
      </c>
      <c r="H244" s="2" t="s">
        <v>148</v>
      </c>
      <c r="I244" s="8" t="str">
        <f t="shared" si="1"/>
        <v>42 in</v>
      </c>
      <c r="J244" s="9" t="s">
        <v>949</v>
      </c>
    </row>
    <row r="245">
      <c r="A245" s="4">
        <v>4.2353951E7</v>
      </c>
      <c r="B245" s="1" t="s">
        <v>405</v>
      </c>
      <c r="C245" s="2">
        <v>1999.0</v>
      </c>
      <c r="D245" s="7" t="s">
        <v>20</v>
      </c>
      <c r="E245" s="1" t="s">
        <v>24</v>
      </c>
      <c r="F245" s="2" t="s">
        <v>27</v>
      </c>
      <c r="G245" s="8" t="str">
        <f>IFERROR(__xludf.DUMMYFUNCTION("REGEXEXTRACT(B245, ""-([^-\s]+)$"")"),"XL")</f>
        <v>XL</v>
      </c>
      <c r="H245" s="2" t="s">
        <v>148</v>
      </c>
      <c r="I245" s="8" t="str">
        <f t="shared" si="1"/>
        <v>48 in</v>
      </c>
      <c r="J245" s="9" t="s">
        <v>949</v>
      </c>
    </row>
    <row r="246">
      <c r="A246" s="4">
        <v>3.6672977E7</v>
      </c>
      <c r="B246" s="1" t="s">
        <v>406</v>
      </c>
      <c r="C246" s="12">
        <v>1700.0</v>
      </c>
      <c r="D246" s="7" t="s">
        <v>20</v>
      </c>
      <c r="E246" s="1" t="s">
        <v>24</v>
      </c>
      <c r="F246" s="2" t="s">
        <v>27</v>
      </c>
      <c r="G246" s="8" t="str">
        <f>IFERROR(__xludf.DUMMYFUNCTION("REGEXEXTRACT(B246, ""-([^-\s]+)$"")"),"L")</f>
        <v>L</v>
      </c>
      <c r="H246" s="2" t="s">
        <v>950</v>
      </c>
      <c r="I246" s="8" t="str">
        <f t="shared" si="1"/>
        <v>46 in</v>
      </c>
      <c r="J246" s="9" t="s">
        <v>951</v>
      </c>
    </row>
    <row r="247">
      <c r="A247" s="4">
        <v>3.6672977E7</v>
      </c>
      <c r="B247" s="1" t="s">
        <v>408</v>
      </c>
      <c r="C247" s="12">
        <v>1700.0</v>
      </c>
      <c r="D247" s="7" t="s">
        <v>20</v>
      </c>
      <c r="E247" s="1" t="s">
        <v>24</v>
      </c>
      <c r="F247" s="2" t="s">
        <v>27</v>
      </c>
      <c r="G247" s="8" t="str">
        <f>IFERROR(__xludf.DUMMYFUNCTION("REGEXEXTRACT(B247, ""-([^-\s]+)$"")"),"M")</f>
        <v>M</v>
      </c>
      <c r="H247" s="2" t="s">
        <v>950</v>
      </c>
      <c r="I247" s="8" t="str">
        <f t="shared" si="1"/>
        <v>44 in</v>
      </c>
      <c r="J247" s="9" t="s">
        <v>951</v>
      </c>
    </row>
    <row r="248">
      <c r="A248" s="4">
        <v>3.6672977E7</v>
      </c>
      <c r="B248" s="1" t="s">
        <v>409</v>
      </c>
      <c r="C248" s="12">
        <v>1700.0</v>
      </c>
      <c r="D248" s="7" t="s">
        <v>20</v>
      </c>
      <c r="E248" s="1" t="s">
        <v>24</v>
      </c>
      <c r="F248" s="2" t="s">
        <v>27</v>
      </c>
      <c r="G248" s="8" t="str">
        <f>IFERROR(__xludf.DUMMYFUNCTION("REGEXEXTRACT(B248, ""-([^-\s]+)$"")"),"S")</f>
        <v>S</v>
      </c>
      <c r="H248" s="2" t="s">
        <v>950</v>
      </c>
      <c r="I248" s="8" t="str">
        <f t="shared" si="1"/>
        <v>42 in</v>
      </c>
      <c r="J248" s="9" t="s">
        <v>951</v>
      </c>
    </row>
    <row r="249">
      <c r="A249" s="4">
        <v>3.6672977E7</v>
      </c>
      <c r="B249" s="1" t="s">
        <v>411</v>
      </c>
      <c r="C249" s="12">
        <v>1700.0</v>
      </c>
      <c r="D249" s="7" t="s">
        <v>20</v>
      </c>
      <c r="E249" s="1" t="s">
        <v>24</v>
      </c>
      <c r="F249" s="2" t="s">
        <v>27</v>
      </c>
      <c r="G249" s="8" t="str">
        <f>IFERROR(__xludf.DUMMYFUNCTION("REGEXEXTRACT(B249, ""-([^-\s]+)$"")"),"XL")</f>
        <v>XL</v>
      </c>
      <c r="H249" s="2" t="s">
        <v>950</v>
      </c>
      <c r="I249" s="8" t="str">
        <f t="shared" si="1"/>
        <v>48 in</v>
      </c>
      <c r="J249" s="9" t="s">
        <v>951</v>
      </c>
    </row>
    <row r="250">
      <c r="A250" s="4">
        <v>4.2353958E7</v>
      </c>
      <c r="B250" s="1" t="s">
        <v>412</v>
      </c>
      <c r="C250" s="2">
        <v>1999.0</v>
      </c>
      <c r="D250" s="7" t="s">
        <v>20</v>
      </c>
      <c r="E250" s="1" t="s">
        <v>24</v>
      </c>
      <c r="F250" s="2" t="s">
        <v>27</v>
      </c>
      <c r="G250" s="8" t="str">
        <f>IFERROR(__xludf.DUMMYFUNCTION("REGEXEXTRACT(B250, ""-([^-\s]+)$"")"),"L")</f>
        <v>L</v>
      </c>
      <c r="H250" s="2" t="s">
        <v>928</v>
      </c>
      <c r="I250" s="8" t="str">
        <f t="shared" si="1"/>
        <v>46 in</v>
      </c>
      <c r="J250" s="9" t="s">
        <v>952</v>
      </c>
    </row>
    <row r="251">
      <c r="A251" s="2">
        <v>3.7332284E7</v>
      </c>
      <c r="B251" s="1" t="s">
        <v>413</v>
      </c>
      <c r="C251" s="4">
        <v>1999.0</v>
      </c>
      <c r="D251" s="7" t="s">
        <v>20</v>
      </c>
      <c r="E251" s="1" t="s">
        <v>24</v>
      </c>
      <c r="F251" s="2" t="s">
        <v>27</v>
      </c>
      <c r="G251" s="8" t="str">
        <f>IFERROR(__xludf.DUMMYFUNCTION("REGEXEXTRACT(B251, ""-([^-\s]+)$"")"),"L")</f>
        <v>L</v>
      </c>
      <c r="H251" s="2" t="s">
        <v>928</v>
      </c>
      <c r="I251" s="8" t="str">
        <f t="shared" si="1"/>
        <v>46 in</v>
      </c>
      <c r="J251" s="9" t="s">
        <v>953</v>
      </c>
    </row>
    <row r="252">
      <c r="A252" s="4">
        <v>3.667298E7</v>
      </c>
      <c r="B252" s="1" t="s">
        <v>415</v>
      </c>
      <c r="C252" s="12">
        <v>1855.0</v>
      </c>
      <c r="D252" s="7" t="s">
        <v>20</v>
      </c>
      <c r="E252" s="1" t="s">
        <v>24</v>
      </c>
      <c r="F252" s="2" t="s">
        <v>27</v>
      </c>
      <c r="G252" s="8" t="str">
        <f>IFERROR(__xludf.DUMMYFUNCTION("REGEXEXTRACT(B252, ""-([^-\s]+)$"")"),"L")</f>
        <v>L</v>
      </c>
      <c r="H252" s="2" t="s">
        <v>928</v>
      </c>
      <c r="I252" s="8" t="str">
        <f t="shared" si="1"/>
        <v>46 in</v>
      </c>
      <c r="J252" s="9" t="s">
        <v>954</v>
      </c>
    </row>
    <row r="253">
      <c r="A253" s="4">
        <v>3.4590242E7</v>
      </c>
      <c r="B253" s="1" t="s">
        <v>166</v>
      </c>
      <c r="C253" s="5">
        <v>1285.0</v>
      </c>
      <c r="D253" s="7" t="s">
        <v>20</v>
      </c>
      <c r="E253" s="2" t="s">
        <v>24</v>
      </c>
      <c r="F253" s="2" t="s">
        <v>27</v>
      </c>
      <c r="G253" s="8" t="str">
        <f>IFERROR(__xludf.DUMMYFUNCTION("REGEXEXTRACT(B253, ""-([^-\s]+)$"")"),"XL")</f>
        <v>XL</v>
      </c>
      <c r="H253" s="2" t="s">
        <v>928</v>
      </c>
      <c r="I253" s="8" t="str">
        <f t="shared" si="1"/>
        <v>48 in</v>
      </c>
      <c r="J253" s="9" t="s">
        <v>935</v>
      </c>
    </row>
    <row r="254">
      <c r="A254" s="4">
        <v>3.5356996E7</v>
      </c>
      <c r="B254" s="1" t="s">
        <v>417</v>
      </c>
      <c r="C254" s="5">
        <v>1570.0</v>
      </c>
      <c r="D254" s="7" t="s">
        <v>20</v>
      </c>
      <c r="E254" s="2" t="s">
        <v>24</v>
      </c>
      <c r="F254" s="2" t="s">
        <v>27</v>
      </c>
      <c r="G254" s="8" t="str">
        <f>IFERROR(__xludf.DUMMYFUNCTION("REGEXEXTRACT(B254, ""-([^-\s]+)$"")"),"L")</f>
        <v>L</v>
      </c>
      <c r="H254" s="2" t="s">
        <v>484</v>
      </c>
      <c r="I254" s="8" t="str">
        <f t="shared" si="1"/>
        <v>46 in</v>
      </c>
      <c r="J254" s="9" t="s">
        <v>955</v>
      </c>
    </row>
    <row r="255">
      <c r="A255" s="4">
        <v>3.5356996E7</v>
      </c>
      <c r="B255" s="1" t="s">
        <v>418</v>
      </c>
      <c r="C255" s="5">
        <v>1570.0</v>
      </c>
      <c r="D255" s="7" t="s">
        <v>20</v>
      </c>
      <c r="E255" s="2" t="s">
        <v>24</v>
      </c>
      <c r="F255" s="2" t="s">
        <v>27</v>
      </c>
      <c r="G255" s="8" t="str">
        <f>IFERROR(__xludf.DUMMYFUNCTION("REGEXEXTRACT(B255, ""-([^-\s]+)$"")"),"M")</f>
        <v>M</v>
      </c>
      <c r="H255" s="2" t="s">
        <v>484</v>
      </c>
      <c r="I255" s="8" t="str">
        <f t="shared" si="1"/>
        <v>44 in</v>
      </c>
      <c r="J255" s="9" t="s">
        <v>955</v>
      </c>
    </row>
    <row r="256">
      <c r="A256" s="4">
        <v>3.5356996E7</v>
      </c>
      <c r="B256" s="1" t="s">
        <v>420</v>
      </c>
      <c r="C256" s="5">
        <v>1570.0</v>
      </c>
      <c r="D256" s="7" t="s">
        <v>20</v>
      </c>
      <c r="E256" s="2" t="s">
        <v>24</v>
      </c>
      <c r="F256" s="2" t="s">
        <v>27</v>
      </c>
      <c r="G256" s="8" t="str">
        <f>IFERROR(__xludf.DUMMYFUNCTION("REGEXEXTRACT(B256, ""-([^-\s]+)$"")"),"S")</f>
        <v>S</v>
      </c>
      <c r="H256" s="2" t="s">
        <v>484</v>
      </c>
      <c r="I256" s="8" t="str">
        <f t="shared" si="1"/>
        <v>42 in</v>
      </c>
      <c r="J256" s="9" t="s">
        <v>955</v>
      </c>
    </row>
    <row r="257">
      <c r="A257" s="4">
        <v>3.5356996E7</v>
      </c>
      <c r="B257" s="1" t="s">
        <v>421</v>
      </c>
      <c r="C257" s="5">
        <v>1570.0</v>
      </c>
      <c r="D257" s="7" t="s">
        <v>20</v>
      </c>
      <c r="E257" s="2" t="s">
        <v>24</v>
      </c>
      <c r="F257" s="2" t="s">
        <v>27</v>
      </c>
      <c r="G257" s="8" t="str">
        <f>IFERROR(__xludf.DUMMYFUNCTION("REGEXEXTRACT(B257, ""-([^-\s]+)$"")"),"XL")</f>
        <v>XL</v>
      </c>
      <c r="H257" s="2" t="s">
        <v>484</v>
      </c>
      <c r="I257" s="8" t="str">
        <f t="shared" si="1"/>
        <v>48 in</v>
      </c>
      <c r="J257" s="9" t="s">
        <v>955</v>
      </c>
    </row>
    <row r="258">
      <c r="A258" s="4">
        <v>3.5356981E7</v>
      </c>
      <c r="B258" s="1" t="s">
        <v>422</v>
      </c>
      <c r="C258" s="5">
        <v>1570.0</v>
      </c>
      <c r="D258" s="7" t="s">
        <v>20</v>
      </c>
      <c r="E258" s="2" t="s">
        <v>24</v>
      </c>
      <c r="F258" s="2" t="s">
        <v>27</v>
      </c>
      <c r="G258" s="8" t="str">
        <f>IFERROR(__xludf.DUMMYFUNCTION("REGEXEXTRACT(B258, ""-([^-\s]+)$"")"),"L")</f>
        <v>L</v>
      </c>
      <c r="H258" s="2" t="s">
        <v>946</v>
      </c>
      <c r="I258" s="8" t="str">
        <f t="shared" si="1"/>
        <v>46 in</v>
      </c>
      <c r="J258" s="9" t="s">
        <v>956</v>
      </c>
    </row>
    <row r="259">
      <c r="A259" s="4">
        <v>3.5356981E7</v>
      </c>
      <c r="B259" s="1" t="s">
        <v>424</v>
      </c>
      <c r="C259" s="5">
        <v>1570.0</v>
      </c>
      <c r="D259" s="7" t="s">
        <v>20</v>
      </c>
      <c r="E259" s="2" t="s">
        <v>24</v>
      </c>
      <c r="F259" s="2" t="s">
        <v>27</v>
      </c>
      <c r="G259" s="8" t="str">
        <f>IFERROR(__xludf.DUMMYFUNCTION("REGEXEXTRACT(B259, ""-([^-\s]+)$"")"),"M")</f>
        <v>M</v>
      </c>
      <c r="H259" s="2" t="s">
        <v>946</v>
      </c>
      <c r="I259" s="8" t="str">
        <f t="shared" si="1"/>
        <v>44 in</v>
      </c>
      <c r="J259" s="9" t="s">
        <v>956</v>
      </c>
    </row>
    <row r="260">
      <c r="A260" s="4">
        <v>3.5356981E7</v>
      </c>
      <c r="B260" s="1" t="s">
        <v>428</v>
      </c>
      <c r="C260" s="5">
        <v>1570.0</v>
      </c>
      <c r="D260" s="7" t="s">
        <v>20</v>
      </c>
      <c r="E260" s="2" t="s">
        <v>24</v>
      </c>
      <c r="F260" s="2" t="s">
        <v>27</v>
      </c>
      <c r="G260" s="8" t="str">
        <f>IFERROR(__xludf.DUMMYFUNCTION("REGEXEXTRACT(B260, ""-([^-\s]+)$"")"),"S")</f>
        <v>S</v>
      </c>
      <c r="H260" s="2" t="s">
        <v>946</v>
      </c>
      <c r="I260" s="8" t="str">
        <f t="shared" si="1"/>
        <v>42 in</v>
      </c>
      <c r="J260" s="9" t="s">
        <v>956</v>
      </c>
    </row>
    <row r="261">
      <c r="A261" s="4">
        <v>3.5356981E7</v>
      </c>
      <c r="B261" s="1" t="s">
        <v>430</v>
      </c>
      <c r="C261" s="5">
        <v>1570.0</v>
      </c>
      <c r="D261" s="7" t="s">
        <v>20</v>
      </c>
      <c r="E261" s="2" t="s">
        <v>24</v>
      </c>
      <c r="F261" s="2" t="s">
        <v>27</v>
      </c>
      <c r="G261" s="8" t="str">
        <f>IFERROR(__xludf.DUMMYFUNCTION("REGEXEXTRACT(B261, ""-([^-\s]+)$"")"),"XL")</f>
        <v>XL</v>
      </c>
      <c r="H261" s="2" t="s">
        <v>946</v>
      </c>
      <c r="I261" s="8" t="str">
        <f t="shared" si="1"/>
        <v>48 in</v>
      </c>
      <c r="J261" s="9" t="s">
        <v>956</v>
      </c>
    </row>
    <row r="262">
      <c r="A262" s="4">
        <v>4.2353968E7</v>
      </c>
      <c r="B262" s="1" t="s">
        <v>432</v>
      </c>
      <c r="C262" s="2">
        <v>1999.0</v>
      </c>
      <c r="D262" s="7" t="s">
        <v>20</v>
      </c>
      <c r="E262" s="1" t="s">
        <v>24</v>
      </c>
      <c r="F262" s="2" t="s">
        <v>27</v>
      </c>
      <c r="G262" s="8" t="str">
        <f>IFERROR(__xludf.DUMMYFUNCTION("REGEXEXTRACT(B262, ""-([^-\s]+)$"")"),"L")</f>
        <v>L</v>
      </c>
      <c r="H262" s="2" t="s">
        <v>278</v>
      </c>
      <c r="I262" s="8" t="str">
        <f t="shared" si="1"/>
        <v>46 in</v>
      </c>
      <c r="J262" s="9" t="s">
        <v>957</v>
      </c>
    </row>
    <row r="263">
      <c r="A263" s="4">
        <v>4.2353968E7</v>
      </c>
      <c r="B263" s="1" t="s">
        <v>434</v>
      </c>
      <c r="C263" s="2">
        <v>1999.0</v>
      </c>
      <c r="D263" s="7" t="s">
        <v>20</v>
      </c>
      <c r="E263" s="1" t="s">
        <v>24</v>
      </c>
      <c r="F263" s="2" t="s">
        <v>27</v>
      </c>
      <c r="G263" s="8" t="str">
        <f>IFERROR(__xludf.DUMMYFUNCTION("REGEXEXTRACT(B263, ""-([^-\s]+)$"")"),"M")</f>
        <v>M</v>
      </c>
      <c r="H263" s="2" t="s">
        <v>278</v>
      </c>
      <c r="I263" s="8" t="str">
        <f t="shared" si="1"/>
        <v>44 in</v>
      </c>
      <c r="J263" s="9" t="s">
        <v>957</v>
      </c>
    </row>
    <row r="264">
      <c r="A264" s="4">
        <v>4.2353968E7</v>
      </c>
      <c r="B264" s="1" t="s">
        <v>436</v>
      </c>
      <c r="C264" s="2">
        <v>1999.0</v>
      </c>
      <c r="D264" s="7" t="s">
        <v>20</v>
      </c>
      <c r="E264" s="1" t="s">
        <v>24</v>
      </c>
      <c r="F264" s="2" t="s">
        <v>27</v>
      </c>
      <c r="G264" s="8" t="str">
        <f>IFERROR(__xludf.DUMMYFUNCTION("REGEXEXTRACT(B264, ""-([^-\s]+)$"")"),"S")</f>
        <v>S</v>
      </c>
      <c r="H264" s="2" t="s">
        <v>278</v>
      </c>
      <c r="I264" s="8" t="str">
        <f t="shared" si="1"/>
        <v>42 in</v>
      </c>
      <c r="J264" s="9" t="s">
        <v>957</v>
      </c>
    </row>
    <row r="265">
      <c r="A265" s="4">
        <v>4.2353968E7</v>
      </c>
      <c r="B265" s="1" t="s">
        <v>438</v>
      </c>
      <c r="C265" s="2">
        <v>1999.0</v>
      </c>
      <c r="D265" s="7" t="s">
        <v>20</v>
      </c>
      <c r="E265" s="1" t="s">
        <v>24</v>
      </c>
      <c r="F265" s="2" t="s">
        <v>27</v>
      </c>
      <c r="G265" s="8" t="str">
        <f>IFERROR(__xludf.DUMMYFUNCTION("REGEXEXTRACT(B265, ""-([^-\s]+)$"")"),"XL")</f>
        <v>XL</v>
      </c>
      <c r="H265" s="2" t="s">
        <v>278</v>
      </c>
      <c r="I265" s="8" t="str">
        <f t="shared" si="1"/>
        <v>48 in</v>
      </c>
      <c r="J265" s="9" t="s">
        <v>957</v>
      </c>
    </row>
    <row r="266">
      <c r="A266" s="4">
        <v>4.2353954E7</v>
      </c>
      <c r="B266" s="1" t="s">
        <v>440</v>
      </c>
      <c r="C266" s="2">
        <v>1999.0</v>
      </c>
      <c r="D266" s="7" t="s">
        <v>20</v>
      </c>
      <c r="E266" s="1" t="s">
        <v>24</v>
      </c>
      <c r="F266" s="2" t="s">
        <v>27</v>
      </c>
      <c r="G266" s="8" t="str">
        <f>IFERROR(__xludf.DUMMYFUNCTION("REGEXEXTRACT(B266, ""-([^-\s]+)$"")"),"L")</f>
        <v>L</v>
      </c>
      <c r="H266" s="2" t="s">
        <v>345</v>
      </c>
      <c r="I266" s="8" t="str">
        <f t="shared" si="1"/>
        <v>46 in</v>
      </c>
      <c r="J266" s="9" t="s">
        <v>958</v>
      </c>
    </row>
    <row r="267">
      <c r="A267" s="4">
        <v>4.2353954E7</v>
      </c>
      <c r="B267" s="1" t="s">
        <v>442</v>
      </c>
      <c r="C267" s="2">
        <v>1999.0</v>
      </c>
      <c r="D267" s="7" t="s">
        <v>20</v>
      </c>
      <c r="E267" s="1" t="s">
        <v>24</v>
      </c>
      <c r="F267" s="2" t="s">
        <v>27</v>
      </c>
      <c r="G267" s="8" t="str">
        <f>IFERROR(__xludf.DUMMYFUNCTION("REGEXEXTRACT(B267, ""-([^-\s]+)$"")"),"M")</f>
        <v>M</v>
      </c>
      <c r="H267" s="2" t="s">
        <v>345</v>
      </c>
      <c r="I267" s="8" t="str">
        <f t="shared" si="1"/>
        <v>44 in</v>
      </c>
      <c r="J267" s="9" t="s">
        <v>958</v>
      </c>
    </row>
    <row r="268">
      <c r="A268" s="4">
        <v>4.2353954E7</v>
      </c>
      <c r="B268" s="1" t="s">
        <v>444</v>
      </c>
      <c r="C268" s="2">
        <v>1999.0</v>
      </c>
      <c r="D268" s="7" t="s">
        <v>20</v>
      </c>
      <c r="E268" s="1" t="s">
        <v>24</v>
      </c>
      <c r="F268" s="2" t="s">
        <v>27</v>
      </c>
      <c r="G268" s="8" t="str">
        <f>IFERROR(__xludf.DUMMYFUNCTION("REGEXEXTRACT(B268, ""-([^-\s]+)$"")"),"S")</f>
        <v>S</v>
      </c>
      <c r="H268" s="2" t="s">
        <v>345</v>
      </c>
      <c r="I268" s="8" t="str">
        <f t="shared" si="1"/>
        <v>42 in</v>
      </c>
      <c r="J268" s="9" t="s">
        <v>958</v>
      </c>
    </row>
    <row r="269">
      <c r="A269" s="4">
        <v>4.2353954E7</v>
      </c>
      <c r="B269" s="1" t="s">
        <v>446</v>
      </c>
      <c r="C269" s="2">
        <v>1999.0</v>
      </c>
      <c r="D269" s="7" t="s">
        <v>20</v>
      </c>
      <c r="E269" s="1" t="s">
        <v>24</v>
      </c>
      <c r="F269" s="2" t="s">
        <v>27</v>
      </c>
      <c r="G269" s="8" t="str">
        <f>IFERROR(__xludf.DUMMYFUNCTION("REGEXEXTRACT(B269, ""-([^-\s]+)$"")"),"XL")</f>
        <v>XL</v>
      </c>
      <c r="H269" s="2" t="s">
        <v>345</v>
      </c>
      <c r="I269" s="8" t="str">
        <f t="shared" si="1"/>
        <v>48 in</v>
      </c>
      <c r="J269" s="9" t="s">
        <v>958</v>
      </c>
    </row>
    <row r="270">
      <c r="A270" s="4">
        <v>3.4590249E7</v>
      </c>
      <c r="B270" s="1" t="s">
        <v>447</v>
      </c>
      <c r="C270" s="5">
        <v>1150.0</v>
      </c>
      <c r="D270" s="7" t="s">
        <v>20</v>
      </c>
      <c r="E270" s="2" t="s">
        <v>24</v>
      </c>
      <c r="F270" s="2" t="s">
        <v>27</v>
      </c>
      <c r="G270" s="8" t="str">
        <f>IFERROR(__xludf.DUMMYFUNCTION("REGEXEXTRACT(B270, ""-([^-\s]+)$"")"),"L")</f>
        <v>L</v>
      </c>
      <c r="H270" s="2" t="s">
        <v>484</v>
      </c>
      <c r="I270" s="8" t="str">
        <f t="shared" si="1"/>
        <v>46 in</v>
      </c>
      <c r="J270" s="9" t="s">
        <v>959</v>
      </c>
    </row>
    <row r="271">
      <c r="A271" s="4">
        <v>3.4590249E7</v>
      </c>
      <c r="B271" s="1" t="s">
        <v>448</v>
      </c>
      <c r="C271" s="5">
        <v>1150.0</v>
      </c>
      <c r="D271" s="7" t="s">
        <v>20</v>
      </c>
      <c r="E271" s="2" t="s">
        <v>24</v>
      </c>
      <c r="F271" s="2" t="s">
        <v>27</v>
      </c>
      <c r="G271" s="8" t="str">
        <f>IFERROR(__xludf.DUMMYFUNCTION("REGEXEXTRACT(B271, ""-([^-\s]+)$"")"),"M")</f>
        <v>M</v>
      </c>
      <c r="H271" s="2" t="s">
        <v>484</v>
      </c>
      <c r="I271" s="8" t="str">
        <f t="shared" si="1"/>
        <v>44 in</v>
      </c>
      <c r="J271" s="9" t="s">
        <v>959</v>
      </c>
    </row>
    <row r="272">
      <c r="A272" s="4">
        <v>3.4590249E7</v>
      </c>
      <c r="B272" s="1" t="s">
        <v>449</v>
      </c>
      <c r="C272" s="5">
        <v>1150.0</v>
      </c>
      <c r="D272" s="7" t="s">
        <v>20</v>
      </c>
      <c r="E272" s="2" t="s">
        <v>24</v>
      </c>
      <c r="F272" s="2" t="s">
        <v>27</v>
      </c>
      <c r="G272" s="8" t="str">
        <f>IFERROR(__xludf.DUMMYFUNCTION("REGEXEXTRACT(B272, ""-([^-\s]+)$"")"),"S")</f>
        <v>S</v>
      </c>
      <c r="H272" s="2" t="s">
        <v>484</v>
      </c>
      <c r="I272" s="8" t="str">
        <f t="shared" si="1"/>
        <v>42 in</v>
      </c>
      <c r="J272" s="9" t="s">
        <v>959</v>
      </c>
    </row>
    <row r="273">
      <c r="A273" s="4">
        <v>3.4590249E7</v>
      </c>
      <c r="B273" s="1" t="s">
        <v>450</v>
      </c>
      <c r="C273" s="5">
        <v>1150.0</v>
      </c>
      <c r="D273" s="7" t="s">
        <v>20</v>
      </c>
      <c r="E273" s="2" t="s">
        <v>24</v>
      </c>
      <c r="F273" s="2" t="s">
        <v>27</v>
      </c>
      <c r="G273" s="8" t="str">
        <f>IFERROR(__xludf.DUMMYFUNCTION("REGEXEXTRACT(B273, ""-([^-\s]+)$"")"),"XL")</f>
        <v>XL</v>
      </c>
      <c r="H273" s="2" t="s">
        <v>484</v>
      </c>
      <c r="I273" s="8" t="str">
        <f t="shared" si="1"/>
        <v>48 in</v>
      </c>
      <c r="J273" s="9" t="s">
        <v>959</v>
      </c>
    </row>
    <row r="274">
      <c r="A274" s="4">
        <v>4.2353959E7</v>
      </c>
      <c r="B274" s="1" t="s">
        <v>451</v>
      </c>
      <c r="C274" s="2">
        <v>1999.0</v>
      </c>
      <c r="D274" s="7" t="s">
        <v>20</v>
      </c>
      <c r="E274" s="1" t="s">
        <v>24</v>
      </c>
      <c r="F274" s="2" t="s">
        <v>27</v>
      </c>
      <c r="G274" s="8" t="str">
        <f>IFERROR(__xludf.DUMMYFUNCTION("REGEXEXTRACT(B274, ""-([^-\s]+)$"")"),"L")</f>
        <v>L</v>
      </c>
      <c r="H274" s="2" t="s">
        <v>52</v>
      </c>
      <c r="I274" s="8" t="str">
        <f t="shared" si="1"/>
        <v>46 in</v>
      </c>
      <c r="J274" s="9" t="s">
        <v>960</v>
      </c>
    </row>
    <row r="275">
      <c r="A275" s="4">
        <v>4.2353959E7</v>
      </c>
      <c r="B275" s="1" t="s">
        <v>452</v>
      </c>
      <c r="C275" s="2">
        <v>1999.0</v>
      </c>
      <c r="D275" s="7" t="s">
        <v>20</v>
      </c>
      <c r="E275" s="1" t="s">
        <v>24</v>
      </c>
      <c r="F275" s="2" t="s">
        <v>27</v>
      </c>
      <c r="G275" s="8" t="str">
        <f>IFERROR(__xludf.DUMMYFUNCTION("REGEXEXTRACT(B275, ""-([^-\s]+)$"")"),"M")</f>
        <v>M</v>
      </c>
      <c r="H275" s="2" t="s">
        <v>52</v>
      </c>
      <c r="I275" s="8" t="str">
        <f t="shared" si="1"/>
        <v>44 in</v>
      </c>
      <c r="J275" s="9" t="s">
        <v>960</v>
      </c>
    </row>
    <row r="276">
      <c r="A276" s="4">
        <v>4.2353959E7</v>
      </c>
      <c r="B276" s="1" t="s">
        <v>453</v>
      </c>
      <c r="C276" s="2">
        <v>1999.0</v>
      </c>
      <c r="D276" s="7" t="s">
        <v>20</v>
      </c>
      <c r="E276" s="1" t="s">
        <v>24</v>
      </c>
      <c r="F276" s="2" t="s">
        <v>27</v>
      </c>
      <c r="G276" s="8" t="str">
        <f>IFERROR(__xludf.DUMMYFUNCTION("REGEXEXTRACT(B276, ""-([^-\s]+)$"")"),"S")</f>
        <v>S</v>
      </c>
      <c r="H276" s="2" t="s">
        <v>52</v>
      </c>
      <c r="I276" s="8" t="str">
        <f t="shared" si="1"/>
        <v>42 in</v>
      </c>
      <c r="J276" s="9" t="s">
        <v>960</v>
      </c>
    </row>
    <row r="277">
      <c r="A277" s="4">
        <v>4.2353959E7</v>
      </c>
      <c r="B277" s="1" t="s">
        <v>455</v>
      </c>
      <c r="C277" s="2">
        <v>1999.0</v>
      </c>
      <c r="D277" s="7" t="s">
        <v>20</v>
      </c>
      <c r="E277" s="1" t="s">
        <v>24</v>
      </c>
      <c r="F277" s="2" t="s">
        <v>27</v>
      </c>
      <c r="G277" s="8" t="str">
        <f>IFERROR(__xludf.DUMMYFUNCTION("REGEXEXTRACT(B277, ""-([^-\s]+)$"")"),"XL")</f>
        <v>XL</v>
      </c>
      <c r="H277" s="2" t="s">
        <v>52</v>
      </c>
      <c r="I277" s="8" t="str">
        <f t="shared" si="1"/>
        <v>48 in</v>
      </c>
      <c r="J277" s="9" t="s">
        <v>960</v>
      </c>
    </row>
    <row r="278">
      <c r="A278" s="4">
        <v>4.2353971E7</v>
      </c>
      <c r="B278" s="1" t="s">
        <v>457</v>
      </c>
      <c r="C278" s="2">
        <v>1999.0</v>
      </c>
      <c r="D278" s="7" t="s">
        <v>20</v>
      </c>
      <c r="E278" s="1" t="s">
        <v>24</v>
      </c>
      <c r="F278" s="2" t="s">
        <v>27</v>
      </c>
      <c r="G278" s="8" t="str">
        <f>IFERROR(__xludf.DUMMYFUNCTION("REGEXEXTRACT(B278, ""-([^-\s]+)$"")"),"L")</f>
        <v>L</v>
      </c>
      <c r="H278" s="2" t="s">
        <v>710</v>
      </c>
      <c r="I278" s="8" t="str">
        <f t="shared" si="1"/>
        <v>46 in</v>
      </c>
      <c r="J278" s="9" t="s">
        <v>961</v>
      </c>
    </row>
    <row r="279">
      <c r="A279" s="4">
        <v>4.2353971E7</v>
      </c>
      <c r="B279" s="1" t="s">
        <v>460</v>
      </c>
      <c r="C279" s="2">
        <v>1999.0</v>
      </c>
      <c r="D279" s="7" t="s">
        <v>20</v>
      </c>
      <c r="E279" s="1" t="s">
        <v>24</v>
      </c>
      <c r="F279" s="2" t="s">
        <v>27</v>
      </c>
      <c r="G279" s="8" t="str">
        <f>IFERROR(__xludf.DUMMYFUNCTION("REGEXEXTRACT(B279, ""-([^-\s]+)$"")"),"M")</f>
        <v>M</v>
      </c>
      <c r="H279" s="2" t="s">
        <v>710</v>
      </c>
      <c r="I279" s="8" t="str">
        <f t="shared" si="1"/>
        <v>44 in</v>
      </c>
      <c r="J279" s="9" t="s">
        <v>961</v>
      </c>
    </row>
    <row r="280">
      <c r="A280" s="4">
        <v>4.2353971E7</v>
      </c>
      <c r="B280" s="1" t="s">
        <v>463</v>
      </c>
      <c r="C280" s="2">
        <v>1999.0</v>
      </c>
      <c r="D280" s="7" t="s">
        <v>20</v>
      </c>
      <c r="E280" s="1" t="s">
        <v>24</v>
      </c>
      <c r="F280" s="2" t="s">
        <v>27</v>
      </c>
      <c r="G280" s="8" t="str">
        <f>IFERROR(__xludf.DUMMYFUNCTION("REGEXEXTRACT(B280, ""-([^-\s]+)$"")"),"S")</f>
        <v>S</v>
      </c>
      <c r="H280" s="2" t="s">
        <v>710</v>
      </c>
      <c r="I280" s="8" t="str">
        <f t="shared" si="1"/>
        <v>42 in</v>
      </c>
      <c r="J280" s="9" t="s">
        <v>961</v>
      </c>
    </row>
    <row r="281">
      <c r="A281" s="4">
        <v>4.2353971E7</v>
      </c>
      <c r="B281" s="1" t="s">
        <v>465</v>
      </c>
      <c r="C281" s="2">
        <v>1999.0</v>
      </c>
      <c r="D281" s="7" t="s">
        <v>20</v>
      </c>
      <c r="E281" s="1" t="s">
        <v>24</v>
      </c>
      <c r="F281" s="2" t="s">
        <v>27</v>
      </c>
      <c r="G281" s="8" t="str">
        <f>IFERROR(__xludf.DUMMYFUNCTION("REGEXEXTRACT(B281, ""-([^-\s]+)$"")"),"XL")</f>
        <v>XL</v>
      </c>
      <c r="H281" s="2" t="s">
        <v>710</v>
      </c>
      <c r="I281" s="8" t="str">
        <f t="shared" si="1"/>
        <v>48 in</v>
      </c>
      <c r="J281" s="9" t="s">
        <v>961</v>
      </c>
    </row>
    <row r="282">
      <c r="A282" s="2">
        <v>3.7332287E7</v>
      </c>
      <c r="B282" s="1" t="s">
        <v>467</v>
      </c>
      <c r="C282" s="4">
        <v>1999.0</v>
      </c>
      <c r="D282" s="7" t="s">
        <v>20</v>
      </c>
      <c r="E282" s="1" t="s">
        <v>24</v>
      </c>
      <c r="F282" s="2" t="s">
        <v>27</v>
      </c>
      <c r="G282" s="8" t="str">
        <f>IFERROR(__xludf.DUMMYFUNCTION("REGEXEXTRACT(B282, ""-([^-\s]+)$"")"),"L")</f>
        <v>L</v>
      </c>
      <c r="H282" s="2" t="s">
        <v>484</v>
      </c>
      <c r="I282" s="8" t="str">
        <f t="shared" si="1"/>
        <v>46 in</v>
      </c>
      <c r="J282" s="9" t="s">
        <v>962</v>
      </c>
    </row>
    <row r="283">
      <c r="A283" s="2">
        <v>3.7332287E7</v>
      </c>
      <c r="B283" s="1" t="s">
        <v>470</v>
      </c>
      <c r="C283" s="4">
        <v>1999.0</v>
      </c>
      <c r="D283" s="7" t="s">
        <v>20</v>
      </c>
      <c r="E283" s="1" t="s">
        <v>24</v>
      </c>
      <c r="F283" s="2" t="s">
        <v>27</v>
      </c>
      <c r="G283" s="8" t="str">
        <f>IFERROR(__xludf.DUMMYFUNCTION("REGEXEXTRACT(B283, ""-([^-\s]+)$"")"),"M")</f>
        <v>M</v>
      </c>
      <c r="H283" s="2" t="s">
        <v>484</v>
      </c>
      <c r="I283" s="8" t="str">
        <f t="shared" si="1"/>
        <v>44 in</v>
      </c>
      <c r="J283" s="9" t="s">
        <v>962</v>
      </c>
    </row>
    <row r="284">
      <c r="A284" s="2">
        <v>3.7332287E7</v>
      </c>
      <c r="B284" s="1" t="s">
        <v>472</v>
      </c>
      <c r="C284" s="4">
        <v>1999.0</v>
      </c>
      <c r="D284" s="7" t="s">
        <v>20</v>
      </c>
      <c r="E284" s="1" t="s">
        <v>24</v>
      </c>
      <c r="F284" s="2" t="s">
        <v>27</v>
      </c>
      <c r="G284" s="8" t="str">
        <f>IFERROR(__xludf.DUMMYFUNCTION("REGEXEXTRACT(B284, ""-([^-\s]+)$"")"),"S")</f>
        <v>S</v>
      </c>
      <c r="H284" s="2" t="s">
        <v>484</v>
      </c>
      <c r="I284" s="8" t="str">
        <f t="shared" si="1"/>
        <v>42 in</v>
      </c>
      <c r="J284" s="9" t="s">
        <v>962</v>
      </c>
    </row>
    <row r="285">
      <c r="A285" s="2">
        <v>3.7332287E7</v>
      </c>
      <c r="B285" s="1" t="s">
        <v>482</v>
      </c>
      <c r="C285" s="4">
        <v>1999.0</v>
      </c>
      <c r="D285" s="7" t="s">
        <v>20</v>
      </c>
      <c r="E285" s="1" t="s">
        <v>24</v>
      </c>
      <c r="F285" s="2" t="s">
        <v>27</v>
      </c>
      <c r="G285" s="8" t="str">
        <f>IFERROR(__xludf.DUMMYFUNCTION("REGEXEXTRACT(B285, ""-([^-\s]+)$"")"),"XL")</f>
        <v>XL</v>
      </c>
      <c r="H285" s="2" t="s">
        <v>484</v>
      </c>
      <c r="I285" s="8" t="str">
        <f t="shared" si="1"/>
        <v>48 in</v>
      </c>
      <c r="J285" s="9" t="s">
        <v>962</v>
      </c>
    </row>
    <row r="286">
      <c r="A286" s="4">
        <v>4.2353969E7</v>
      </c>
      <c r="B286" s="1" t="s">
        <v>485</v>
      </c>
      <c r="C286" s="2">
        <v>1999.0</v>
      </c>
      <c r="D286" s="7" t="s">
        <v>20</v>
      </c>
      <c r="E286" s="1" t="s">
        <v>24</v>
      </c>
      <c r="F286" s="2" t="s">
        <v>27</v>
      </c>
      <c r="G286" s="8" t="str">
        <f>IFERROR(__xludf.DUMMYFUNCTION("REGEXEXTRACT(B286, ""-([^-\s]+)$"")"),"L")</f>
        <v>L</v>
      </c>
      <c r="H286" s="2" t="s">
        <v>928</v>
      </c>
      <c r="I286" s="8" t="str">
        <f t="shared" si="1"/>
        <v>46 in</v>
      </c>
      <c r="J286" s="9" t="s">
        <v>963</v>
      </c>
    </row>
    <row r="287">
      <c r="A287" s="4">
        <v>3.4590234E7</v>
      </c>
      <c r="B287" s="1" t="s">
        <v>487</v>
      </c>
      <c r="C287" s="5">
        <v>1570.0</v>
      </c>
      <c r="D287" s="7" t="s">
        <v>20</v>
      </c>
      <c r="E287" s="2" t="s">
        <v>24</v>
      </c>
      <c r="F287" s="2" t="s">
        <v>27</v>
      </c>
      <c r="G287" s="8" t="str">
        <f>IFERROR(__xludf.DUMMYFUNCTION("REGEXEXTRACT(B287, ""-([^-\s]+)$"")"),"L")</f>
        <v>L</v>
      </c>
      <c r="H287" s="2" t="s">
        <v>928</v>
      </c>
      <c r="I287" s="8" t="str">
        <f t="shared" si="1"/>
        <v>46 in</v>
      </c>
      <c r="J287" s="9" t="s">
        <v>964</v>
      </c>
    </row>
    <row r="288">
      <c r="A288" s="2">
        <v>3.7332294E7</v>
      </c>
      <c r="B288" s="1" t="s">
        <v>490</v>
      </c>
      <c r="C288" s="4">
        <v>1999.0</v>
      </c>
      <c r="D288" s="7" t="s">
        <v>20</v>
      </c>
      <c r="E288" s="1" t="s">
        <v>24</v>
      </c>
      <c r="F288" s="2" t="s">
        <v>27</v>
      </c>
      <c r="G288" s="8" t="str">
        <f>IFERROR(__xludf.DUMMYFUNCTION("REGEXEXTRACT(B288, ""-([^-\s]+)$"")"),"L")</f>
        <v>L</v>
      </c>
      <c r="H288" s="2" t="s">
        <v>928</v>
      </c>
      <c r="I288" s="8" t="str">
        <f t="shared" si="1"/>
        <v>46 in</v>
      </c>
      <c r="J288" s="9" t="s">
        <v>965</v>
      </c>
    </row>
    <row r="289">
      <c r="A289" s="4">
        <v>4.2353967E7</v>
      </c>
      <c r="B289" s="1" t="s">
        <v>493</v>
      </c>
      <c r="C289" s="2">
        <v>1999.0</v>
      </c>
      <c r="D289" s="7" t="s">
        <v>20</v>
      </c>
      <c r="E289" s="1" t="s">
        <v>24</v>
      </c>
      <c r="F289" s="2" t="s">
        <v>27</v>
      </c>
      <c r="G289" s="8" t="str">
        <f>IFERROR(__xludf.DUMMYFUNCTION("REGEXEXTRACT(B289, ""-([^-\s]+)$"")"),"XL")</f>
        <v>XL</v>
      </c>
      <c r="H289" s="2" t="s">
        <v>928</v>
      </c>
      <c r="I289" s="8" t="str">
        <f t="shared" si="1"/>
        <v>48 in</v>
      </c>
      <c r="J289" s="9" t="s">
        <v>936</v>
      </c>
    </row>
    <row r="290">
      <c r="A290" s="4">
        <v>3.4590212E7</v>
      </c>
      <c r="B290" s="1" t="s">
        <v>496</v>
      </c>
      <c r="C290" s="5">
        <v>1850.0</v>
      </c>
      <c r="D290" s="7" t="s">
        <v>20</v>
      </c>
      <c r="E290" s="2" t="s">
        <v>24</v>
      </c>
      <c r="F290" s="2" t="s">
        <v>27</v>
      </c>
      <c r="G290" s="8" t="str">
        <f>IFERROR(__xludf.DUMMYFUNCTION("REGEXEXTRACT(B290, ""-([^-\s]+)$"")"),"L")</f>
        <v>L</v>
      </c>
      <c r="H290" s="2" t="s">
        <v>923</v>
      </c>
      <c r="I290" s="8" t="str">
        <f t="shared" si="1"/>
        <v>46 in</v>
      </c>
      <c r="J290" s="9" t="s">
        <v>966</v>
      </c>
    </row>
    <row r="291">
      <c r="A291" s="4">
        <v>3.4590212E7</v>
      </c>
      <c r="B291" s="1" t="s">
        <v>498</v>
      </c>
      <c r="C291" s="5">
        <v>1850.0</v>
      </c>
      <c r="D291" s="7" t="s">
        <v>20</v>
      </c>
      <c r="E291" s="2" t="s">
        <v>24</v>
      </c>
      <c r="F291" s="2" t="s">
        <v>27</v>
      </c>
      <c r="G291" s="8" t="str">
        <f>IFERROR(__xludf.DUMMYFUNCTION("REGEXEXTRACT(B291, ""-([^-\s]+)$"")"),"M")</f>
        <v>M</v>
      </c>
      <c r="H291" s="2" t="s">
        <v>923</v>
      </c>
      <c r="I291" s="8" t="str">
        <f t="shared" si="1"/>
        <v>44 in</v>
      </c>
      <c r="J291" s="9" t="s">
        <v>966</v>
      </c>
    </row>
    <row r="292">
      <c r="A292" s="4">
        <v>3.4590212E7</v>
      </c>
      <c r="B292" s="1" t="s">
        <v>501</v>
      </c>
      <c r="C292" s="5">
        <v>1850.0</v>
      </c>
      <c r="D292" s="7" t="s">
        <v>20</v>
      </c>
      <c r="E292" s="2" t="s">
        <v>24</v>
      </c>
      <c r="F292" s="2" t="s">
        <v>27</v>
      </c>
      <c r="G292" s="8" t="str">
        <f>IFERROR(__xludf.DUMMYFUNCTION("REGEXEXTRACT(B292, ""-([^-\s]+)$"")"),"S")</f>
        <v>S</v>
      </c>
      <c r="H292" s="2" t="s">
        <v>923</v>
      </c>
      <c r="I292" s="8" t="str">
        <f t="shared" si="1"/>
        <v>42 in</v>
      </c>
      <c r="J292" s="9" t="s">
        <v>966</v>
      </c>
    </row>
    <row r="293">
      <c r="A293" s="4">
        <v>3.4590212E7</v>
      </c>
      <c r="B293" s="1" t="s">
        <v>503</v>
      </c>
      <c r="C293" s="5">
        <v>1850.0</v>
      </c>
      <c r="D293" s="7" t="s">
        <v>20</v>
      </c>
      <c r="E293" s="2" t="s">
        <v>24</v>
      </c>
      <c r="F293" s="2" t="s">
        <v>27</v>
      </c>
      <c r="G293" s="8" t="str">
        <f>IFERROR(__xludf.DUMMYFUNCTION("REGEXEXTRACT(B293, ""-([^-\s]+)$"")"),"XL")</f>
        <v>XL</v>
      </c>
      <c r="H293" s="2" t="s">
        <v>923</v>
      </c>
      <c r="I293" s="8" t="str">
        <f t="shared" si="1"/>
        <v>48 in</v>
      </c>
      <c r="J293" s="9" t="s">
        <v>966</v>
      </c>
    </row>
    <row r="294">
      <c r="A294" s="4">
        <v>3.4590222E7</v>
      </c>
      <c r="B294" s="1" t="s">
        <v>631</v>
      </c>
      <c r="C294" s="5">
        <v>1570.0</v>
      </c>
      <c r="D294" s="7" t="s">
        <v>20</v>
      </c>
      <c r="E294" s="2" t="s">
        <v>24</v>
      </c>
      <c r="F294" s="2" t="s">
        <v>27</v>
      </c>
      <c r="G294" s="8" t="str">
        <f>IFERROR(__xludf.DUMMYFUNCTION("REGEXEXTRACT(B294, ""-([^-\s]+)$"")"),"L")</f>
        <v>L</v>
      </c>
      <c r="H294" s="2" t="s">
        <v>967</v>
      </c>
      <c r="I294" s="8" t="str">
        <f t="shared" si="1"/>
        <v>46 in</v>
      </c>
      <c r="J294" s="9" t="s">
        <v>968</v>
      </c>
    </row>
    <row r="295">
      <c r="A295" s="4">
        <v>3.4590222E7</v>
      </c>
      <c r="B295" s="1" t="s">
        <v>633</v>
      </c>
      <c r="C295" s="5">
        <v>1570.0</v>
      </c>
      <c r="D295" s="7" t="s">
        <v>20</v>
      </c>
      <c r="E295" s="2" t="s">
        <v>24</v>
      </c>
      <c r="F295" s="2" t="s">
        <v>27</v>
      </c>
      <c r="G295" s="8" t="str">
        <f>IFERROR(__xludf.DUMMYFUNCTION("REGEXEXTRACT(B295, ""-([^-\s]+)$"")"),"M")</f>
        <v>M</v>
      </c>
      <c r="H295" s="2" t="s">
        <v>967</v>
      </c>
      <c r="I295" s="8" t="str">
        <f t="shared" si="1"/>
        <v>44 in</v>
      </c>
      <c r="J295" s="9" t="s">
        <v>968</v>
      </c>
    </row>
    <row r="296">
      <c r="A296" s="4">
        <v>3.4590222E7</v>
      </c>
      <c r="B296" s="1" t="s">
        <v>629</v>
      </c>
      <c r="C296" s="5">
        <v>1570.0</v>
      </c>
      <c r="D296" s="7" t="s">
        <v>20</v>
      </c>
      <c r="E296" s="2" t="s">
        <v>24</v>
      </c>
      <c r="F296" s="2" t="s">
        <v>27</v>
      </c>
      <c r="G296" s="8" t="str">
        <f>IFERROR(__xludf.DUMMYFUNCTION("REGEXEXTRACT(B296, ""-([^-\s]+)$"")"),"S")</f>
        <v>S</v>
      </c>
      <c r="H296" s="2" t="s">
        <v>967</v>
      </c>
      <c r="I296" s="8" t="str">
        <f t="shared" si="1"/>
        <v>42 in</v>
      </c>
      <c r="J296" s="9" t="s">
        <v>968</v>
      </c>
    </row>
    <row r="297">
      <c r="A297" s="4">
        <v>3.4590222E7</v>
      </c>
      <c r="B297" s="1" t="s">
        <v>632</v>
      </c>
      <c r="C297" s="5">
        <v>1570.0</v>
      </c>
      <c r="D297" s="7" t="s">
        <v>20</v>
      </c>
      <c r="E297" s="2" t="s">
        <v>24</v>
      </c>
      <c r="F297" s="2" t="s">
        <v>27</v>
      </c>
      <c r="G297" s="8" t="str">
        <f>IFERROR(__xludf.DUMMYFUNCTION("REGEXEXTRACT(B297, ""-([^-\s]+)$"")"),"XL")</f>
        <v>XL</v>
      </c>
      <c r="H297" s="2" t="s">
        <v>967</v>
      </c>
      <c r="I297" s="8" t="str">
        <f t="shared" si="1"/>
        <v>48 in</v>
      </c>
      <c r="J297" s="9" t="s">
        <v>968</v>
      </c>
    </row>
    <row r="298">
      <c r="A298" s="4">
        <v>3.4590208E7</v>
      </c>
      <c r="B298" s="1" t="s">
        <v>718</v>
      </c>
      <c r="C298" s="5">
        <v>1150.0</v>
      </c>
      <c r="D298" s="7" t="s">
        <v>20</v>
      </c>
      <c r="E298" s="2" t="s">
        <v>24</v>
      </c>
      <c r="F298" s="2" t="s">
        <v>27</v>
      </c>
      <c r="G298" s="8" t="str">
        <f>IFERROR(__xludf.DUMMYFUNCTION("REGEXEXTRACT(B298, ""-([^-\s]+)$"")"),"L")</f>
        <v>L</v>
      </c>
      <c r="H298" s="2" t="s">
        <v>967</v>
      </c>
      <c r="I298" s="8" t="str">
        <f t="shared" si="1"/>
        <v>46 in</v>
      </c>
      <c r="J298" s="9" t="s">
        <v>969</v>
      </c>
    </row>
    <row r="299">
      <c r="A299" s="4">
        <v>3.4590208E7</v>
      </c>
      <c r="B299" s="1" t="s">
        <v>716</v>
      </c>
      <c r="C299" s="5">
        <v>1150.0</v>
      </c>
      <c r="D299" s="7" t="s">
        <v>20</v>
      </c>
      <c r="E299" s="2" t="s">
        <v>24</v>
      </c>
      <c r="F299" s="2" t="s">
        <v>27</v>
      </c>
      <c r="G299" s="8" t="str">
        <f>IFERROR(__xludf.DUMMYFUNCTION("REGEXEXTRACT(B299, ""-([^-\s]+)$"")"),"M")</f>
        <v>M</v>
      </c>
      <c r="H299" s="2" t="s">
        <v>967</v>
      </c>
      <c r="I299" s="8" t="str">
        <f t="shared" si="1"/>
        <v>44 in</v>
      </c>
      <c r="J299" s="9" t="s">
        <v>969</v>
      </c>
    </row>
    <row r="300">
      <c r="A300" s="4">
        <v>3.4590208E7</v>
      </c>
      <c r="B300" s="1" t="s">
        <v>714</v>
      </c>
      <c r="C300" s="5">
        <v>1150.0</v>
      </c>
      <c r="D300" s="7" t="s">
        <v>20</v>
      </c>
      <c r="E300" s="2" t="s">
        <v>24</v>
      </c>
      <c r="F300" s="2" t="s">
        <v>27</v>
      </c>
      <c r="G300" s="8" t="str">
        <f>IFERROR(__xludf.DUMMYFUNCTION("REGEXEXTRACT(B300, ""-([^-\s]+)$"")"),"S")</f>
        <v>S</v>
      </c>
      <c r="H300" s="2" t="s">
        <v>967</v>
      </c>
      <c r="I300" s="8" t="str">
        <f t="shared" si="1"/>
        <v>42 in</v>
      </c>
      <c r="J300" s="9" t="s">
        <v>969</v>
      </c>
    </row>
    <row r="301">
      <c r="A301" s="4">
        <v>3.4590208E7</v>
      </c>
      <c r="B301" s="1" t="s">
        <v>719</v>
      </c>
      <c r="C301" s="5">
        <v>1150.0</v>
      </c>
      <c r="D301" s="7" t="s">
        <v>20</v>
      </c>
      <c r="E301" s="2" t="s">
        <v>24</v>
      </c>
      <c r="F301" s="2" t="s">
        <v>27</v>
      </c>
      <c r="G301" s="8" t="str">
        <f>IFERROR(__xludf.DUMMYFUNCTION("REGEXEXTRACT(B301, ""-([^-\s]+)$"")"),"XL")</f>
        <v>XL</v>
      </c>
      <c r="H301" s="2" t="s">
        <v>967</v>
      </c>
      <c r="I301" s="8" t="str">
        <f t="shared" si="1"/>
        <v>48 in</v>
      </c>
      <c r="J301" s="9" t="s">
        <v>969</v>
      </c>
    </row>
    <row r="302">
      <c r="A302" s="4">
        <v>3.4590251E7</v>
      </c>
      <c r="B302" s="1" t="s">
        <v>731</v>
      </c>
      <c r="C302" s="5">
        <v>1150.0</v>
      </c>
      <c r="D302" s="7" t="s">
        <v>20</v>
      </c>
      <c r="E302" s="2" t="s">
        <v>24</v>
      </c>
      <c r="F302" s="2" t="s">
        <v>27</v>
      </c>
      <c r="G302" s="8" t="str">
        <f>IFERROR(__xludf.DUMMYFUNCTION("REGEXEXTRACT(B302, ""-([^-\s]+)$"")"),"L")</f>
        <v>L</v>
      </c>
      <c r="H302" s="2" t="s">
        <v>970</v>
      </c>
      <c r="I302" s="8" t="str">
        <f t="shared" si="1"/>
        <v>46 in</v>
      </c>
      <c r="J302" s="9" t="s">
        <v>971</v>
      </c>
    </row>
    <row r="303">
      <c r="A303" s="4">
        <v>3.4590251E7</v>
      </c>
      <c r="B303" s="1" t="s">
        <v>736</v>
      </c>
      <c r="C303" s="5">
        <v>1150.0</v>
      </c>
      <c r="D303" s="7" t="s">
        <v>20</v>
      </c>
      <c r="E303" s="2" t="s">
        <v>24</v>
      </c>
      <c r="F303" s="2" t="s">
        <v>27</v>
      </c>
      <c r="G303" s="8" t="str">
        <f>IFERROR(__xludf.DUMMYFUNCTION("REGEXEXTRACT(B303, ""-([^-\s]+)$"")"),"M")</f>
        <v>M</v>
      </c>
      <c r="H303" s="2" t="s">
        <v>970</v>
      </c>
      <c r="I303" s="8" t="str">
        <f t="shared" si="1"/>
        <v>44 in</v>
      </c>
      <c r="J303" s="9" t="s">
        <v>971</v>
      </c>
    </row>
    <row r="304">
      <c r="A304" s="4">
        <v>3.4590251E7</v>
      </c>
      <c r="B304" s="1" t="s">
        <v>730</v>
      </c>
      <c r="C304" s="5">
        <v>1150.0</v>
      </c>
      <c r="D304" s="7" t="s">
        <v>20</v>
      </c>
      <c r="E304" s="2" t="s">
        <v>24</v>
      </c>
      <c r="F304" s="2" t="s">
        <v>27</v>
      </c>
      <c r="G304" s="8" t="str">
        <f>IFERROR(__xludf.DUMMYFUNCTION("REGEXEXTRACT(B304, ""-([^-\s]+)$"")"),"S")</f>
        <v>S</v>
      </c>
      <c r="H304" s="2" t="s">
        <v>970</v>
      </c>
      <c r="I304" s="8" t="str">
        <f t="shared" si="1"/>
        <v>42 in</v>
      </c>
      <c r="J304" s="9" t="s">
        <v>971</v>
      </c>
    </row>
    <row r="305">
      <c r="A305" s="4">
        <v>3.4590251E7</v>
      </c>
      <c r="B305" s="1" t="s">
        <v>734</v>
      </c>
      <c r="C305" s="5">
        <v>1150.0</v>
      </c>
      <c r="D305" s="7" t="s">
        <v>20</v>
      </c>
      <c r="E305" s="2" t="s">
        <v>24</v>
      </c>
      <c r="F305" s="2" t="s">
        <v>27</v>
      </c>
      <c r="G305" s="8" t="str">
        <f>IFERROR(__xludf.DUMMYFUNCTION("REGEXEXTRACT(B305, ""-([^-\s]+)$"")"),"XL")</f>
        <v>XL</v>
      </c>
      <c r="H305" s="2" t="s">
        <v>970</v>
      </c>
      <c r="I305" s="8" t="str">
        <f t="shared" si="1"/>
        <v>48 in</v>
      </c>
      <c r="J305" s="9" t="s">
        <v>971</v>
      </c>
    </row>
    <row r="306">
      <c r="A306" s="4">
        <v>3.4590235E7</v>
      </c>
      <c r="B306" s="1" t="s">
        <v>712</v>
      </c>
      <c r="C306" s="5">
        <v>1150.0</v>
      </c>
      <c r="D306" s="7" t="s">
        <v>20</v>
      </c>
      <c r="E306" s="2" t="s">
        <v>24</v>
      </c>
      <c r="F306" s="2" t="s">
        <v>27</v>
      </c>
      <c r="G306" s="8" t="str">
        <f>IFERROR(__xludf.DUMMYFUNCTION("REGEXEXTRACT(B306, ""-([^-\s]+)$"")"),"L")</f>
        <v>L</v>
      </c>
      <c r="H306" s="2" t="s">
        <v>972</v>
      </c>
      <c r="I306" s="8" t="str">
        <f t="shared" si="1"/>
        <v>46 in</v>
      </c>
      <c r="J306" s="9" t="s">
        <v>973</v>
      </c>
    </row>
    <row r="307">
      <c r="A307" s="4">
        <v>3.4590235E7</v>
      </c>
      <c r="B307" s="1" t="s">
        <v>708</v>
      </c>
      <c r="C307" s="5">
        <v>1150.0</v>
      </c>
      <c r="D307" s="7" t="s">
        <v>20</v>
      </c>
      <c r="E307" s="2" t="s">
        <v>24</v>
      </c>
      <c r="F307" s="2" t="s">
        <v>27</v>
      </c>
      <c r="G307" s="8" t="str">
        <f>IFERROR(__xludf.DUMMYFUNCTION("REGEXEXTRACT(B307, ""-([^-\s]+)$"")"),"M")</f>
        <v>M</v>
      </c>
      <c r="H307" s="2" t="s">
        <v>972</v>
      </c>
      <c r="I307" s="8" t="str">
        <f t="shared" si="1"/>
        <v>44 in</v>
      </c>
      <c r="J307" s="9" t="s">
        <v>973</v>
      </c>
    </row>
    <row r="308">
      <c r="A308" s="4">
        <v>3.4590235E7</v>
      </c>
      <c r="B308" s="1" t="s">
        <v>704</v>
      </c>
      <c r="C308" s="5">
        <v>1150.0</v>
      </c>
      <c r="D308" s="7" t="s">
        <v>20</v>
      </c>
      <c r="E308" s="2" t="s">
        <v>24</v>
      </c>
      <c r="F308" s="2" t="s">
        <v>27</v>
      </c>
      <c r="G308" s="8" t="str">
        <f>IFERROR(__xludf.DUMMYFUNCTION("REGEXEXTRACT(B308, ""-([^-\s]+)$"")"),"S")</f>
        <v>S</v>
      </c>
      <c r="H308" s="2" t="s">
        <v>972</v>
      </c>
      <c r="I308" s="8" t="str">
        <f t="shared" si="1"/>
        <v>42 in</v>
      </c>
      <c r="J308" s="9" t="s">
        <v>973</v>
      </c>
    </row>
    <row r="309">
      <c r="A309" s="4">
        <v>3.4590235E7</v>
      </c>
      <c r="B309" s="1" t="s">
        <v>706</v>
      </c>
      <c r="C309" s="5">
        <v>1150.0</v>
      </c>
      <c r="D309" s="7" t="s">
        <v>20</v>
      </c>
      <c r="E309" s="2" t="s">
        <v>24</v>
      </c>
      <c r="F309" s="2" t="s">
        <v>27</v>
      </c>
      <c r="G309" s="8" t="str">
        <f>IFERROR(__xludf.DUMMYFUNCTION("REGEXEXTRACT(B309, ""-([^-\s]+)$"")"),"XL")</f>
        <v>XL</v>
      </c>
      <c r="H309" s="2" t="s">
        <v>972</v>
      </c>
      <c r="I309" s="8" t="str">
        <f t="shared" si="1"/>
        <v>48 in</v>
      </c>
      <c r="J309" s="9" t="s">
        <v>973</v>
      </c>
    </row>
    <row r="310">
      <c r="A310" s="4">
        <v>3.4590202E7</v>
      </c>
      <c r="B310" s="1" t="s">
        <v>745</v>
      </c>
      <c r="C310" s="5">
        <v>1150.0</v>
      </c>
      <c r="D310" s="7" t="s">
        <v>20</v>
      </c>
      <c r="E310" s="2" t="s">
        <v>24</v>
      </c>
      <c r="F310" s="2" t="s">
        <v>27</v>
      </c>
      <c r="G310" s="8" t="str">
        <f>IFERROR(__xludf.DUMMYFUNCTION("REGEXEXTRACT(B310, ""-([^-\s]+)$"")"),"L")</f>
        <v>L</v>
      </c>
      <c r="H310" s="2" t="s">
        <v>967</v>
      </c>
      <c r="I310" s="8" t="str">
        <f t="shared" si="1"/>
        <v>46 in</v>
      </c>
      <c r="J310" s="9" t="s">
        <v>974</v>
      </c>
    </row>
    <row r="311">
      <c r="A311" s="4">
        <v>3.4590202E7</v>
      </c>
      <c r="B311" s="1" t="s">
        <v>743</v>
      </c>
      <c r="C311" s="5">
        <v>1150.0</v>
      </c>
      <c r="D311" s="7" t="s">
        <v>20</v>
      </c>
      <c r="E311" s="2" t="s">
        <v>24</v>
      </c>
      <c r="F311" s="2" t="s">
        <v>27</v>
      </c>
      <c r="G311" s="8" t="str">
        <f>IFERROR(__xludf.DUMMYFUNCTION("REGEXEXTRACT(B311, ""-([^-\s]+)$"")"),"M")</f>
        <v>M</v>
      </c>
      <c r="H311" s="2" t="s">
        <v>967</v>
      </c>
      <c r="I311" s="8" t="str">
        <f t="shared" si="1"/>
        <v>44 in</v>
      </c>
      <c r="J311" s="9" t="s">
        <v>974</v>
      </c>
    </row>
    <row r="312">
      <c r="A312" s="4">
        <v>3.4590202E7</v>
      </c>
      <c r="B312" s="1" t="s">
        <v>739</v>
      </c>
      <c r="C312" s="5">
        <v>1150.0</v>
      </c>
      <c r="D312" s="7" t="s">
        <v>20</v>
      </c>
      <c r="E312" s="2" t="s">
        <v>24</v>
      </c>
      <c r="F312" s="2" t="s">
        <v>27</v>
      </c>
      <c r="G312" s="8" t="str">
        <f>IFERROR(__xludf.DUMMYFUNCTION("REGEXEXTRACT(B312, ""-([^-\s]+)$"")"),"S")</f>
        <v>S</v>
      </c>
      <c r="H312" s="2" t="s">
        <v>967</v>
      </c>
      <c r="I312" s="8" t="str">
        <f t="shared" si="1"/>
        <v>42 in</v>
      </c>
      <c r="J312" s="9" t="s">
        <v>974</v>
      </c>
    </row>
    <row r="313">
      <c r="A313" s="4">
        <v>3.4590202E7</v>
      </c>
      <c r="B313" s="1" t="s">
        <v>740</v>
      </c>
      <c r="C313" s="5">
        <v>1150.0</v>
      </c>
      <c r="D313" s="7" t="s">
        <v>20</v>
      </c>
      <c r="E313" s="2" t="s">
        <v>24</v>
      </c>
      <c r="F313" s="2" t="s">
        <v>27</v>
      </c>
      <c r="G313" s="8" t="str">
        <f>IFERROR(__xludf.DUMMYFUNCTION("REGEXEXTRACT(B313, ""-([^-\s]+)$"")"),"XL")</f>
        <v>XL</v>
      </c>
      <c r="H313" s="2" t="s">
        <v>967</v>
      </c>
      <c r="I313" s="8" t="str">
        <f t="shared" si="1"/>
        <v>48 in</v>
      </c>
      <c r="J313" s="9" t="s">
        <v>974</v>
      </c>
    </row>
    <row r="314">
      <c r="A314" s="4">
        <v>3.6673034E7</v>
      </c>
      <c r="B314" s="1" t="s">
        <v>506</v>
      </c>
      <c r="C314" s="12">
        <v>1855.0</v>
      </c>
      <c r="D314" s="7" t="s">
        <v>20</v>
      </c>
      <c r="E314" s="1" t="s">
        <v>24</v>
      </c>
      <c r="F314" s="2" t="s">
        <v>27</v>
      </c>
      <c r="G314" s="8" t="str">
        <f>IFERROR(__xludf.DUMMYFUNCTION("REGEXEXTRACT(B314, ""-([^-\s]+)$"")"),"L")</f>
        <v>L</v>
      </c>
      <c r="H314" s="2" t="s">
        <v>710</v>
      </c>
      <c r="I314" s="8" t="str">
        <f t="shared" si="1"/>
        <v>46 in</v>
      </c>
      <c r="J314" s="9" t="s">
        <v>975</v>
      </c>
    </row>
    <row r="315">
      <c r="A315" s="4">
        <v>3.6673034E7</v>
      </c>
      <c r="B315" s="1" t="s">
        <v>508</v>
      </c>
      <c r="C315" s="12">
        <v>1855.0</v>
      </c>
      <c r="D315" s="7" t="s">
        <v>20</v>
      </c>
      <c r="E315" s="1" t="s">
        <v>24</v>
      </c>
      <c r="F315" s="2" t="s">
        <v>27</v>
      </c>
      <c r="G315" s="8" t="str">
        <f>IFERROR(__xludf.DUMMYFUNCTION("REGEXEXTRACT(B315, ""-([^-\s]+)$"")"),"M")</f>
        <v>M</v>
      </c>
      <c r="H315" s="2" t="s">
        <v>710</v>
      </c>
      <c r="I315" s="8" t="str">
        <f t="shared" si="1"/>
        <v>44 in</v>
      </c>
      <c r="J315" s="9" t="s">
        <v>975</v>
      </c>
    </row>
    <row r="316">
      <c r="A316" s="4">
        <v>3.6673034E7</v>
      </c>
      <c r="B316" s="1" t="s">
        <v>510</v>
      </c>
      <c r="C316" s="12">
        <v>1855.0</v>
      </c>
      <c r="D316" s="7" t="s">
        <v>20</v>
      </c>
      <c r="E316" s="1" t="s">
        <v>24</v>
      </c>
      <c r="F316" s="2" t="s">
        <v>27</v>
      </c>
      <c r="G316" s="8" t="str">
        <f>IFERROR(__xludf.DUMMYFUNCTION("REGEXEXTRACT(B316, ""-([^-\s]+)$"")"),"S")</f>
        <v>S</v>
      </c>
      <c r="H316" s="2" t="s">
        <v>710</v>
      </c>
      <c r="I316" s="8" t="str">
        <f t="shared" si="1"/>
        <v>42 in</v>
      </c>
      <c r="J316" s="9" t="s">
        <v>975</v>
      </c>
    </row>
    <row r="317">
      <c r="A317" s="4">
        <v>3.6673034E7</v>
      </c>
      <c r="B317" s="1" t="s">
        <v>512</v>
      </c>
      <c r="C317" s="12">
        <v>1855.0</v>
      </c>
      <c r="D317" s="7" t="s">
        <v>20</v>
      </c>
      <c r="E317" s="1" t="s">
        <v>24</v>
      </c>
      <c r="F317" s="2" t="s">
        <v>27</v>
      </c>
      <c r="G317" s="8" t="str">
        <f>IFERROR(__xludf.DUMMYFUNCTION("REGEXEXTRACT(B317, ""-([^-\s]+)$"")"),"XL")</f>
        <v>XL</v>
      </c>
      <c r="H317" s="2" t="s">
        <v>710</v>
      </c>
      <c r="I317" s="8" t="str">
        <f t="shared" si="1"/>
        <v>48 in</v>
      </c>
      <c r="J317" s="9" t="s">
        <v>975</v>
      </c>
    </row>
    <row r="318">
      <c r="A318" s="4">
        <v>3.4590248E7</v>
      </c>
      <c r="B318" s="1" t="s">
        <v>515</v>
      </c>
      <c r="C318" s="5">
        <v>1850.0</v>
      </c>
      <c r="D318" s="7" t="s">
        <v>20</v>
      </c>
      <c r="E318" s="2" t="s">
        <v>24</v>
      </c>
      <c r="F318" s="2" t="s">
        <v>27</v>
      </c>
      <c r="G318" s="8" t="str">
        <f>IFERROR(__xludf.DUMMYFUNCTION("REGEXEXTRACT(B318, ""-([^-\s]+)$"")"),"L")</f>
        <v>L</v>
      </c>
      <c r="H318" s="2" t="s">
        <v>484</v>
      </c>
      <c r="I318" s="8" t="str">
        <f t="shared" si="1"/>
        <v>46 in</v>
      </c>
      <c r="J318" s="9" t="s">
        <v>976</v>
      </c>
    </row>
    <row r="319">
      <c r="A319" s="4">
        <v>3.4590248E7</v>
      </c>
      <c r="B319" s="1" t="s">
        <v>519</v>
      </c>
      <c r="C319" s="5">
        <v>1850.0</v>
      </c>
      <c r="D319" s="7" t="s">
        <v>20</v>
      </c>
      <c r="E319" s="2" t="s">
        <v>24</v>
      </c>
      <c r="F319" s="2" t="s">
        <v>27</v>
      </c>
      <c r="G319" s="8" t="str">
        <f>IFERROR(__xludf.DUMMYFUNCTION("REGEXEXTRACT(B319, ""-([^-\s]+)$"")"),"M")</f>
        <v>M</v>
      </c>
      <c r="H319" s="2" t="s">
        <v>484</v>
      </c>
      <c r="I319" s="8" t="str">
        <f t="shared" si="1"/>
        <v>44 in</v>
      </c>
      <c r="J319" s="9" t="s">
        <v>976</v>
      </c>
    </row>
    <row r="320">
      <c r="A320" s="4">
        <v>3.4590248E7</v>
      </c>
      <c r="B320" s="1" t="s">
        <v>522</v>
      </c>
      <c r="C320" s="5">
        <v>1850.0</v>
      </c>
      <c r="D320" s="7" t="s">
        <v>20</v>
      </c>
      <c r="E320" s="2" t="s">
        <v>24</v>
      </c>
      <c r="F320" s="2" t="s">
        <v>27</v>
      </c>
      <c r="G320" s="8" t="str">
        <f>IFERROR(__xludf.DUMMYFUNCTION("REGEXEXTRACT(B320, ""-([^-\s]+)$"")"),"S")</f>
        <v>S</v>
      </c>
      <c r="H320" s="2" t="s">
        <v>484</v>
      </c>
      <c r="I320" s="8" t="str">
        <f t="shared" si="1"/>
        <v>42 in</v>
      </c>
      <c r="J320" s="9" t="s">
        <v>976</v>
      </c>
    </row>
    <row r="321">
      <c r="A321" s="4">
        <v>3.4590248E7</v>
      </c>
      <c r="B321" s="1" t="s">
        <v>525</v>
      </c>
      <c r="C321" s="5">
        <v>1850.0</v>
      </c>
      <c r="D321" s="7" t="s">
        <v>20</v>
      </c>
      <c r="E321" s="2" t="s">
        <v>24</v>
      </c>
      <c r="F321" s="2" t="s">
        <v>27</v>
      </c>
      <c r="G321" s="8" t="str">
        <f>IFERROR(__xludf.DUMMYFUNCTION("REGEXEXTRACT(B321, ""-([^-\s]+)$"")"),"XL")</f>
        <v>XL</v>
      </c>
      <c r="H321" s="2" t="s">
        <v>484</v>
      </c>
      <c r="I321" s="8" t="str">
        <f t="shared" si="1"/>
        <v>48 in</v>
      </c>
      <c r="J321" s="9" t="s">
        <v>976</v>
      </c>
    </row>
    <row r="322">
      <c r="A322" s="4">
        <v>3.4590229E7</v>
      </c>
      <c r="B322" s="1" t="s">
        <v>528</v>
      </c>
      <c r="C322" s="5">
        <v>1570.0</v>
      </c>
      <c r="D322" s="7" t="s">
        <v>20</v>
      </c>
      <c r="E322" s="2" t="s">
        <v>24</v>
      </c>
      <c r="F322" s="2" t="s">
        <v>27</v>
      </c>
      <c r="G322" s="8" t="str">
        <f>IFERROR(__xludf.DUMMYFUNCTION("REGEXEXTRACT(B322, ""-([^-\s]+)$"")"),"L")</f>
        <v>L</v>
      </c>
      <c r="H322" s="2" t="s">
        <v>923</v>
      </c>
      <c r="I322" s="8" t="str">
        <f t="shared" si="1"/>
        <v>46 in</v>
      </c>
      <c r="J322" s="9" t="s">
        <v>977</v>
      </c>
    </row>
    <row r="323">
      <c r="A323" s="4">
        <v>3.4590229E7</v>
      </c>
      <c r="B323" s="1" t="s">
        <v>531</v>
      </c>
      <c r="C323" s="5">
        <v>1570.0</v>
      </c>
      <c r="D323" s="7" t="s">
        <v>20</v>
      </c>
      <c r="E323" s="2" t="s">
        <v>24</v>
      </c>
      <c r="F323" s="2" t="s">
        <v>27</v>
      </c>
      <c r="G323" s="8" t="str">
        <f>IFERROR(__xludf.DUMMYFUNCTION("REGEXEXTRACT(B323, ""-([^-\s]+)$"")"),"M")</f>
        <v>M</v>
      </c>
      <c r="H323" s="2" t="s">
        <v>923</v>
      </c>
      <c r="I323" s="8" t="str">
        <f t="shared" si="1"/>
        <v>44 in</v>
      </c>
      <c r="J323" s="9" t="s">
        <v>977</v>
      </c>
    </row>
    <row r="324">
      <c r="A324" s="4">
        <v>3.4590229E7</v>
      </c>
      <c r="B324" s="1" t="s">
        <v>533</v>
      </c>
      <c r="C324" s="5">
        <v>1570.0</v>
      </c>
      <c r="D324" s="7" t="s">
        <v>20</v>
      </c>
      <c r="E324" s="2" t="s">
        <v>24</v>
      </c>
      <c r="F324" s="2" t="s">
        <v>27</v>
      </c>
      <c r="G324" s="8" t="str">
        <f>IFERROR(__xludf.DUMMYFUNCTION("REGEXEXTRACT(B324, ""-([^-\s]+)$"")"),"S")</f>
        <v>S</v>
      </c>
      <c r="H324" s="2" t="s">
        <v>923</v>
      </c>
      <c r="I324" s="8" t="str">
        <f t="shared" si="1"/>
        <v>42 in</v>
      </c>
      <c r="J324" s="9" t="s">
        <v>977</v>
      </c>
    </row>
    <row r="325">
      <c r="A325" s="4">
        <v>3.4590229E7</v>
      </c>
      <c r="B325" s="1" t="s">
        <v>536</v>
      </c>
      <c r="C325" s="5">
        <v>1570.0</v>
      </c>
      <c r="D325" s="7" t="s">
        <v>20</v>
      </c>
      <c r="E325" s="2" t="s">
        <v>24</v>
      </c>
      <c r="F325" s="2" t="s">
        <v>27</v>
      </c>
      <c r="G325" s="8" t="str">
        <f>IFERROR(__xludf.DUMMYFUNCTION("REGEXEXTRACT(B325, ""-([^-\s]+)$"")"),"XL")</f>
        <v>XL</v>
      </c>
      <c r="H325" s="2" t="s">
        <v>923</v>
      </c>
      <c r="I325" s="8" t="str">
        <f t="shared" si="1"/>
        <v>48 in</v>
      </c>
      <c r="J325" s="9" t="s">
        <v>977</v>
      </c>
    </row>
    <row r="326">
      <c r="A326" s="4">
        <v>3.4590232E7</v>
      </c>
      <c r="B326" s="1" t="s">
        <v>538</v>
      </c>
      <c r="C326" s="5">
        <v>1585.0</v>
      </c>
      <c r="D326" s="7" t="s">
        <v>20</v>
      </c>
      <c r="E326" s="2" t="s">
        <v>24</v>
      </c>
      <c r="F326" s="2" t="s">
        <v>27</v>
      </c>
      <c r="G326" s="8" t="str">
        <f>IFERROR(__xludf.DUMMYFUNCTION("REGEXEXTRACT(B326, ""-([^-\s]+)$"")"),"L")</f>
        <v>L</v>
      </c>
      <c r="H326" s="2" t="s">
        <v>484</v>
      </c>
      <c r="I326" s="8" t="str">
        <f t="shared" si="1"/>
        <v>46 in</v>
      </c>
      <c r="J326" s="9" t="s">
        <v>978</v>
      </c>
    </row>
    <row r="327">
      <c r="A327" s="4">
        <v>3.4590232E7</v>
      </c>
      <c r="B327" s="1" t="s">
        <v>542</v>
      </c>
      <c r="C327" s="5">
        <v>1585.0</v>
      </c>
      <c r="D327" s="7" t="s">
        <v>20</v>
      </c>
      <c r="E327" s="2" t="s">
        <v>24</v>
      </c>
      <c r="F327" s="2" t="s">
        <v>27</v>
      </c>
      <c r="G327" s="8" t="str">
        <f>IFERROR(__xludf.DUMMYFUNCTION("REGEXEXTRACT(B327, ""-([^-\s]+)$"")"),"M")</f>
        <v>M</v>
      </c>
      <c r="H327" s="2" t="s">
        <v>484</v>
      </c>
      <c r="I327" s="8" t="str">
        <f t="shared" si="1"/>
        <v>44 in</v>
      </c>
      <c r="J327" s="9" t="s">
        <v>978</v>
      </c>
    </row>
    <row r="328">
      <c r="A328" s="4">
        <v>3.4590232E7</v>
      </c>
      <c r="B328" s="1" t="s">
        <v>544</v>
      </c>
      <c r="C328" s="5">
        <v>1585.0</v>
      </c>
      <c r="D328" s="7" t="s">
        <v>20</v>
      </c>
      <c r="E328" s="2" t="s">
        <v>24</v>
      </c>
      <c r="F328" s="2" t="s">
        <v>27</v>
      </c>
      <c r="G328" s="8" t="str">
        <f>IFERROR(__xludf.DUMMYFUNCTION("REGEXEXTRACT(B328, ""-([^-\s]+)$"")"),"S")</f>
        <v>S</v>
      </c>
      <c r="H328" s="2" t="s">
        <v>484</v>
      </c>
      <c r="I328" s="8" t="str">
        <f t="shared" si="1"/>
        <v>42 in</v>
      </c>
      <c r="J328" s="9" t="s">
        <v>978</v>
      </c>
    </row>
    <row r="329">
      <c r="A329" s="4">
        <v>3.4590232E7</v>
      </c>
      <c r="B329" s="1" t="s">
        <v>545</v>
      </c>
      <c r="C329" s="5">
        <v>1585.0</v>
      </c>
      <c r="D329" s="7" t="s">
        <v>20</v>
      </c>
      <c r="E329" s="2" t="s">
        <v>24</v>
      </c>
      <c r="F329" s="2" t="s">
        <v>27</v>
      </c>
      <c r="G329" s="8" t="str">
        <f>IFERROR(__xludf.DUMMYFUNCTION("REGEXEXTRACT(B329, ""-([^-\s]+)$"")"),"XL")</f>
        <v>XL</v>
      </c>
      <c r="H329" s="2" t="s">
        <v>484</v>
      </c>
      <c r="I329" s="8" t="str">
        <f t="shared" si="1"/>
        <v>48 in</v>
      </c>
      <c r="J329" s="9" t="s">
        <v>978</v>
      </c>
    </row>
    <row r="330">
      <c r="A330" s="4">
        <v>3.5356964E7</v>
      </c>
      <c r="B330" s="1" t="s">
        <v>546</v>
      </c>
      <c r="C330" s="5">
        <v>1700.0</v>
      </c>
      <c r="D330" s="7" t="s">
        <v>20</v>
      </c>
      <c r="E330" s="2" t="s">
        <v>24</v>
      </c>
      <c r="F330" s="2" t="s">
        <v>27</v>
      </c>
      <c r="G330" s="8" t="str">
        <f>IFERROR(__xludf.DUMMYFUNCTION("REGEXEXTRACT(B330, ""-([^-\s]+)$"")"),"L")</f>
        <v>L</v>
      </c>
      <c r="H330" s="2" t="s">
        <v>928</v>
      </c>
      <c r="I330" s="8" t="str">
        <f t="shared" si="1"/>
        <v>46 in</v>
      </c>
      <c r="J330" s="9" t="s">
        <v>979</v>
      </c>
    </row>
    <row r="331">
      <c r="A331" s="4">
        <v>3.4590237E7</v>
      </c>
      <c r="B331" s="1" t="s">
        <v>547</v>
      </c>
      <c r="C331" s="5">
        <v>1570.0</v>
      </c>
      <c r="D331" s="7" t="s">
        <v>20</v>
      </c>
      <c r="E331" s="2" t="s">
        <v>24</v>
      </c>
      <c r="F331" s="2" t="s">
        <v>27</v>
      </c>
      <c r="G331" s="8" t="str">
        <f>IFERROR(__xludf.DUMMYFUNCTION("REGEXEXTRACT(B331, ""-([^-\s]+)$"")"),"M")</f>
        <v>M</v>
      </c>
      <c r="H331" s="2" t="s">
        <v>928</v>
      </c>
      <c r="I331" s="8" t="str">
        <f t="shared" si="1"/>
        <v>44 in</v>
      </c>
      <c r="J331" s="9" t="s">
        <v>929</v>
      </c>
    </row>
    <row r="332">
      <c r="A332" s="4">
        <v>3.5356991E7</v>
      </c>
      <c r="B332" s="1" t="s">
        <v>551</v>
      </c>
      <c r="C332" s="5">
        <v>1570.0</v>
      </c>
      <c r="D332" s="7" t="s">
        <v>20</v>
      </c>
      <c r="E332" s="2" t="s">
        <v>24</v>
      </c>
      <c r="F332" s="2" t="s">
        <v>27</v>
      </c>
      <c r="G332" s="8" t="str">
        <f>IFERROR(__xludf.DUMMYFUNCTION("REGEXEXTRACT(B332, ""-([^-\s]+)$"")"),"M")</f>
        <v>M</v>
      </c>
      <c r="H332" s="2" t="s">
        <v>928</v>
      </c>
      <c r="I332" s="8" t="str">
        <f t="shared" si="1"/>
        <v>44 in</v>
      </c>
      <c r="J332" s="9" t="s">
        <v>930</v>
      </c>
    </row>
    <row r="333">
      <c r="A333" s="4">
        <v>4.2353966E7</v>
      </c>
      <c r="B333" s="1" t="s">
        <v>553</v>
      </c>
      <c r="C333" s="2">
        <v>1999.0</v>
      </c>
      <c r="D333" s="7" t="s">
        <v>20</v>
      </c>
      <c r="E333" s="1" t="s">
        <v>24</v>
      </c>
      <c r="F333" s="2" t="s">
        <v>27</v>
      </c>
      <c r="G333" s="8" t="str">
        <f>IFERROR(__xludf.DUMMYFUNCTION("REGEXEXTRACT(B333, ""-([^-\s]+)$"")"),"XL")</f>
        <v>XL</v>
      </c>
      <c r="H333" s="2" t="s">
        <v>928</v>
      </c>
      <c r="I333" s="8" t="str">
        <f t="shared" si="1"/>
        <v>48 in</v>
      </c>
      <c r="J333" s="9" t="s">
        <v>937</v>
      </c>
    </row>
    <row r="334">
      <c r="A334" s="4">
        <v>3.4590217E7</v>
      </c>
      <c r="B334" s="1" t="s">
        <v>559</v>
      </c>
      <c r="C334" s="5">
        <v>1570.0</v>
      </c>
      <c r="D334" s="7" t="s">
        <v>20</v>
      </c>
      <c r="E334" s="2" t="s">
        <v>24</v>
      </c>
      <c r="F334" s="2" t="s">
        <v>27</v>
      </c>
      <c r="G334" s="8" t="str">
        <f>IFERROR(__xludf.DUMMYFUNCTION("REGEXEXTRACT(B334, ""-([^-\s]+)$"")"),"L")</f>
        <v>L</v>
      </c>
      <c r="H334" s="2" t="s">
        <v>980</v>
      </c>
      <c r="I334" s="8" t="str">
        <f t="shared" si="1"/>
        <v>46 in</v>
      </c>
      <c r="J334" s="9" t="s">
        <v>981</v>
      </c>
    </row>
    <row r="335">
      <c r="A335" s="4">
        <v>3.4590217E7</v>
      </c>
      <c r="B335" s="1" t="s">
        <v>561</v>
      </c>
      <c r="C335" s="5">
        <v>1570.0</v>
      </c>
      <c r="D335" s="7" t="s">
        <v>20</v>
      </c>
      <c r="E335" s="2" t="s">
        <v>24</v>
      </c>
      <c r="F335" s="2" t="s">
        <v>27</v>
      </c>
      <c r="G335" s="8" t="str">
        <f>IFERROR(__xludf.DUMMYFUNCTION("REGEXEXTRACT(B335, ""-([^-\s]+)$"")"),"M")</f>
        <v>M</v>
      </c>
      <c r="H335" s="2" t="s">
        <v>980</v>
      </c>
      <c r="I335" s="8" t="str">
        <f t="shared" si="1"/>
        <v>44 in</v>
      </c>
      <c r="J335" s="9" t="s">
        <v>981</v>
      </c>
    </row>
    <row r="336">
      <c r="A336" s="4">
        <v>3.4590217E7</v>
      </c>
      <c r="B336" s="1" t="s">
        <v>564</v>
      </c>
      <c r="C336" s="5">
        <v>1570.0</v>
      </c>
      <c r="D336" s="7" t="s">
        <v>20</v>
      </c>
      <c r="E336" s="2" t="s">
        <v>24</v>
      </c>
      <c r="F336" s="2" t="s">
        <v>27</v>
      </c>
      <c r="G336" s="8" t="str">
        <f>IFERROR(__xludf.DUMMYFUNCTION("REGEXEXTRACT(B336, ""-([^-\s]+)$"")"),"S")</f>
        <v>S</v>
      </c>
      <c r="H336" s="2" t="s">
        <v>980</v>
      </c>
      <c r="I336" s="8" t="str">
        <f t="shared" si="1"/>
        <v>42 in</v>
      </c>
      <c r="J336" s="9" t="s">
        <v>981</v>
      </c>
    </row>
    <row r="337">
      <c r="A337" s="4">
        <v>3.4590217E7</v>
      </c>
      <c r="B337" s="1" t="s">
        <v>567</v>
      </c>
      <c r="C337" s="5">
        <v>1570.0</v>
      </c>
      <c r="D337" s="7" t="s">
        <v>20</v>
      </c>
      <c r="E337" s="2" t="s">
        <v>24</v>
      </c>
      <c r="F337" s="2" t="s">
        <v>27</v>
      </c>
      <c r="G337" s="8" t="str">
        <f>IFERROR(__xludf.DUMMYFUNCTION("REGEXEXTRACT(B337, ""-([^-\s]+)$"")"),"XL")</f>
        <v>XL</v>
      </c>
      <c r="H337" s="2" t="s">
        <v>980</v>
      </c>
      <c r="I337" s="8" t="str">
        <f t="shared" si="1"/>
        <v>48 in</v>
      </c>
      <c r="J337" s="9" t="s">
        <v>981</v>
      </c>
    </row>
    <row r="338">
      <c r="A338" s="4">
        <v>4.235395E7</v>
      </c>
      <c r="B338" s="1" t="s">
        <v>572</v>
      </c>
      <c r="C338" s="2">
        <v>1999.0</v>
      </c>
      <c r="D338" s="7" t="s">
        <v>20</v>
      </c>
      <c r="E338" s="1" t="s">
        <v>24</v>
      </c>
      <c r="F338" s="2" t="s">
        <v>27</v>
      </c>
      <c r="G338" s="8" t="str">
        <f>IFERROR(__xludf.DUMMYFUNCTION("REGEXEXTRACT(B338, ""-([^-\s]+)$"")"),"L")</f>
        <v>L</v>
      </c>
      <c r="H338" s="2" t="s">
        <v>484</v>
      </c>
      <c r="I338" s="8" t="str">
        <f t="shared" si="1"/>
        <v>46 in</v>
      </c>
      <c r="J338" s="9" t="s">
        <v>982</v>
      </c>
    </row>
    <row r="339">
      <c r="A339" s="4">
        <v>4.235395E7</v>
      </c>
      <c r="B339" s="1" t="s">
        <v>574</v>
      </c>
      <c r="C339" s="2">
        <v>1999.0</v>
      </c>
      <c r="D339" s="7" t="s">
        <v>20</v>
      </c>
      <c r="E339" s="1" t="s">
        <v>24</v>
      </c>
      <c r="F339" s="2" t="s">
        <v>27</v>
      </c>
      <c r="G339" s="8" t="str">
        <f>IFERROR(__xludf.DUMMYFUNCTION("REGEXEXTRACT(B339, ""-([^-\s]+)$"")"),"M")</f>
        <v>M</v>
      </c>
      <c r="H339" s="2" t="s">
        <v>484</v>
      </c>
      <c r="I339" s="8" t="str">
        <f t="shared" si="1"/>
        <v>44 in</v>
      </c>
      <c r="J339" s="9" t="s">
        <v>982</v>
      </c>
    </row>
    <row r="340">
      <c r="A340" s="4">
        <v>4.235395E7</v>
      </c>
      <c r="B340" s="1" t="s">
        <v>577</v>
      </c>
      <c r="C340" s="2">
        <v>1999.0</v>
      </c>
      <c r="D340" s="7" t="s">
        <v>20</v>
      </c>
      <c r="E340" s="1" t="s">
        <v>24</v>
      </c>
      <c r="F340" s="2" t="s">
        <v>27</v>
      </c>
      <c r="G340" s="8" t="str">
        <f>IFERROR(__xludf.DUMMYFUNCTION("REGEXEXTRACT(B340, ""-([^-\s]+)$"")"),"S")</f>
        <v>S</v>
      </c>
      <c r="H340" s="2" t="s">
        <v>484</v>
      </c>
      <c r="I340" s="8" t="str">
        <f t="shared" si="1"/>
        <v>42 in</v>
      </c>
      <c r="J340" s="9" t="s">
        <v>982</v>
      </c>
    </row>
    <row r="341">
      <c r="A341" s="4">
        <v>4.235395E7</v>
      </c>
      <c r="B341" s="1" t="s">
        <v>579</v>
      </c>
      <c r="C341" s="2">
        <v>1999.0</v>
      </c>
      <c r="D341" s="7" t="s">
        <v>20</v>
      </c>
      <c r="E341" s="1" t="s">
        <v>24</v>
      </c>
      <c r="F341" s="2" t="s">
        <v>27</v>
      </c>
      <c r="G341" s="8" t="str">
        <f>IFERROR(__xludf.DUMMYFUNCTION("REGEXEXTRACT(B341, ""-([^-\s]+)$"")"),"XL")</f>
        <v>XL</v>
      </c>
      <c r="H341" s="2" t="s">
        <v>484</v>
      </c>
      <c r="I341" s="8" t="str">
        <f t="shared" si="1"/>
        <v>48 in</v>
      </c>
      <c r="J341" s="9" t="s">
        <v>982</v>
      </c>
    </row>
    <row r="342">
      <c r="A342" s="4">
        <v>4.235397E7</v>
      </c>
      <c r="B342" s="1" t="s">
        <v>215</v>
      </c>
      <c r="C342" s="2">
        <v>1999.0</v>
      </c>
      <c r="D342" s="7" t="s">
        <v>20</v>
      </c>
      <c r="E342" s="1" t="s">
        <v>24</v>
      </c>
      <c r="F342" s="2" t="s">
        <v>27</v>
      </c>
      <c r="G342" s="8" t="str">
        <f>IFERROR(__xludf.DUMMYFUNCTION("REGEXEXTRACT(B342, ""-([^-\s]+)$"")"),"L")</f>
        <v>L</v>
      </c>
      <c r="H342" s="2" t="s">
        <v>980</v>
      </c>
      <c r="I342" s="8" t="str">
        <f t="shared" si="1"/>
        <v>46 in</v>
      </c>
      <c r="J342" s="9" t="s">
        <v>983</v>
      </c>
    </row>
    <row r="343">
      <c r="A343" s="4">
        <v>4.235397E7</v>
      </c>
      <c r="B343" s="1" t="s">
        <v>217</v>
      </c>
      <c r="C343" s="2">
        <v>1999.0</v>
      </c>
      <c r="D343" s="7" t="s">
        <v>20</v>
      </c>
      <c r="E343" s="1" t="s">
        <v>24</v>
      </c>
      <c r="F343" s="2" t="s">
        <v>27</v>
      </c>
      <c r="G343" s="8" t="str">
        <f>IFERROR(__xludf.DUMMYFUNCTION("REGEXEXTRACT(B343, ""-([^-\s]+)$"")"),"M")</f>
        <v>M</v>
      </c>
      <c r="H343" s="2" t="s">
        <v>980</v>
      </c>
      <c r="I343" s="8" t="str">
        <f t="shared" si="1"/>
        <v>44 in</v>
      </c>
      <c r="J343" s="9" t="s">
        <v>983</v>
      </c>
    </row>
    <row r="344">
      <c r="A344" s="4">
        <v>4.235397E7</v>
      </c>
      <c r="B344" s="1" t="s">
        <v>218</v>
      </c>
      <c r="C344" s="2">
        <v>1999.0</v>
      </c>
      <c r="D344" s="7" t="s">
        <v>20</v>
      </c>
      <c r="E344" s="1" t="s">
        <v>24</v>
      </c>
      <c r="F344" s="2" t="s">
        <v>27</v>
      </c>
      <c r="G344" s="8" t="str">
        <f>IFERROR(__xludf.DUMMYFUNCTION("REGEXEXTRACT(B344, ""-([^-\s]+)$"")"),"S")</f>
        <v>S</v>
      </c>
      <c r="H344" s="2" t="s">
        <v>980</v>
      </c>
      <c r="I344" s="8" t="str">
        <f t="shared" si="1"/>
        <v>42 in</v>
      </c>
      <c r="J344" s="9" t="s">
        <v>983</v>
      </c>
    </row>
    <row r="345">
      <c r="A345" s="4">
        <v>4.235397E7</v>
      </c>
      <c r="B345" s="1" t="s">
        <v>221</v>
      </c>
      <c r="C345" s="2">
        <v>1999.0</v>
      </c>
      <c r="D345" s="7" t="s">
        <v>20</v>
      </c>
      <c r="E345" s="1" t="s">
        <v>24</v>
      </c>
      <c r="F345" s="2" t="s">
        <v>27</v>
      </c>
      <c r="G345" s="8" t="str">
        <f>IFERROR(__xludf.DUMMYFUNCTION("REGEXEXTRACT(B345, ""-([^-\s]+)$"")"),"XL")</f>
        <v>XL</v>
      </c>
      <c r="H345" s="2" t="s">
        <v>980</v>
      </c>
      <c r="I345" s="8" t="str">
        <f t="shared" si="1"/>
        <v>48 in</v>
      </c>
      <c r="J345" s="9" t="s">
        <v>983</v>
      </c>
    </row>
    <row r="346">
      <c r="A346" s="4">
        <v>3.4590223E7</v>
      </c>
      <c r="B346" s="1" t="s">
        <v>59</v>
      </c>
      <c r="C346" s="5">
        <v>1285.0</v>
      </c>
      <c r="D346" s="7" t="s">
        <v>20</v>
      </c>
      <c r="E346" s="2" t="s">
        <v>24</v>
      </c>
      <c r="F346" s="2" t="s">
        <v>27</v>
      </c>
      <c r="G346" s="8" t="str">
        <f>IFERROR(__xludf.DUMMYFUNCTION("REGEXEXTRACT(B346, ""-([^-\s]+)$"")"),"L")</f>
        <v>L</v>
      </c>
      <c r="H346" s="2" t="s">
        <v>148</v>
      </c>
      <c r="I346" s="8" t="str">
        <f t="shared" si="1"/>
        <v>46 in</v>
      </c>
      <c r="J346" s="9" t="s">
        <v>984</v>
      </c>
    </row>
    <row r="347">
      <c r="A347" s="4">
        <v>3.4590223E7</v>
      </c>
      <c r="B347" s="1" t="s">
        <v>33</v>
      </c>
      <c r="C347" s="5">
        <v>1285.0</v>
      </c>
      <c r="D347" s="7" t="s">
        <v>20</v>
      </c>
      <c r="E347" s="2" t="s">
        <v>24</v>
      </c>
      <c r="F347" s="2" t="s">
        <v>27</v>
      </c>
      <c r="G347" s="8" t="str">
        <f>IFERROR(__xludf.DUMMYFUNCTION("REGEXEXTRACT(B347, ""-([^-\s]+)$"")"),"M")</f>
        <v>M</v>
      </c>
      <c r="H347" s="2" t="s">
        <v>148</v>
      </c>
      <c r="I347" s="8" t="str">
        <f t="shared" si="1"/>
        <v>44 in</v>
      </c>
      <c r="J347" s="9" t="s">
        <v>984</v>
      </c>
    </row>
    <row r="348">
      <c r="A348" s="4">
        <v>3.4590223E7</v>
      </c>
      <c r="B348" s="1" t="s">
        <v>30</v>
      </c>
      <c r="C348" s="5">
        <v>1285.0</v>
      </c>
      <c r="D348" s="7" t="s">
        <v>20</v>
      </c>
      <c r="E348" s="2" t="s">
        <v>24</v>
      </c>
      <c r="F348" s="2" t="s">
        <v>27</v>
      </c>
      <c r="G348" s="8" t="str">
        <f>IFERROR(__xludf.DUMMYFUNCTION("REGEXEXTRACT(B348, ""-([^-\s]+)$"")"),"S")</f>
        <v>S</v>
      </c>
      <c r="H348" s="2" t="s">
        <v>148</v>
      </c>
      <c r="I348" s="8" t="str">
        <f t="shared" si="1"/>
        <v>42 in</v>
      </c>
      <c r="J348" s="9" t="s">
        <v>984</v>
      </c>
    </row>
    <row r="349">
      <c r="A349" s="4">
        <v>3.4590223E7</v>
      </c>
      <c r="B349" s="1" t="s">
        <v>86</v>
      </c>
      <c r="C349" s="5">
        <v>1285.0</v>
      </c>
      <c r="D349" s="7" t="s">
        <v>20</v>
      </c>
      <c r="E349" s="2" t="s">
        <v>24</v>
      </c>
      <c r="F349" s="2" t="s">
        <v>27</v>
      </c>
      <c r="G349" s="8" t="str">
        <f>IFERROR(__xludf.DUMMYFUNCTION("REGEXEXTRACT(B349, ""-([^-\s]+)$"")"),"XL")</f>
        <v>XL</v>
      </c>
      <c r="H349" s="2" t="s">
        <v>148</v>
      </c>
      <c r="I349" s="8" t="str">
        <f t="shared" si="1"/>
        <v>48 in</v>
      </c>
      <c r="J349" s="9" t="s">
        <v>984</v>
      </c>
    </row>
    <row r="350">
      <c r="A350" s="4">
        <v>4.2353974E7</v>
      </c>
      <c r="B350" s="1" t="s">
        <v>588</v>
      </c>
      <c r="C350" s="2">
        <v>1999.0</v>
      </c>
      <c r="D350" s="7" t="s">
        <v>20</v>
      </c>
      <c r="E350" s="1" t="s">
        <v>24</v>
      </c>
      <c r="F350" s="2" t="s">
        <v>27</v>
      </c>
      <c r="G350" s="8" t="str">
        <f>IFERROR(__xludf.DUMMYFUNCTION("REGEXEXTRACT(B350, ""-([^-\s]+)$"")"),"L")</f>
        <v>L</v>
      </c>
      <c r="H350" s="2" t="s">
        <v>985</v>
      </c>
      <c r="I350" s="8" t="str">
        <f t="shared" si="1"/>
        <v>46 in</v>
      </c>
      <c r="J350" s="9" t="s">
        <v>986</v>
      </c>
    </row>
    <row r="351">
      <c r="A351" s="4">
        <v>4.2353974E7</v>
      </c>
      <c r="B351" s="1" t="s">
        <v>589</v>
      </c>
      <c r="C351" s="2">
        <v>1999.0</v>
      </c>
      <c r="D351" s="7" t="s">
        <v>20</v>
      </c>
      <c r="E351" s="1" t="s">
        <v>24</v>
      </c>
      <c r="F351" s="2" t="s">
        <v>27</v>
      </c>
      <c r="G351" s="8" t="str">
        <f>IFERROR(__xludf.DUMMYFUNCTION("REGEXEXTRACT(B351, ""-([^-\s]+)$"")"),"M")</f>
        <v>M</v>
      </c>
      <c r="H351" s="2" t="s">
        <v>985</v>
      </c>
      <c r="I351" s="8" t="str">
        <f t="shared" si="1"/>
        <v>44 in</v>
      </c>
      <c r="J351" s="9" t="s">
        <v>986</v>
      </c>
    </row>
    <row r="352">
      <c r="A352" s="4">
        <v>4.2353974E7</v>
      </c>
      <c r="B352" s="1" t="s">
        <v>591</v>
      </c>
      <c r="C352" s="2">
        <v>1999.0</v>
      </c>
      <c r="D352" s="7" t="s">
        <v>20</v>
      </c>
      <c r="E352" s="1" t="s">
        <v>24</v>
      </c>
      <c r="F352" s="2" t="s">
        <v>27</v>
      </c>
      <c r="G352" s="8" t="str">
        <f>IFERROR(__xludf.DUMMYFUNCTION("REGEXEXTRACT(B352, ""-([^-\s]+)$"")"),"S")</f>
        <v>S</v>
      </c>
      <c r="H352" s="2" t="s">
        <v>985</v>
      </c>
      <c r="I352" s="8" t="str">
        <f t="shared" si="1"/>
        <v>42 in</v>
      </c>
      <c r="J352" s="9" t="s">
        <v>986</v>
      </c>
    </row>
    <row r="353">
      <c r="A353" s="4">
        <v>4.2353974E7</v>
      </c>
      <c r="B353" s="1" t="s">
        <v>593</v>
      </c>
      <c r="C353" s="2">
        <v>1999.0</v>
      </c>
      <c r="D353" s="7" t="s">
        <v>20</v>
      </c>
      <c r="E353" s="1" t="s">
        <v>24</v>
      </c>
      <c r="F353" s="2" t="s">
        <v>27</v>
      </c>
      <c r="G353" s="8" t="str">
        <f>IFERROR(__xludf.DUMMYFUNCTION("REGEXEXTRACT(B353, ""-([^-\s]+)$"")"),"XL")</f>
        <v>XL</v>
      </c>
      <c r="H353" s="2" t="s">
        <v>985</v>
      </c>
      <c r="I353" s="8" t="str">
        <f t="shared" si="1"/>
        <v>48 in</v>
      </c>
      <c r="J353" s="9" t="s">
        <v>986</v>
      </c>
    </row>
    <row r="354">
      <c r="A354" s="4">
        <v>3.5356985E7</v>
      </c>
      <c r="B354" s="1" t="s">
        <v>595</v>
      </c>
      <c r="C354" s="5">
        <v>1700.0</v>
      </c>
      <c r="D354" s="7" t="s">
        <v>20</v>
      </c>
      <c r="E354" s="2" t="s">
        <v>24</v>
      </c>
      <c r="F354" s="2" t="s">
        <v>27</v>
      </c>
      <c r="G354" s="8" t="str">
        <f>IFERROR(__xludf.DUMMYFUNCTION("REGEXEXTRACT(B354, ""-([^-\s]+)$"")"),"L")</f>
        <v>L</v>
      </c>
      <c r="H354" s="2" t="s">
        <v>987</v>
      </c>
      <c r="I354" s="8" t="str">
        <f t="shared" si="1"/>
        <v>46 in</v>
      </c>
      <c r="J354" s="9" t="s">
        <v>988</v>
      </c>
    </row>
    <row r="355">
      <c r="A355" s="4">
        <v>3.5356985E7</v>
      </c>
      <c r="B355" s="1" t="s">
        <v>597</v>
      </c>
      <c r="C355" s="5">
        <v>1700.0</v>
      </c>
      <c r="D355" s="7" t="s">
        <v>20</v>
      </c>
      <c r="E355" s="2" t="s">
        <v>24</v>
      </c>
      <c r="F355" s="2" t="s">
        <v>27</v>
      </c>
      <c r="G355" s="8" t="str">
        <f>IFERROR(__xludf.DUMMYFUNCTION("REGEXEXTRACT(B355, ""-([^-\s]+)$"")"),"M")</f>
        <v>M</v>
      </c>
      <c r="H355" s="2" t="s">
        <v>987</v>
      </c>
      <c r="I355" s="8" t="str">
        <f t="shared" si="1"/>
        <v>44 in</v>
      </c>
      <c r="J355" s="9" t="s">
        <v>988</v>
      </c>
    </row>
    <row r="356">
      <c r="A356" s="4">
        <v>3.5356985E7</v>
      </c>
      <c r="B356" s="1" t="s">
        <v>598</v>
      </c>
      <c r="C356" s="5">
        <v>1700.0</v>
      </c>
      <c r="D356" s="7" t="s">
        <v>20</v>
      </c>
      <c r="E356" s="2" t="s">
        <v>24</v>
      </c>
      <c r="F356" s="2" t="s">
        <v>27</v>
      </c>
      <c r="G356" s="8" t="str">
        <f>IFERROR(__xludf.DUMMYFUNCTION("REGEXEXTRACT(B356, ""-([^-\s]+)$"")"),"S")</f>
        <v>S</v>
      </c>
      <c r="H356" s="2" t="s">
        <v>987</v>
      </c>
      <c r="I356" s="8" t="str">
        <f t="shared" si="1"/>
        <v>42 in</v>
      </c>
      <c r="J356" s="9" t="s">
        <v>988</v>
      </c>
    </row>
    <row r="357">
      <c r="A357" s="4">
        <v>3.5356985E7</v>
      </c>
      <c r="B357" s="1" t="s">
        <v>600</v>
      </c>
      <c r="C357" s="5">
        <v>1700.0</v>
      </c>
      <c r="D357" s="7" t="s">
        <v>20</v>
      </c>
      <c r="E357" s="2" t="s">
        <v>24</v>
      </c>
      <c r="F357" s="2" t="s">
        <v>27</v>
      </c>
      <c r="G357" s="8" t="str">
        <f>IFERROR(__xludf.DUMMYFUNCTION("REGEXEXTRACT(B357, ""-([^-\s]+)$"")"),"XL")</f>
        <v>XL</v>
      </c>
      <c r="H357" s="2" t="s">
        <v>987</v>
      </c>
      <c r="I357" s="8" t="str">
        <f t="shared" si="1"/>
        <v>48 in</v>
      </c>
      <c r="J357" s="9" t="s">
        <v>988</v>
      </c>
    </row>
    <row r="358">
      <c r="A358" s="4">
        <v>4.2353961E7</v>
      </c>
      <c r="B358" s="1" t="s">
        <v>602</v>
      </c>
      <c r="C358" s="2">
        <v>1999.0</v>
      </c>
      <c r="D358" s="7" t="s">
        <v>20</v>
      </c>
      <c r="E358" s="1" t="s">
        <v>24</v>
      </c>
      <c r="F358" s="2" t="s">
        <v>27</v>
      </c>
      <c r="G358" s="8" t="str">
        <f>IFERROR(__xludf.DUMMYFUNCTION("REGEXEXTRACT(B358, ""-([^-\s]+)$"")"),"L")</f>
        <v>L</v>
      </c>
      <c r="H358" s="2" t="s">
        <v>938</v>
      </c>
      <c r="I358" s="8" t="str">
        <f t="shared" si="1"/>
        <v>46 in</v>
      </c>
      <c r="J358" s="9" t="s">
        <v>989</v>
      </c>
    </row>
    <row r="359">
      <c r="A359" s="4">
        <v>4.2353961E7</v>
      </c>
      <c r="B359" s="1" t="s">
        <v>605</v>
      </c>
      <c r="C359" s="2">
        <v>1999.0</v>
      </c>
      <c r="D359" s="7" t="s">
        <v>20</v>
      </c>
      <c r="E359" s="1" t="s">
        <v>24</v>
      </c>
      <c r="F359" s="2" t="s">
        <v>27</v>
      </c>
      <c r="G359" s="8" t="str">
        <f>IFERROR(__xludf.DUMMYFUNCTION("REGEXEXTRACT(B359, ""-([^-\s]+)$"")"),"M")</f>
        <v>M</v>
      </c>
      <c r="H359" s="2" t="s">
        <v>938</v>
      </c>
      <c r="I359" s="8" t="str">
        <f t="shared" si="1"/>
        <v>44 in</v>
      </c>
      <c r="J359" s="9" t="s">
        <v>989</v>
      </c>
    </row>
    <row r="360">
      <c r="A360" s="4">
        <v>4.2353961E7</v>
      </c>
      <c r="B360" s="1" t="s">
        <v>608</v>
      </c>
      <c r="C360" s="2">
        <v>1999.0</v>
      </c>
      <c r="D360" s="7" t="s">
        <v>20</v>
      </c>
      <c r="E360" s="1" t="s">
        <v>24</v>
      </c>
      <c r="F360" s="2" t="s">
        <v>27</v>
      </c>
      <c r="G360" s="8" t="str">
        <f>IFERROR(__xludf.DUMMYFUNCTION("REGEXEXTRACT(B360, ""-([^-\s]+)$"")"),"S")</f>
        <v>S</v>
      </c>
      <c r="H360" s="2" t="s">
        <v>938</v>
      </c>
      <c r="I360" s="8" t="str">
        <f t="shared" si="1"/>
        <v>42 in</v>
      </c>
      <c r="J360" s="9" t="s">
        <v>989</v>
      </c>
    </row>
    <row r="361">
      <c r="A361" s="4">
        <v>4.2353961E7</v>
      </c>
      <c r="B361" s="1" t="s">
        <v>610</v>
      </c>
      <c r="C361" s="2">
        <v>1999.0</v>
      </c>
      <c r="D361" s="7" t="s">
        <v>20</v>
      </c>
      <c r="E361" s="1" t="s">
        <v>24</v>
      </c>
      <c r="F361" s="2" t="s">
        <v>27</v>
      </c>
      <c r="G361" s="8" t="str">
        <f>IFERROR(__xludf.DUMMYFUNCTION("REGEXEXTRACT(B361, ""-([^-\s]+)$"")"),"XL")</f>
        <v>XL</v>
      </c>
      <c r="H361" s="2" t="s">
        <v>938</v>
      </c>
      <c r="I361" s="8" t="str">
        <f t="shared" si="1"/>
        <v>48 in</v>
      </c>
      <c r="J361" s="9" t="s">
        <v>989</v>
      </c>
    </row>
    <row r="362">
      <c r="A362" s="4">
        <v>3.5357003E7</v>
      </c>
      <c r="B362" s="1" t="s">
        <v>611</v>
      </c>
      <c r="C362" s="5">
        <v>1570.0</v>
      </c>
      <c r="D362" s="7" t="s">
        <v>20</v>
      </c>
      <c r="E362" s="2" t="s">
        <v>24</v>
      </c>
      <c r="F362" s="2" t="s">
        <v>27</v>
      </c>
      <c r="G362" s="8" t="str">
        <f>IFERROR(__xludf.DUMMYFUNCTION("REGEXEXTRACT(B362, ""-([^-\s]+)$"")"),"L")</f>
        <v>L</v>
      </c>
      <c r="H362" s="2" t="s">
        <v>484</v>
      </c>
      <c r="I362" s="8" t="str">
        <f t="shared" si="1"/>
        <v>46 in</v>
      </c>
      <c r="J362" s="9" t="s">
        <v>990</v>
      </c>
    </row>
    <row r="363">
      <c r="A363" s="4">
        <v>3.5357003E7</v>
      </c>
      <c r="B363" s="1" t="s">
        <v>613</v>
      </c>
      <c r="C363" s="5">
        <v>1570.0</v>
      </c>
      <c r="D363" s="7" t="s">
        <v>20</v>
      </c>
      <c r="E363" s="2" t="s">
        <v>24</v>
      </c>
      <c r="F363" s="2" t="s">
        <v>27</v>
      </c>
      <c r="G363" s="8" t="str">
        <f>IFERROR(__xludf.DUMMYFUNCTION("REGEXEXTRACT(B363, ""-([^-\s]+)$"")"),"M")</f>
        <v>M</v>
      </c>
      <c r="H363" s="2" t="s">
        <v>484</v>
      </c>
      <c r="I363" s="8" t="str">
        <f t="shared" si="1"/>
        <v>44 in</v>
      </c>
      <c r="J363" s="9" t="s">
        <v>990</v>
      </c>
    </row>
    <row r="364">
      <c r="A364" s="4">
        <v>3.5357003E7</v>
      </c>
      <c r="B364" s="1" t="s">
        <v>616</v>
      </c>
      <c r="C364" s="5">
        <v>1570.0</v>
      </c>
      <c r="D364" s="7" t="s">
        <v>20</v>
      </c>
      <c r="E364" s="2" t="s">
        <v>24</v>
      </c>
      <c r="F364" s="2" t="s">
        <v>27</v>
      </c>
      <c r="G364" s="8" t="str">
        <f>IFERROR(__xludf.DUMMYFUNCTION("REGEXEXTRACT(B364, ""-([^-\s]+)$"")"),"S")</f>
        <v>S</v>
      </c>
      <c r="H364" s="2" t="s">
        <v>484</v>
      </c>
      <c r="I364" s="8" t="str">
        <f t="shared" si="1"/>
        <v>42 in</v>
      </c>
      <c r="J364" s="9" t="s">
        <v>990</v>
      </c>
    </row>
    <row r="365">
      <c r="A365" s="4">
        <v>3.5357003E7</v>
      </c>
      <c r="B365" s="1" t="s">
        <v>617</v>
      </c>
      <c r="C365" s="5">
        <v>1570.0</v>
      </c>
      <c r="D365" s="7" t="s">
        <v>20</v>
      </c>
      <c r="E365" s="2" t="s">
        <v>24</v>
      </c>
      <c r="F365" s="2" t="s">
        <v>27</v>
      </c>
      <c r="G365" s="8" t="str">
        <f>IFERROR(__xludf.DUMMYFUNCTION("REGEXEXTRACT(B365, ""-([^-\s]+)$"")"),"XL")</f>
        <v>XL</v>
      </c>
      <c r="H365" s="2" t="s">
        <v>484</v>
      </c>
      <c r="I365" s="8" t="str">
        <f t="shared" si="1"/>
        <v>48 in</v>
      </c>
      <c r="J365" s="9" t="s">
        <v>990</v>
      </c>
    </row>
    <row r="366">
      <c r="A366" s="4">
        <v>4.2353948E7</v>
      </c>
      <c r="B366" s="1" t="s">
        <v>618</v>
      </c>
      <c r="C366" s="2">
        <v>1999.0</v>
      </c>
      <c r="D366" s="7" t="s">
        <v>20</v>
      </c>
      <c r="E366" s="1" t="s">
        <v>24</v>
      </c>
      <c r="F366" s="2" t="s">
        <v>27</v>
      </c>
      <c r="G366" s="8" t="str">
        <f>IFERROR(__xludf.DUMMYFUNCTION("REGEXEXTRACT(B366, ""-([^-\s]+)$"")"),"M")</f>
        <v>M</v>
      </c>
      <c r="H366" s="2" t="s">
        <v>928</v>
      </c>
      <c r="I366" s="8" t="str">
        <f t="shared" si="1"/>
        <v>44 in</v>
      </c>
      <c r="J366" s="9" t="s">
        <v>931</v>
      </c>
    </row>
    <row r="367">
      <c r="A367" s="4">
        <v>3.4590242E7</v>
      </c>
      <c r="B367" s="1" t="s">
        <v>163</v>
      </c>
      <c r="C367" s="5">
        <v>1285.0</v>
      </c>
      <c r="D367" s="7" t="s">
        <v>20</v>
      </c>
      <c r="E367" s="2" t="s">
        <v>24</v>
      </c>
      <c r="F367" s="2" t="s">
        <v>27</v>
      </c>
      <c r="G367" s="8" t="str">
        <f>IFERROR(__xludf.DUMMYFUNCTION("REGEXEXTRACT(B367, ""-([^-\s]+)$"")"),"M")</f>
        <v>M</v>
      </c>
      <c r="H367" s="2" t="s">
        <v>928</v>
      </c>
      <c r="I367" s="8" t="str">
        <f t="shared" si="1"/>
        <v>44 in</v>
      </c>
      <c r="J367" s="9" t="s">
        <v>935</v>
      </c>
    </row>
    <row r="368">
      <c r="A368" s="4">
        <v>4.2353967E7</v>
      </c>
      <c r="B368" s="1" t="s">
        <v>620</v>
      </c>
      <c r="C368" s="2">
        <v>1999.0</v>
      </c>
      <c r="D368" s="7" t="s">
        <v>20</v>
      </c>
      <c r="E368" s="1" t="s">
        <v>24</v>
      </c>
      <c r="F368" s="2" t="s">
        <v>27</v>
      </c>
      <c r="G368" s="8" t="str">
        <f>IFERROR(__xludf.DUMMYFUNCTION("REGEXEXTRACT(B368, ""-([^-\s]+)$"")"),"M")</f>
        <v>M</v>
      </c>
      <c r="H368" s="2" t="s">
        <v>928</v>
      </c>
      <c r="I368" s="8" t="str">
        <f t="shared" si="1"/>
        <v>44 in</v>
      </c>
      <c r="J368" s="9" t="s">
        <v>936</v>
      </c>
    </row>
    <row r="369">
      <c r="A369" s="4">
        <v>3.5356969E7</v>
      </c>
      <c r="B369" s="1" t="s">
        <v>621</v>
      </c>
      <c r="C369" s="5">
        <v>1570.0</v>
      </c>
      <c r="D369" s="7" t="s">
        <v>20</v>
      </c>
      <c r="E369" s="2" t="s">
        <v>24</v>
      </c>
      <c r="F369" s="2" t="s">
        <v>27</v>
      </c>
      <c r="G369" s="8" t="str">
        <f>IFERROR(__xludf.DUMMYFUNCTION("REGEXEXTRACT(B369, ""-([^-\s]+)$"")"),"XL")</f>
        <v>XL</v>
      </c>
      <c r="H369" s="2" t="s">
        <v>928</v>
      </c>
      <c r="I369" s="8" t="str">
        <f t="shared" si="1"/>
        <v>48 in</v>
      </c>
      <c r="J369" s="9" t="s">
        <v>943</v>
      </c>
    </row>
    <row r="370">
      <c r="A370" s="2">
        <v>3.7169027E7</v>
      </c>
      <c r="B370" s="2" t="s">
        <v>622</v>
      </c>
      <c r="C370" s="2">
        <v>1570.0</v>
      </c>
      <c r="D370" s="7" t="s">
        <v>20</v>
      </c>
      <c r="E370" s="1" t="s">
        <v>24</v>
      </c>
      <c r="F370" s="2" t="s">
        <v>27</v>
      </c>
      <c r="G370" s="8" t="str">
        <f>IFERROR(__xludf.DUMMYFUNCTION("REGEXEXTRACT(B370, ""-([^-\s]+)$"")"),"L")</f>
        <v>L</v>
      </c>
      <c r="H370" s="2" t="s">
        <v>189</v>
      </c>
      <c r="I370" s="8" t="str">
        <f t="shared" si="1"/>
        <v>46 in</v>
      </c>
      <c r="J370" s="9" t="s">
        <v>991</v>
      </c>
    </row>
    <row r="371">
      <c r="A371" s="2">
        <v>3.7169027E7</v>
      </c>
      <c r="B371" s="2" t="s">
        <v>626</v>
      </c>
      <c r="C371" s="2">
        <v>1570.0</v>
      </c>
      <c r="D371" s="7" t="s">
        <v>20</v>
      </c>
      <c r="E371" s="1" t="s">
        <v>24</v>
      </c>
      <c r="F371" s="2" t="s">
        <v>27</v>
      </c>
      <c r="G371" s="8" t="str">
        <f>IFERROR(__xludf.DUMMYFUNCTION("REGEXEXTRACT(B371, ""-([^-\s]+)$"")"),"M")</f>
        <v>M</v>
      </c>
      <c r="H371" s="2" t="s">
        <v>189</v>
      </c>
      <c r="I371" s="8" t="str">
        <f t="shared" si="1"/>
        <v>44 in</v>
      </c>
      <c r="J371" s="9" t="s">
        <v>991</v>
      </c>
    </row>
    <row r="372">
      <c r="A372" s="2">
        <v>3.7169027E7</v>
      </c>
      <c r="B372" s="2" t="s">
        <v>628</v>
      </c>
      <c r="C372" s="2">
        <v>1570.0</v>
      </c>
      <c r="D372" s="7" t="s">
        <v>20</v>
      </c>
      <c r="E372" s="1" t="s">
        <v>24</v>
      </c>
      <c r="F372" s="2" t="s">
        <v>27</v>
      </c>
      <c r="G372" s="8" t="str">
        <f>IFERROR(__xludf.DUMMYFUNCTION("REGEXEXTRACT(B372, ""-([^-\s]+)$"")"),"S")</f>
        <v>S</v>
      </c>
      <c r="H372" s="2" t="s">
        <v>189</v>
      </c>
      <c r="I372" s="8" t="str">
        <f t="shared" si="1"/>
        <v>42 in</v>
      </c>
      <c r="J372" s="9" t="s">
        <v>991</v>
      </c>
    </row>
    <row r="373">
      <c r="A373" s="2">
        <v>3.7169027E7</v>
      </c>
      <c r="B373" s="2" t="s">
        <v>630</v>
      </c>
      <c r="C373" s="2">
        <v>1570.0</v>
      </c>
      <c r="D373" s="7" t="s">
        <v>20</v>
      </c>
      <c r="E373" s="1" t="s">
        <v>24</v>
      </c>
      <c r="F373" s="2" t="s">
        <v>27</v>
      </c>
      <c r="G373" s="8" t="str">
        <f>IFERROR(__xludf.DUMMYFUNCTION("REGEXEXTRACT(B373, ""-([^-\s]+)$"")"),"XL")</f>
        <v>XL</v>
      </c>
      <c r="H373" s="2" t="s">
        <v>189</v>
      </c>
      <c r="I373" s="8" t="str">
        <f t="shared" si="1"/>
        <v>48 in</v>
      </c>
      <c r="J373" s="9" t="s">
        <v>991</v>
      </c>
    </row>
    <row r="374">
      <c r="A374" s="4">
        <v>4.2353949E7</v>
      </c>
      <c r="B374" s="1" t="s">
        <v>634</v>
      </c>
      <c r="C374" s="2">
        <v>1999.0</v>
      </c>
      <c r="D374" s="7" t="s">
        <v>20</v>
      </c>
      <c r="E374" s="1" t="s">
        <v>24</v>
      </c>
      <c r="F374" s="2" t="s">
        <v>27</v>
      </c>
      <c r="G374" s="8" t="str">
        <f>IFERROR(__xludf.DUMMYFUNCTION("REGEXEXTRACT(B374, ""-([^-\s]+)$"")"),"L")</f>
        <v>L</v>
      </c>
      <c r="H374" s="2" t="s">
        <v>938</v>
      </c>
      <c r="I374" s="8" t="str">
        <f t="shared" si="1"/>
        <v>46 in</v>
      </c>
      <c r="J374" s="9" t="s">
        <v>992</v>
      </c>
    </row>
    <row r="375">
      <c r="A375" s="4">
        <v>4.2353949E7</v>
      </c>
      <c r="B375" s="1" t="s">
        <v>635</v>
      </c>
      <c r="C375" s="2">
        <v>1999.0</v>
      </c>
      <c r="D375" s="7" t="s">
        <v>20</v>
      </c>
      <c r="E375" s="1" t="s">
        <v>24</v>
      </c>
      <c r="F375" s="2" t="s">
        <v>27</v>
      </c>
      <c r="G375" s="8" t="str">
        <f>IFERROR(__xludf.DUMMYFUNCTION("REGEXEXTRACT(B375, ""-([^-\s]+)$"")"),"M")</f>
        <v>M</v>
      </c>
      <c r="H375" s="2" t="s">
        <v>938</v>
      </c>
      <c r="I375" s="8" t="str">
        <f t="shared" si="1"/>
        <v>44 in</v>
      </c>
      <c r="J375" s="9" t="s">
        <v>992</v>
      </c>
    </row>
    <row r="376">
      <c r="A376" s="4">
        <v>4.2353949E7</v>
      </c>
      <c r="B376" s="1" t="s">
        <v>636</v>
      </c>
      <c r="C376" s="2">
        <v>1999.0</v>
      </c>
      <c r="D376" s="7" t="s">
        <v>20</v>
      </c>
      <c r="E376" s="1" t="s">
        <v>24</v>
      </c>
      <c r="F376" s="2" t="s">
        <v>27</v>
      </c>
      <c r="G376" s="8" t="str">
        <f>IFERROR(__xludf.DUMMYFUNCTION("REGEXEXTRACT(B376, ""-([^-\s]+)$"")"),"S")</f>
        <v>S</v>
      </c>
      <c r="H376" s="2" t="s">
        <v>938</v>
      </c>
      <c r="I376" s="8" t="str">
        <f t="shared" si="1"/>
        <v>42 in</v>
      </c>
      <c r="J376" s="9" t="s">
        <v>992</v>
      </c>
    </row>
    <row r="377">
      <c r="A377" s="4">
        <v>4.2353949E7</v>
      </c>
      <c r="B377" s="1" t="s">
        <v>637</v>
      </c>
      <c r="C377" s="2">
        <v>1999.0</v>
      </c>
      <c r="D377" s="7" t="s">
        <v>20</v>
      </c>
      <c r="E377" s="1" t="s">
        <v>24</v>
      </c>
      <c r="F377" s="2" t="s">
        <v>27</v>
      </c>
      <c r="G377" s="8" t="str">
        <f>IFERROR(__xludf.DUMMYFUNCTION("REGEXEXTRACT(B377, ""-([^-\s]+)$"")"),"XL")</f>
        <v>XL</v>
      </c>
      <c r="H377" s="2" t="s">
        <v>938</v>
      </c>
      <c r="I377" s="8" t="str">
        <f t="shared" si="1"/>
        <v>48 in</v>
      </c>
      <c r="J377" s="9" t="s">
        <v>992</v>
      </c>
    </row>
    <row r="378">
      <c r="A378" s="4">
        <v>4.2353953E7</v>
      </c>
      <c r="B378" s="1" t="s">
        <v>638</v>
      </c>
      <c r="C378" s="2">
        <v>1999.0</v>
      </c>
      <c r="D378" s="7" t="s">
        <v>20</v>
      </c>
      <c r="E378" s="1" t="s">
        <v>24</v>
      </c>
      <c r="F378" s="2" t="s">
        <v>27</v>
      </c>
      <c r="G378" s="8" t="str">
        <f>IFERROR(__xludf.DUMMYFUNCTION("REGEXEXTRACT(B378, ""-([^-\s]+)$"")"),"L")</f>
        <v>L</v>
      </c>
      <c r="H378" s="2" t="s">
        <v>189</v>
      </c>
      <c r="I378" s="8" t="str">
        <f t="shared" si="1"/>
        <v>46 in</v>
      </c>
      <c r="J378" s="9" t="s">
        <v>993</v>
      </c>
    </row>
    <row r="379">
      <c r="A379" s="4">
        <v>4.2353953E7</v>
      </c>
      <c r="B379" s="1" t="s">
        <v>640</v>
      </c>
      <c r="C379" s="2">
        <v>1999.0</v>
      </c>
      <c r="D379" s="7" t="s">
        <v>20</v>
      </c>
      <c r="E379" s="1" t="s">
        <v>24</v>
      </c>
      <c r="F379" s="2" t="s">
        <v>27</v>
      </c>
      <c r="G379" s="8" t="str">
        <f>IFERROR(__xludf.DUMMYFUNCTION("REGEXEXTRACT(B379, ""-([^-\s]+)$"")"),"M")</f>
        <v>M</v>
      </c>
      <c r="H379" s="2" t="s">
        <v>189</v>
      </c>
      <c r="I379" s="8" t="str">
        <f t="shared" si="1"/>
        <v>44 in</v>
      </c>
      <c r="J379" s="9" t="s">
        <v>993</v>
      </c>
    </row>
    <row r="380">
      <c r="A380" s="4">
        <v>4.2353953E7</v>
      </c>
      <c r="B380" s="1" t="s">
        <v>641</v>
      </c>
      <c r="C380" s="2">
        <v>1999.0</v>
      </c>
      <c r="D380" s="7" t="s">
        <v>20</v>
      </c>
      <c r="E380" s="1" t="s">
        <v>24</v>
      </c>
      <c r="F380" s="2" t="s">
        <v>27</v>
      </c>
      <c r="G380" s="8" t="str">
        <f>IFERROR(__xludf.DUMMYFUNCTION("REGEXEXTRACT(B380, ""-([^-\s]+)$"")"),"S")</f>
        <v>S</v>
      </c>
      <c r="H380" s="2" t="s">
        <v>189</v>
      </c>
      <c r="I380" s="8" t="str">
        <f t="shared" si="1"/>
        <v>42 in</v>
      </c>
      <c r="J380" s="9" t="s">
        <v>993</v>
      </c>
    </row>
    <row r="381">
      <c r="A381" s="4">
        <v>4.2353953E7</v>
      </c>
      <c r="B381" s="1" t="s">
        <v>644</v>
      </c>
      <c r="C381" s="2">
        <v>1999.0</v>
      </c>
      <c r="D381" s="7" t="s">
        <v>20</v>
      </c>
      <c r="E381" s="1" t="s">
        <v>24</v>
      </c>
      <c r="F381" s="2" t="s">
        <v>27</v>
      </c>
      <c r="G381" s="8" t="str">
        <f>IFERROR(__xludf.DUMMYFUNCTION("REGEXEXTRACT(B381, ""-([^-\s]+)$"")"),"XL")</f>
        <v>XL</v>
      </c>
      <c r="H381" s="2" t="s">
        <v>189</v>
      </c>
      <c r="I381" s="8" t="str">
        <f t="shared" si="1"/>
        <v>48 in</v>
      </c>
      <c r="J381" s="9" t="s">
        <v>993</v>
      </c>
    </row>
    <row r="382">
      <c r="A382" s="4">
        <v>3.5356975E7</v>
      </c>
      <c r="B382" s="1" t="s">
        <v>120</v>
      </c>
      <c r="C382" s="5">
        <v>1285.0</v>
      </c>
      <c r="D382" s="7" t="s">
        <v>20</v>
      </c>
      <c r="E382" s="2" t="s">
        <v>24</v>
      </c>
      <c r="F382" s="2" t="s">
        <v>27</v>
      </c>
      <c r="G382" s="8" t="str">
        <f>IFERROR(__xludf.DUMMYFUNCTION("REGEXEXTRACT(B382, ""-([^-\s]+)$"")"),"L")</f>
        <v>L</v>
      </c>
      <c r="H382" s="2" t="s">
        <v>987</v>
      </c>
      <c r="I382" s="8" t="str">
        <f t="shared" si="1"/>
        <v>46 in</v>
      </c>
      <c r="J382" s="9" t="s">
        <v>994</v>
      </c>
    </row>
    <row r="383">
      <c r="A383" s="4">
        <v>3.5356975E7</v>
      </c>
      <c r="B383" s="1" t="s">
        <v>150</v>
      </c>
      <c r="C383" s="5">
        <v>1285.0</v>
      </c>
      <c r="D383" s="7" t="s">
        <v>20</v>
      </c>
      <c r="E383" s="2" t="s">
        <v>24</v>
      </c>
      <c r="F383" s="2" t="s">
        <v>27</v>
      </c>
      <c r="G383" s="8" t="str">
        <f>IFERROR(__xludf.DUMMYFUNCTION("REGEXEXTRACT(B383, ""-([^-\s]+)$"")"),"M")</f>
        <v>M</v>
      </c>
      <c r="H383" s="2" t="s">
        <v>987</v>
      </c>
      <c r="I383" s="8" t="str">
        <f t="shared" si="1"/>
        <v>44 in</v>
      </c>
      <c r="J383" s="9" t="s">
        <v>994</v>
      </c>
    </row>
    <row r="384">
      <c r="A384" s="4">
        <v>3.5356975E7</v>
      </c>
      <c r="B384" s="1" t="s">
        <v>156</v>
      </c>
      <c r="C384" s="5">
        <v>1285.0</v>
      </c>
      <c r="D384" s="7" t="s">
        <v>20</v>
      </c>
      <c r="E384" s="2" t="s">
        <v>24</v>
      </c>
      <c r="F384" s="2" t="s">
        <v>27</v>
      </c>
      <c r="G384" s="8" t="str">
        <f>IFERROR(__xludf.DUMMYFUNCTION("REGEXEXTRACT(B384, ""-([^-\s]+)$"")"),"S")</f>
        <v>S</v>
      </c>
      <c r="H384" s="2" t="s">
        <v>987</v>
      </c>
      <c r="I384" s="8" t="str">
        <f t="shared" si="1"/>
        <v>42 in</v>
      </c>
      <c r="J384" s="9" t="s">
        <v>994</v>
      </c>
    </row>
    <row r="385">
      <c r="A385" s="4">
        <v>3.5356975E7</v>
      </c>
      <c r="B385" s="1" t="s">
        <v>137</v>
      </c>
      <c r="C385" s="5">
        <v>1285.0</v>
      </c>
      <c r="D385" s="7" t="s">
        <v>20</v>
      </c>
      <c r="E385" s="2" t="s">
        <v>24</v>
      </c>
      <c r="F385" s="2" t="s">
        <v>27</v>
      </c>
      <c r="G385" s="8" t="str">
        <f>IFERROR(__xludf.DUMMYFUNCTION("REGEXEXTRACT(B385, ""-([^-\s]+)$"")"),"XL")</f>
        <v>XL</v>
      </c>
      <c r="H385" s="2" t="s">
        <v>987</v>
      </c>
      <c r="I385" s="8" t="str">
        <f t="shared" si="1"/>
        <v>48 in</v>
      </c>
      <c r="J385" s="9" t="s">
        <v>994</v>
      </c>
    </row>
    <row r="386">
      <c r="A386" s="4">
        <v>3.5356993E7</v>
      </c>
      <c r="B386" s="1" t="s">
        <v>649</v>
      </c>
      <c r="C386" s="5">
        <v>1570.0</v>
      </c>
      <c r="D386" s="7" t="s">
        <v>20</v>
      </c>
      <c r="E386" s="2" t="s">
        <v>24</v>
      </c>
      <c r="F386" s="2" t="s">
        <v>27</v>
      </c>
      <c r="G386" s="8" t="str">
        <f>IFERROR(__xludf.DUMMYFUNCTION("REGEXEXTRACT(B386, ""-([^-\s]+)$"")"),"L")</f>
        <v>L</v>
      </c>
      <c r="H386" s="2" t="s">
        <v>987</v>
      </c>
      <c r="I386" s="8" t="str">
        <f t="shared" si="1"/>
        <v>46 in</v>
      </c>
      <c r="J386" s="9" t="s">
        <v>995</v>
      </c>
    </row>
    <row r="387">
      <c r="A387" s="4">
        <v>3.5356993E7</v>
      </c>
      <c r="B387" s="1" t="s">
        <v>651</v>
      </c>
      <c r="C387" s="5">
        <v>1570.0</v>
      </c>
      <c r="D387" s="7" t="s">
        <v>20</v>
      </c>
      <c r="E387" s="2" t="s">
        <v>24</v>
      </c>
      <c r="F387" s="2" t="s">
        <v>27</v>
      </c>
      <c r="G387" s="8" t="str">
        <f>IFERROR(__xludf.DUMMYFUNCTION("REGEXEXTRACT(B387, ""-([^-\s]+)$"")"),"M")</f>
        <v>M</v>
      </c>
      <c r="H387" s="2" t="s">
        <v>987</v>
      </c>
      <c r="I387" s="8" t="str">
        <f t="shared" si="1"/>
        <v>44 in</v>
      </c>
      <c r="J387" s="9" t="s">
        <v>995</v>
      </c>
    </row>
    <row r="388">
      <c r="A388" s="4">
        <v>3.5356993E7</v>
      </c>
      <c r="B388" s="1" t="s">
        <v>653</v>
      </c>
      <c r="C388" s="5">
        <v>1570.0</v>
      </c>
      <c r="D388" s="7" t="s">
        <v>20</v>
      </c>
      <c r="E388" s="2" t="s">
        <v>24</v>
      </c>
      <c r="F388" s="2" t="s">
        <v>27</v>
      </c>
      <c r="G388" s="8" t="str">
        <f>IFERROR(__xludf.DUMMYFUNCTION("REGEXEXTRACT(B388, ""-([^-\s]+)$"")"),"S")</f>
        <v>S</v>
      </c>
      <c r="H388" s="2" t="s">
        <v>987</v>
      </c>
      <c r="I388" s="8" t="str">
        <f t="shared" si="1"/>
        <v>42 in</v>
      </c>
      <c r="J388" s="9" t="s">
        <v>995</v>
      </c>
    </row>
    <row r="389">
      <c r="A389" s="4">
        <v>3.5356993E7</v>
      </c>
      <c r="B389" s="1" t="s">
        <v>654</v>
      </c>
      <c r="C389" s="5">
        <v>1570.0</v>
      </c>
      <c r="D389" s="7" t="s">
        <v>20</v>
      </c>
      <c r="E389" s="2" t="s">
        <v>24</v>
      </c>
      <c r="F389" s="2" t="s">
        <v>27</v>
      </c>
      <c r="G389" s="8" t="str">
        <f>IFERROR(__xludf.DUMMYFUNCTION("REGEXEXTRACT(B389, ""-([^-\s]+)$"")"),"XL")</f>
        <v>XL</v>
      </c>
      <c r="H389" s="2" t="s">
        <v>987</v>
      </c>
      <c r="I389" s="8" t="str">
        <f t="shared" si="1"/>
        <v>48 in</v>
      </c>
      <c r="J389" s="9" t="s">
        <v>995</v>
      </c>
    </row>
    <row r="390">
      <c r="A390" s="2">
        <v>3.7332285E7</v>
      </c>
      <c r="B390" s="1" t="s">
        <v>655</v>
      </c>
      <c r="C390" s="4">
        <v>1999.0</v>
      </c>
      <c r="D390" s="7" t="s">
        <v>20</v>
      </c>
      <c r="E390" s="1" t="s">
        <v>24</v>
      </c>
      <c r="F390" s="2" t="s">
        <v>27</v>
      </c>
      <c r="G390" s="8" t="str">
        <f>IFERROR(__xludf.DUMMYFUNCTION("REGEXEXTRACT(B390, ""-([^-\s]+)$"")"),"L")</f>
        <v>L</v>
      </c>
      <c r="H390" s="2" t="s">
        <v>484</v>
      </c>
      <c r="I390" s="8" t="str">
        <f t="shared" si="1"/>
        <v>46 in</v>
      </c>
      <c r="J390" s="9" t="s">
        <v>996</v>
      </c>
    </row>
    <row r="391">
      <c r="A391" s="2">
        <v>3.7332285E7</v>
      </c>
      <c r="B391" s="1" t="s">
        <v>656</v>
      </c>
      <c r="C391" s="4">
        <v>1999.0</v>
      </c>
      <c r="D391" s="7" t="s">
        <v>20</v>
      </c>
      <c r="E391" s="1" t="s">
        <v>24</v>
      </c>
      <c r="F391" s="2" t="s">
        <v>27</v>
      </c>
      <c r="G391" s="8" t="str">
        <f>IFERROR(__xludf.DUMMYFUNCTION("REGEXEXTRACT(B391, ""-([^-\s]+)$"")"),"M")</f>
        <v>M</v>
      </c>
      <c r="H391" s="2" t="s">
        <v>484</v>
      </c>
      <c r="I391" s="8" t="str">
        <f t="shared" si="1"/>
        <v>44 in</v>
      </c>
      <c r="J391" s="9" t="s">
        <v>996</v>
      </c>
    </row>
    <row r="392">
      <c r="A392" s="2">
        <v>3.7332285E7</v>
      </c>
      <c r="B392" s="1" t="s">
        <v>657</v>
      </c>
      <c r="C392" s="4">
        <v>1999.0</v>
      </c>
      <c r="D392" s="7" t="s">
        <v>20</v>
      </c>
      <c r="E392" s="1" t="s">
        <v>24</v>
      </c>
      <c r="F392" s="2" t="s">
        <v>27</v>
      </c>
      <c r="G392" s="8" t="str">
        <f>IFERROR(__xludf.DUMMYFUNCTION("REGEXEXTRACT(B392, ""-([^-\s]+)$"")"),"S")</f>
        <v>S</v>
      </c>
      <c r="H392" s="2" t="s">
        <v>484</v>
      </c>
      <c r="I392" s="8" t="str">
        <f t="shared" si="1"/>
        <v>42 in</v>
      </c>
      <c r="J392" s="9" t="s">
        <v>996</v>
      </c>
    </row>
    <row r="393">
      <c r="A393" s="2">
        <v>3.7332285E7</v>
      </c>
      <c r="B393" s="1" t="s">
        <v>658</v>
      </c>
      <c r="C393" s="4">
        <v>1999.0</v>
      </c>
      <c r="D393" s="7" t="s">
        <v>20</v>
      </c>
      <c r="E393" s="1" t="s">
        <v>24</v>
      </c>
      <c r="F393" s="2" t="s">
        <v>27</v>
      </c>
      <c r="G393" s="8" t="str">
        <f>IFERROR(__xludf.DUMMYFUNCTION("REGEXEXTRACT(B393, ""-([^-\s]+)$"")"),"XL")</f>
        <v>XL</v>
      </c>
      <c r="H393" s="2" t="s">
        <v>484</v>
      </c>
      <c r="I393" s="8" t="str">
        <f t="shared" si="1"/>
        <v>48 in</v>
      </c>
      <c r="J393" s="9" t="s">
        <v>996</v>
      </c>
    </row>
    <row r="394">
      <c r="A394" s="2">
        <v>3.7332283E7</v>
      </c>
      <c r="B394" s="1" t="s">
        <v>659</v>
      </c>
      <c r="C394" s="4">
        <v>1999.0</v>
      </c>
      <c r="D394" s="7" t="s">
        <v>20</v>
      </c>
      <c r="E394" s="1" t="s">
        <v>24</v>
      </c>
      <c r="F394" s="2" t="s">
        <v>27</v>
      </c>
      <c r="G394" s="8" t="str">
        <f>IFERROR(__xludf.DUMMYFUNCTION("REGEXEXTRACT(B394, ""-([^-\s]+)$"")"),"L")</f>
        <v>L</v>
      </c>
      <c r="H394" s="2" t="s">
        <v>189</v>
      </c>
      <c r="I394" s="8" t="str">
        <f t="shared" si="1"/>
        <v>46 in</v>
      </c>
      <c r="J394" s="9" t="s">
        <v>997</v>
      </c>
    </row>
    <row r="395">
      <c r="A395" s="2">
        <v>3.7332283E7</v>
      </c>
      <c r="B395" s="1" t="s">
        <v>660</v>
      </c>
      <c r="C395" s="4">
        <v>1999.0</v>
      </c>
      <c r="D395" s="7" t="s">
        <v>20</v>
      </c>
      <c r="E395" s="1" t="s">
        <v>24</v>
      </c>
      <c r="F395" s="2" t="s">
        <v>27</v>
      </c>
      <c r="G395" s="8" t="str">
        <f>IFERROR(__xludf.DUMMYFUNCTION("REGEXEXTRACT(B395, ""-([^-\s]+)$"")"),"M")</f>
        <v>M</v>
      </c>
      <c r="H395" s="2" t="s">
        <v>189</v>
      </c>
      <c r="I395" s="8" t="str">
        <f t="shared" si="1"/>
        <v>44 in</v>
      </c>
      <c r="J395" s="9" t="s">
        <v>997</v>
      </c>
    </row>
    <row r="396">
      <c r="A396" s="2">
        <v>3.7332283E7</v>
      </c>
      <c r="B396" s="1" t="s">
        <v>661</v>
      </c>
      <c r="C396" s="4">
        <v>1999.0</v>
      </c>
      <c r="D396" s="7" t="s">
        <v>20</v>
      </c>
      <c r="E396" s="1" t="s">
        <v>24</v>
      </c>
      <c r="F396" s="2" t="s">
        <v>27</v>
      </c>
      <c r="G396" s="8" t="str">
        <f>IFERROR(__xludf.DUMMYFUNCTION("REGEXEXTRACT(B396, ""-([^-\s]+)$"")"),"S")</f>
        <v>S</v>
      </c>
      <c r="H396" s="2" t="s">
        <v>189</v>
      </c>
      <c r="I396" s="8" t="str">
        <f t="shared" si="1"/>
        <v>42 in</v>
      </c>
      <c r="J396" s="9" t="s">
        <v>997</v>
      </c>
    </row>
    <row r="397">
      <c r="A397" s="2">
        <v>3.7332283E7</v>
      </c>
      <c r="B397" s="1" t="s">
        <v>662</v>
      </c>
      <c r="C397" s="4">
        <v>1999.0</v>
      </c>
      <c r="D397" s="7" t="s">
        <v>20</v>
      </c>
      <c r="E397" s="1" t="s">
        <v>24</v>
      </c>
      <c r="F397" s="2" t="s">
        <v>27</v>
      </c>
      <c r="G397" s="8" t="str">
        <f>IFERROR(__xludf.DUMMYFUNCTION("REGEXEXTRACT(B397, ""-([^-\s]+)$"")"),"XL")</f>
        <v>XL</v>
      </c>
      <c r="H397" s="2" t="s">
        <v>189</v>
      </c>
      <c r="I397" s="8" t="str">
        <f t="shared" si="1"/>
        <v>48 in</v>
      </c>
      <c r="J397" s="9" t="s">
        <v>997</v>
      </c>
    </row>
    <row r="398">
      <c r="A398" s="4">
        <v>3.5356987E7</v>
      </c>
      <c r="B398" s="1" t="s">
        <v>663</v>
      </c>
      <c r="C398" s="5">
        <v>1570.0</v>
      </c>
      <c r="D398" s="7" t="s">
        <v>20</v>
      </c>
      <c r="E398" s="2" t="s">
        <v>24</v>
      </c>
      <c r="F398" s="2" t="s">
        <v>27</v>
      </c>
      <c r="G398" s="8" t="str">
        <f>IFERROR(__xludf.DUMMYFUNCTION("REGEXEXTRACT(B398, ""-([^-\s]+)$"")"),"L")</f>
        <v>L</v>
      </c>
      <c r="H398" s="2" t="s">
        <v>189</v>
      </c>
      <c r="I398" s="8" t="str">
        <f t="shared" si="1"/>
        <v>46 in</v>
      </c>
      <c r="J398" s="9" t="s">
        <v>998</v>
      </c>
    </row>
    <row r="399">
      <c r="A399" s="4">
        <v>3.5356987E7</v>
      </c>
      <c r="B399" s="1" t="s">
        <v>665</v>
      </c>
      <c r="C399" s="5">
        <v>1570.0</v>
      </c>
      <c r="D399" s="7" t="s">
        <v>20</v>
      </c>
      <c r="E399" s="2" t="s">
        <v>24</v>
      </c>
      <c r="F399" s="2" t="s">
        <v>27</v>
      </c>
      <c r="G399" s="8" t="str">
        <f>IFERROR(__xludf.DUMMYFUNCTION("REGEXEXTRACT(B399, ""-([^-\s]+)$"")"),"M")</f>
        <v>M</v>
      </c>
      <c r="H399" s="2" t="s">
        <v>189</v>
      </c>
      <c r="I399" s="8" t="str">
        <f t="shared" si="1"/>
        <v>44 in</v>
      </c>
      <c r="J399" s="9" t="s">
        <v>998</v>
      </c>
    </row>
    <row r="400">
      <c r="A400" s="4">
        <v>3.5356987E7</v>
      </c>
      <c r="B400" s="1" t="s">
        <v>666</v>
      </c>
      <c r="C400" s="5">
        <v>1570.0</v>
      </c>
      <c r="D400" s="7" t="s">
        <v>20</v>
      </c>
      <c r="E400" s="2" t="s">
        <v>24</v>
      </c>
      <c r="F400" s="2" t="s">
        <v>27</v>
      </c>
      <c r="G400" s="8" t="str">
        <f>IFERROR(__xludf.DUMMYFUNCTION("REGEXEXTRACT(B400, ""-([^-\s]+)$"")"),"S")</f>
        <v>S</v>
      </c>
      <c r="H400" s="2" t="s">
        <v>189</v>
      </c>
      <c r="I400" s="8" t="str">
        <f t="shared" si="1"/>
        <v>42 in</v>
      </c>
      <c r="J400" s="9" t="s">
        <v>998</v>
      </c>
    </row>
    <row r="401">
      <c r="A401" s="4">
        <v>3.5356987E7</v>
      </c>
      <c r="B401" s="1" t="s">
        <v>668</v>
      </c>
      <c r="C401" s="5">
        <v>1570.0</v>
      </c>
      <c r="D401" s="7" t="s">
        <v>20</v>
      </c>
      <c r="E401" s="2" t="s">
        <v>24</v>
      </c>
      <c r="F401" s="2" t="s">
        <v>27</v>
      </c>
      <c r="G401" s="8" t="str">
        <f>IFERROR(__xludf.DUMMYFUNCTION("REGEXEXTRACT(B401, ""-([^-\s]+)$"")"),"XL")</f>
        <v>XL</v>
      </c>
      <c r="H401" s="2" t="s">
        <v>189</v>
      </c>
      <c r="I401" s="8" t="str">
        <f t="shared" si="1"/>
        <v>48 in</v>
      </c>
      <c r="J401" s="9" t="s">
        <v>998</v>
      </c>
    </row>
    <row r="402">
      <c r="A402" s="4">
        <v>3.4590224E7</v>
      </c>
      <c r="B402" s="1" t="s">
        <v>670</v>
      </c>
      <c r="C402" s="5">
        <v>1415.0</v>
      </c>
      <c r="D402" s="7" t="s">
        <v>20</v>
      </c>
      <c r="E402" s="2" t="s">
        <v>24</v>
      </c>
      <c r="F402" s="2" t="s">
        <v>27</v>
      </c>
      <c r="G402" s="8" t="str">
        <f>IFERROR(__xludf.DUMMYFUNCTION("REGEXEXTRACT(B402, ""-([^-\s]+)$"")"),"L")</f>
        <v>L</v>
      </c>
      <c r="H402" s="2" t="s">
        <v>950</v>
      </c>
      <c r="I402" s="8" t="str">
        <f t="shared" si="1"/>
        <v>46 in</v>
      </c>
      <c r="J402" s="9" t="s">
        <v>999</v>
      </c>
    </row>
    <row r="403">
      <c r="A403" s="4">
        <v>3.4590224E7</v>
      </c>
      <c r="B403" s="1" t="s">
        <v>674</v>
      </c>
      <c r="C403" s="5">
        <v>1415.0</v>
      </c>
      <c r="D403" s="7" t="s">
        <v>20</v>
      </c>
      <c r="E403" s="2" t="s">
        <v>24</v>
      </c>
      <c r="F403" s="2" t="s">
        <v>27</v>
      </c>
      <c r="G403" s="8" t="str">
        <f>IFERROR(__xludf.DUMMYFUNCTION("REGEXEXTRACT(B403, ""-([^-\s]+)$"")"),"M")</f>
        <v>M</v>
      </c>
      <c r="H403" s="2" t="s">
        <v>950</v>
      </c>
      <c r="I403" s="8" t="str">
        <f t="shared" si="1"/>
        <v>44 in</v>
      </c>
      <c r="J403" s="9" t="s">
        <v>999</v>
      </c>
    </row>
    <row r="404">
      <c r="A404" s="4">
        <v>3.4590224E7</v>
      </c>
      <c r="B404" s="1" t="s">
        <v>677</v>
      </c>
      <c r="C404" s="5">
        <v>1415.0</v>
      </c>
      <c r="D404" s="7" t="s">
        <v>20</v>
      </c>
      <c r="E404" s="2" t="s">
        <v>24</v>
      </c>
      <c r="F404" s="2" t="s">
        <v>27</v>
      </c>
      <c r="G404" s="8" t="str">
        <f>IFERROR(__xludf.DUMMYFUNCTION("REGEXEXTRACT(B404, ""-([^-\s]+)$"")"),"S")</f>
        <v>S</v>
      </c>
      <c r="H404" s="2" t="s">
        <v>950</v>
      </c>
      <c r="I404" s="8" t="str">
        <f t="shared" si="1"/>
        <v>42 in</v>
      </c>
      <c r="J404" s="9" t="s">
        <v>999</v>
      </c>
    </row>
    <row r="405">
      <c r="A405" s="4">
        <v>3.4590224E7</v>
      </c>
      <c r="B405" s="1" t="s">
        <v>680</v>
      </c>
      <c r="C405" s="5">
        <v>1415.0</v>
      </c>
      <c r="D405" s="7" t="s">
        <v>20</v>
      </c>
      <c r="E405" s="2" t="s">
        <v>24</v>
      </c>
      <c r="F405" s="2" t="s">
        <v>27</v>
      </c>
      <c r="G405" s="8" t="str">
        <f>IFERROR(__xludf.DUMMYFUNCTION("REGEXEXTRACT(B405, ""-([^-\s]+)$"")"),"XL")</f>
        <v>XL</v>
      </c>
      <c r="H405" s="2" t="s">
        <v>950</v>
      </c>
      <c r="I405" s="8" t="str">
        <f t="shared" si="1"/>
        <v>48 in</v>
      </c>
      <c r="J405" s="9" t="s">
        <v>999</v>
      </c>
    </row>
    <row r="406">
      <c r="A406" s="4">
        <v>3.5356998E7</v>
      </c>
      <c r="B406" s="1" t="s">
        <v>683</v>
      </c>
      <c r="C406" s="5">
        <v>1700.0</v>
      </c>
      <c r="D406" s="7" t="s">
        <v>20</v>
      </c>
      <c r="E406" s="2" t="s">
        <v>24</v>
      </c>
      <c r="F406" s="2" t="s">
        <v>27</v>
      </c>
      <c r="G406" s="8" t="str">
        <f>IFERROR(__xludf.DUMMYFUNCTION("REGEXEXTRACT(B406, ""-([^-\s]+)$"")"),"L")</f>
        <v>L</v>
      </c>
      <c r="H406" s="2" t="s">
        <v>710</v>
      </c>
      <c r="I406" s="8" t="str">
        <f t="shared" si="1"/>
        <v>46 in</v>
      </c>
      <c r="J406" s="9" t="s">
        <v>1000</v>
      </c>
    </row>
    <row r="407">
      <c r="A407" s="4">
        <v>3.5356998E7</v>
      </c>
      <c r="B407" s="1" t="s">
        <v>685</v>
      </c>
      <c r="C407" s="5">
        <v>1700.0</v>
      </c>
      <c r="D407" s="7" t="s">
        <v>20</v>
      </c>
      <c r="E407" s="2" t="s">
        <v>24</v>
      </c>
      <c r="F407" s="2" t="s">
        <v>27</v>
      </c>
      <c r="G407" s="8" t="str">
        <f>IFERROR(__xludf.DUMMYFUNCTION("REGEXEXTRACT(B407, ""-([^-\s]+)$"")"),"M")</f>
        <v>M</v>
      </c>
      <c r="H407" s="2" t="s">
        <v>710</v>
      </c>
      <c r="I407" s="8" t="str">
        <f t="shared" si="1"/>
        <v>44 in</v>
      </c>
      <c r="J407" s="9" t="s">
        <v>1000</v>
      </c>
    </row>
    <row r="408">
      <c r="A408" s="4">
        <v>3.5356998E7</v>
      </c>
      <c r="B408" s="1" t="s">
        <v>686</v>
      </c>
      <c r="C408" s="5">
        <v>1700.0</v>
      </c>
      <c r="D408" s="7" t="s">
        <v>20</v>
      </c>
      <c r="E408" s="2" t="s">
        <v>24</v>
      </c>
      <c r="F408" s="2" t="s">
        <v>27</v>
      </c>
      <c r="G408" s="8" t="str">
        <f>IFERROR(__xludf.DUMMYFUNCTION("REGEXEXTRACT(B408, ""-([^-\s]+)$"")"),"S")</f>
        <v>S</v>
      </c>
      <c r="H408" s="2" t="s">
        <v>710</v>
      </c>
      <c r="I408" s="8" t="str">
        <f t="shared" si="1"/>
        <v>42 in</v>
      </c>
      <c r="J408" s="9" t="s">
        <v>1000</v>
      </c>
    </row>
    <row r="409">
      <c r="A409" s="4">
        <v>3.5356998E7</v>
      </c>
      <c r="B409" s="1" t="s">
        <v>688</v>
      </c>
      <c r="C409" s="5">
        <v>1700.0</v>
      </c>
      <c r="D409" s="7" t="s">
        <v>20</v>
      </c>
      <c r="E409" s="2" t="s">
        <v>24</v>
      </c>
      <c r="F409" s="2" t="s">
        <v>27</v>
      </c>
      <c r="G409" s="8" t="str">
        <f>IFERROR(__xludf.DUMMYFUNCTION("REGEXEXTRACT(B409, ""-([^-\s]+)$"")"),"XL")</f>
        <v>XL</v>
      </c>
      <c r="H409" s="2" t="s">
        <v>710</v>
      </c>
      <c r="I409" s="8" t="str">
        <f t="shared" si="1"/>
        <v>48 in</v>
      </c>
      <c r="J409" s="9" t="s">
        <v>1000</v>
      </c>
    </row>
    <row r="410">
      <c r="A410" s="4">
        <v>3.459022E7</v>
      </c>
      <c r="B410" s="1" t="s">
        <v>690</v>
      </c>
      <c r="C410" s="5">
        <v>1285.0</v>
      </c>
      <c r="D410" s="7" t="s">
        <v>20</v>
      </c>
      <c r="E410" s="2" t="s">
        <v>24</v>
      </c>
      <c r="F410" s="2" t="s">
        <v>27</v>
      </c>
      <c r="G410" s="8" t="str">
        <f>IFERROR(__xludf.DUMMYFUNCTION("REGEXEXTRACT(B410, ""-([^-\s]+)$"")"),"L")</f>
        <v>L</v>
      </c>
      <c r="H410" s="2" t="s">
        <v>189</v>
      </c>
      <c r="I410" s="8" t="str">
        <f t="shared" si="1"/>
        <v>46 in</v>
      </c>
      <c r="J410" s="9" t="s">
        <v>1001</v>
      </c>
    </row>
    <row r="411">
      <c r="A411" s="4">
        <v>3.459022E7</v>
      </c>
      <c r="B411" s="1" t="s">
        <v>691</v>
      </c>
      <c r="C411" s="5">
        <v>1285.0</v>
      </c>
      <c r="D411" s="7" t="s">
        <v>20</v>
      </c>
      <c r="E411" s="2" t="s">
        <v>24</v>
      </c>
      <c r="F411" s="2" t="s">
        <v>27</v>
      </c>
      <c r="G411" s="8" t="str">
        <f>IFERROR(__xludf.DUMMYFUNCTION("REGEXEXTRACT(B411, ""-([^-\s]+)$"")"),"M")</f>
        <v>M</v>
      </c>
      <c r="H411" s="2" t="s">
        <v>189</v>
      </c>
      <c r="I411" s="8" t="str">
        <f t="shared" si="1"/>
        <v>44 in</v>
      </c>
      <c r="J411" s="9" t="s">
        <v>1001</v>
      </c>
    </row>
    <row r="412">
      <c r="A412" s="4">
        <v>3.459022E7</v>
      </c>
      <c r="B412" s="1" t="s">
        <v>693</v>
      </c>
      <c r="C412" s="5">
        <v>1285.0</v>
      </c>
      <c r="D412" s="7" t="s">
        <v>20</v>
      </c>
      <c r="E412" s="2" t="s">
        <v>24</v>
      </c>
      <c r="F412" s="2" t="s">
        <v>27</v>
      </c>
      <c r="G412" s="8" t="str">
        <f>IFERROR(__xludf.DUMMYFUNCTION("REGEXEXTRACT(B412, ""-([^-\s]+)$"")"),"S")</f>
        <v>S</v>
      </c>
      <c r="H412" s="2" t="s">
        <v>189</v>
      </c>
      <c r="I412" s="8" t="str">
        <f t="shared" si="1"/>
        <v>42 in</v>
      </c>
      <c r="J412" s="9" t="s">
        <v>1001</v>
      </c>
    </row>
    <row r="413">
      <c r="A413" s="4">
        <v>3.459022E7</v>
      </c>
      <c r="B413" s="1" t="s">
        <v>694</v>
      </c>
      <c r="C413" s="5">
        <v>1285.0</v>
      </c>
      <c r="D413" s="7" t="s">
        <v>20</v>
      </c>
      <c r="E413" s="2" t="s">
        <v>24</v>
      </c>
      <c r="F413" s="2" t="s">
        <v>27</v>
      </c>
      <c r="G413" s="8" t="str">
        <f>IFERROR(__xludf.DUMMYFUNCTION("REGEXEXTRACT(B413, ""-([^-\s]+)$"")"),"XL")</f>
        <v>XL</v>
      </c>
      <c r="H413" s="2" t="s">
        <v>189</v>
      </c>
      <c r="I413" s="8" t="str">
        <f t="shared" si="1"/>
        <v>48 in</v>
      </c>
      <c r="J413" s="9" t="s">
        <v>1001</v>
      </c>
    </row>
    <row r="414">
      <c r="A414" s="4">
        <v>3.4590228E7</v>
      </c>
      <c r="B414" s="1" t="s">
        <v>721</v>
      </c>
      <c r="C414" s="5">
        <v>1150.0</v>
      </c>
      <c r="D414" s="7" t="s">
        <v>20</v>
      </c>
      <c r="E414" s="2" t="s">
        <v>24</v>
      </c>
      <c r="F414" s="2" t="s">
        <v>27</v>
      </c>
      <c r="G414" s="8" t="str">
        <f>IFERROR(__xludf.DUMMYFUNCTION("REGEXEXTRACT(B414, ""-([^-\s]+)$"")"),"L")</f>
        <v>L</v>
      </c>
      <c r="H414" s="2" t="s">
        <v>970</v>
      </c>
      <c r="I414" s="8" t="str">
        <f t="shared" si="1"/>
        <v>46 in</v>
      </c>
      <c r="J414" s="9" t="s">
        <v>1002</v>
      </c>
    </row>
    <row r="415">
      <c r="A415" s="4">
        <v>3.4590228E7</v>
      </c>
      <c r="B415" s="1" t="s">
        <v>723</v>
      </c>
      <c r="C415" s="5">
        <v>1150.0</v>
      </c>
      <c r="D415" s="7" t="s">
        <v>20</v>
      </c>
      <c r="E415" s="2" t="s">
        <v>24</v>
      </c>
      <c r="F415" s="2" t="s">
        <v>27</v>
      </c>
      <c r="G415" s="8" t="str">
        <f>IFERROR(__xludf.DUMMYFUNCTION("REGEXEXTRACT(B415, ""-([^-\s]+)$"")"),"M")</f>
        <v>M</v>
      </c>
      <c r="H415" s="2" t="s">
        <v>970</v>
      </c>
      <c r="I415" s="8" t="str">
        <f t="shared" si="1"/>
        <v>44 in</v>
      </c>
      <c r="J415" s="9" t="s">
        <v>1002</v>
      </c>
    </row>
    <row r="416">
      <c r="A416" s="4">
        <v>3.4590228E7</v>
      </c>
      <c r="B416" s="1" t="s">
        <v>720</v>
      </c>
      <c r="C416" s="5">
        <v>1150.0</v>
      </c>
      <c r="D416" s="7" t="s">
        <v>20</v>
      </c>
      <c r="E416" s="2" t="s">
        <v>24</v>
      </c>
      <c r="F416" s="2" t="s">
        <v>27</v>
      </c>
      <c r="G416" s="8" t="str">
        <f>IFERROR(__xludf.DUMMYFUNCTION("REGEXEXTRACT(B416, ""-([^-\s]+)$"")"),"S")</f>
        <v>S</v>
      </c>
      <c r="H416" s="2" t="s">
        <v>970</v>
      </c>
      <c r="I416" s="8" t="str">
        <f t="shared" si="1"/>
        <v>42 in</v>
      </c>
      <c r="J416" s="9" t="s">
        <v>1002</v>
      </c>
    </row>
    <row r="417">
      <c r="A417" s="4">
        <v>3.4590228E7</v>
      </c>
      <c r="B417" s="1" t="s">
        <v>722</v>
      </c>
      <c r="C417" s="5">
        <v>1150.0</v>
      </c>
      <c r="D417" s="7" t="s">
        <v>20</v>
      </c>
      <c r="E417" s="2" t="s">
        <v>24</v>
      </c>
      <c r="F417" s="2" t="s">
        <v>27</v>
      </c>
      <c r="G417" s="8" t="str">
        <f>IFERROR(__xludf.DUMMYFUNCTION("REGEXEXTRACT(B417, ""-([^-\s]+)$"")"),"XL")</f>
        <v>XL</v>
      </c>
      <c r="H417" s="2" t="s">
        <v>970</v>
      </c>
      <c r="I417" s="8" t="str">
        <f t="shared" si="1"/>
        <v>48 in</v>
      </c>
      <c r="J417" s="9" t="s">
        <v>1002</v>
      </c>
    </row>
    <row r="418">
      <c r="A418" s="4">
        <v>3.4590221E7</v>
      </c>
      <c r="B418" s="1" t="s">
        <v>726</v>
      </c>
      <c r="C418" s="5">
        <v>1150.0</v>
      </c>
      <c r="D418" s="7" t="s">
        <v>20</v>
      </c>
      <c r="E418" s="2" t="s">
        <v>24</v>
      </c>
      <c r="F418" s="2" t="s">
        <v>27</v>
      </c>
      <c r="G418" s="8" t="str">
        <f>IFERROR(__xludf.DUMMYFUNCTION("REGEXEXTRACT(B418, ""-([^-\s]+)$"")"),"L")</f>
        <v>L</v>
      </c>
      <c r="H418" s="2" t="s">
        <v>972</v>
      </c>
      <c r="I418" s="8" t="str">
        <f t="shared" si="1"/>
        <v>46 in</v>
      </c>
      <c r="J418" s="9" t="s">
        <v>1003</v>
      </c>
    </row>
    <row r="419">
      <c r="A419" s="4">
        <v>3.4590221E7</v>
      </c>
      <c r="B419" s="1" t="s">
        <v>728</v>
      </c>
      <c r="C419" s="5">
        <v>1150.0</v>
      </c>
      <c r="D419" s="7" t="s">
        <v>20</v>
      </c>
      <c r="E419" s="2" t="s">
        <v>24</v>
      </c>
      <c r="F419" s="2" t="s">
        <v>27</v>
      </c>
      <c r="G419" s="8" t="str">
        <f>IFERROR(__xludf.DUMMYFUNCTION("REGEXEXTRACT(B419, ""-([^-\s]+)$"")"),"M")</f>
        <v>M</v>
      </c>
      <c r="H419" s="2" t="s">
        <v>972</v>
      </c>
      <c r="I419" s="8" t="str">
        <f t="shared" si="1"/>
        <v>44 in</v>
      </c>
      <c r="J419" s="9" t="s">
        <v>1003</v>
      </c>
    </row>
    <row r="420">
      <c r="A420" s="4">
        <v>3.4590221E7</v>
      </c>
      <c r="B420" s="1" t="s">
        <v>724</v>
      </c>
      <c r="C420" s="5">
        <v>1150.0</v>
      </c>
      <c r="D420" s="7" t="s">
        <v>20</v>
      </c>
      <c r="E420" s="2" t="s">
        <v>24</v>
      </c>
      <c r="F420" s="2" t="s">
        <v>27</v>
      </c>
      <c r="G420" s="8" t="str">
        <f>IFERROR(__xludf.DUMMYFUNCTION("REGEXEXTRACT(B420, ""-([^-\s]+)$"")"),"S")</f>
        <v>S</v>
      </c>
      <c r="H420" s="2" t="s">
        <v>972</v>
      </c>
      <c r="I420" s="8" t="str">
        <f t="shared" si="1"/>
        <v>42 in</v>
      </c>
      <c r="J420" s="9" t="s">
        <v>1003</v>
      </c>
    </row>
    <row r="421">
      <c r="A421" s="4">
        <v>3.4590221E7</v>
      </c>
      <c r="B421" s="1" t="s">
        <v>725</v>
      </c>
      <c r="C421" s="5">
        <v>1150.0</v>
      </c>
      <c r="D421" s="7" t="s">
        <v>20</v>
      </c>
      <c r="E421" s="2" t="s">
        <v>24</v>
      </c>
      <c r="F421" s="2" t="s">
        <v>27</v>
      </c>
      <c r="G421" s="8" t="str">
        <f>IFERROR(__xludf.DUMMYFUNCTION("REGEXEXTRACT(B421, ""-([^-\s]+)$"")"),"XL")</f>
        <v>XL</v>
      </c>
      <c r="H421" s="2" t="s">
        <v>972</v>
      </c>
      <c r="I421" s="8" t="str">
        <f t="shared" si="1"/>
        <v>48 in</v>
      </c>
      <c r="J421" s="9" t="s">
        <v>1003</v>
      </c>
    </row>
    <row r="422">
      <c r="A422" s="4">
        <v>3.4590241E7</v>
      </c>
      <c r="B422" s="1" t="s">
        <v>696</v>
      </c>
      <c r="C422" s="5">
        <v>1285.0</v>
      </c>
      <c r="D422" s="7" t="s">
        <v>20</v>
      </c>
      <c r="E422" s="2" t="s">
        <v>24</v>
      </c>
      <c r="F422" s="2" t="s">
        <v>27</v>
      </c>
      <c r="G422" s="8" t="str">
        <f>IFERROR(__xludf.DUMMYFUNCTION("REGEXEXTRACT(B422, ""-([^-\s]+)$"")"),"L")</f>
        <v>L</v>
      </c>
      <c r="H422" s="2" t="s">
        <v>484</v>
      </c>
      <c r="I422" s="8" t="str">
        <f t="shared" si="1"/>
        <v>46 in</v>
      </c>
      <c r="J422" s="9" t="s">
        <v>1004</v>
      </c>
    </row>
    <row r="423">
      <c r="A423" s="4">
        <v>3.4590241E7</v>
      </c>
      <c r="B423" s="1" t="s">
        <v>698</v>
      </c>
      <c r="C423" s="5">
        <v>1285.0</v>
      </c>
      <c r="D423" s="7" t="s">
        <v>20</v>
      </c>
      <c r="E423" s="2" t="s">
        <v>24</v>
      </c>
      <c r="F423" s="2" t="s">
        <v>27</v>
      </c>
      <c r="G423" s="8" t="str">
        <f>IFERROR(__xludf.DUMMYFUNCTION("REGEXEXTRACT(B423, ""-([^-\s]+)$"")"),"M")</f>
        <v>M</v>
      </c>
      <c r="H423" s="2" t="s">
        <v>484</v>
      </c>
      <c r="I423" s="8" t="str">
        <f t="shared" si="1"/>
        <v>44 in</v>
      </c>
      <c r="J423" s="9" t="s">
        <v>1004</v>
      </c>
    </row>
    <row r="424">
      <c r="A424" s="4">
        <v>3.4590241E7</v>
      </c>
      <c r="B424" s="1" t="s">
        <v>700</v>
      </c>
      <c r="C424" s="5">
        <v>1285.0</v>
      </c>
      <c r="D424" s="7" t="s">
        <v>20</v>
      </c>
      <c r="E424" s="2" t="s">
        <v>24</v>
      </c>
      <c r="F424" s="2" t="s">
        <v>27</v>
      </c>
      <c r="G424" s="8" t="str">
        <f>IFERROR(__xludf.DUMMYFUNCTION("REGEXEXTRACT(B424, ""-([^-\s]+)$"")"),"S")</f>
        <v>S</v>
      </c>
      <c r="H424" s="2" t="s">
        <v>484</v>
      </c>
      <c r="I424" s="8" t="str">
        <f t="shared" si="1"/>
        <v>42 in</v>
      </c>
      <c r="J424" s="9" t="s">
        <v>1004</v>
      </c>
    </row>
    <row r="425">
      <c r="A425" s="4">
        <v>3.4590241E7</v>
      </c>
      <c r="B425" s="1" t="s">
        <v>701</v>
      </c>
      <c r="C425" s="5">
        <v>1285.0</v>
      </c>
      <c r="D425" s="7" t="s">
        <v>20</v>
      </c>
      <c r="E425" s="2" t="s">
        <v>24</v>
      </c>
      <c r="F425" s="2" t="s">
        <v>27</v>
      </c>
      <c r="G425" s="8" t="str">
        <f>IFERROR(__xludf.DUMMYFUNCTION("REGEXEXTRACT(B425, ""-([^-\s]+)$"")"),"XL")</f>
        <v>XL</v>
      </c>
      <c r="H425" s="2" t="s">
        <v>484</v>
      </c>
      <c r="I425" s="8" t="str">
        <f t="shared" si="1"/>
        <v>48 in</v>
      </c>
      <c r="J425" s="9" t="s">
        <v>1004</v>
      </c>
    </row>
    <row r="426">
      <c r="A426" s="4">
        <v>3.4590239E7</v>
      </c>
      <c r="B426" s="1" t="s">
        <v>615</v>
      </c>
      <c r="C426" s="5">
        <v>1430.0</v>
      </c>
      <c r="D426" s="7" t="s">
        <v>20</v>
      </c>
      <c r="E426" s="2" t="s">
        <v>24</v>
      </c>
      <c r="F426" s="2" t="s">
        <v>27</v>
      </c>
      <c r="G426" s="8" t="str">
        <f>IFERROR(__xludf.DUMMYFUNCTION("REGEXEXTRACT(B426, ""-([^-\s]+)$"")"),"L")</f>
        <v>L</v>
      </c>
      <c r="H426" s="2" t="s">
        <v>946</v>
      </c>
      <c r="I426" s="8" t="str">
        <f t="shared" si="1"/>
        <v>46 in</v>
      </c>
      <c r="J426" s="9" t="s">
        <v>1005</v>
      </c>
    </row>
    <row r="427">
      <c r="A427" s="4">
        <v>3.4590239E7</v>
      </c>
      <c r="B427" s="1" t="s">
        <v>604</v>
      </c>
      <c r="C427" s="5">
        <v>1430.0</v>
      </c>
      <c r="D427" s="7" t="s">
        <v>20</v>
      </c>
      <c r="E427" s="2" t="s">
        <v>24</v>
      </c>
      <c r="F427" s="2" t="s">
        <v>27</v>
      </c>
      <c r="G427" s="8" t="str">
        <f>IFERROR(__xludf.DUMMYFUNCTION("REGEXEXTRACT(B427, ""-([^-\s]+)$"")"),"M")</f>
        <v>M</v>
      </c>
      <c r="H427" s="2" t="s">
        <v>946</v>
      </c>
      <c r="I427" s="8" t="str">
        <f t="shared" si="1"/>
        <v>44 in</v>
      </c>
      <c r="J427" s="9" t="s">
        <v>1005</v>
      </c>
    </row>
    <row r="428">
      <c r="A428" s="4">
        <v>3.4590239E7</v>
      </c>
      <c r="B428" s="1" t="s">
        <v>612</v>
      </c>
      <c r="C428" s="5">
        <v>1430.0</v>
      </c>
      <c r="D428" s="7" t="s">
        <v>20</v>
      </c>
      <c r="E428" s="2" t="s">
        <v>24</v>
      </c>
      <c r="F428" s="2" t="s">
        <v>27</v>
      </c>
      <c r="G428" s="8" t="str">
        <f>IFERROR(__xludf.DUMMYFUNCTION("REGEXEXTRACT(B428, ""-([^-\s]+)$"")"),"S")</f>
        <v>S</v>
      </c>
      <c r="H428" s="2" t="s">
        <v>946</v>
      </c>
      <c r="I428" s="8" t="str">
        <f t="shared" si="1"/>
        <v>42 in</v>
      </c>
      <c r="J428" s="9" t="s">
        <v>1005</v>
      </c>
    </row>
    <row r="429">
      <c r="A429" s="4">
        <v>3.4590239E7</v>
      </c>
      <c r="B429" s="1" t="s">
        <v>609</v>
      </c>
      <c r="C429" s="5">
        <v>1430.0</v>
      </c>
      <c r="D429" s="7" t="s">
        <v>20</v>
      </c>
      <c r="E429" s="2" t="s">
        <v>24</v>
      </c>
      <c r="F429" s="2" t="s">
        <v>27</v>
      </c>
      <c r="G429" s="8" t="str">
        <f>IFERROR(__xludf.DUMMYFUNCTION("REGEXEXTRACT(B429, ""-([^-\s]+)$"")"),"XL")</f>
        <v>XL</v>
      </c>
      <c r="H429" s="2" t="s">
        <v>946</v>
      </c>
      <c r="I429" s="8" t="str">
        <f t="shared" si="1"/>
        <v>48 in</v>
      </c>
      <c r="J429" s="9" t="s">
        <v>1005</v>
      </c>
    </row>
    <row r="430">
      <c r="A430" s="17">
        <v>3.7169024E7</v>
      </c>
      <c r="B430" s="2" t="s">
        <v>705</v>
      </c>
      <c r="C430" s="2">
        <v>1570.0</v>
      </c>
      <c r="D430" s="7" t="s">
        <v>20</v>
      </c>
      <c r="E430" s="1" t="s">
        <v>24</v>
      </c>
      <c r="F430" s="2" t="s">
        <v>27</v>
      </c>
      <c r="G430" s="8" t="str">
        <f>IFERROR(__xludf.DUMMYFUNCTION("REGEXEXTRACT(B430, ""-([^-\s]+)$"")"),"L")</f>
        <v>L</v>
      </c>
      <c r="H430" s="2" t="s">
        <v>148</v>
      </c>
      <c r="I430" s="8" t="str">
        <f t="shared" si="1"/>
        <v>46 in</v>
      </c>
      <c r="J430" s="9" t="s">
        <v>1006</v>
      </c>
    </row>
    <row r="431">
      <c r="A431" s="17">
        <v>3.7169024E7</v>
      </c>
      <c r="B431" s="2" t="s">
        <v>707</v>
      </c>
      <c r="C431" s="2">
        <v>1570.0</v>
      </c>
      <c r="D431" s="7" t="s">
        <v>20</v>
      </c>
      <c r="E431" s="1" t="s">
        <v>24</v>
      </c>
      <c r="F431" s="2" t="s">
        <v>27</v>
      </c>
      <c r="G431" s="8" t="str">
        <f>IFERROR(__xludf.DUMMYFUNCTION("REGEXEXTRACT(B431, ""-([^-\s]+)$"")"),"M")</f>
        <v>M</v>
      </c>
      <c r="H431" s="2" t="s">
        <v>148</v>
      </c>
      <c r="I431" s="8" t="str">
        <f t="shared" si="1"/>
        <v>44 in</v>
      </c>
      <c r="J431" s="9" t="s">
        <v>1006</v>
      </c>
    </row>
    <row r="432">
      <c r="A432" s="17">
        <v>3.7169024E7</v>
      </c>
      <c r="B432" s="2" t="s">
        <v>709</v>
      </c>
      <c r="C432" s="2">
        <v>1570.0</v>
      </c>
      <c r="D432" s="7" t="s">
        <v>20</v>
      </c>
      <c r="E432" s="1" t="s">
        <v>24</v>
      </c>
      <c r="F432" s="2" t="s">
        <v>27</v>
      </c>
      <c r="G432" s="8" t="str">
        <f>IFERROR(__xludf.DUMMYFUNCTION("REGEXEXTRACT(B432, ""-([^-\s]+)$"")"),"S")</f>
        <v>S</v>
      </c>
      <c r="H432" s="2" t="s">
        <v>148</v>
      </c>
      <c r="I432" s="8" t="str">
        <f t="shared" si="1"/>
        <v>42 in</v>
      </c>
      <c r="J432" s="9" t="s">
        <v>1006</v>
      </c>
    </row>
    <row r="433">
      <c r="A433" s="17">
        <v>3.7169024E7</v>
      </c>
      <c r="B433" s="2" t="s">
        <v>711</v>
      </c>
      <c r="C433" s="2">
        <v>1570.0</v>
      </c>
      <c r="D433" s="7" t="s">
        <v>20</v>
      </c>
      <c r="E433" s="1" t="s">
        <v>24</v>
      </c>
      <c r="F433" s="2" t="s">
        <v>27</v>
      </c>
      <c r="G433" s="8" t="str">
        <f>IFERROR(__xludf.DUMMYFUNCTION("REGEXEXTRACT(B433, ""-([^-\s]+)$"")"),"XL")</f>
        <v>XL</v>
      </c>
      <c r="H433" s="2" t="s">
        <v>148</v>
      </c>
      <c r="I433" s="8" t="str">
        <f t="shared" si="1"/>
        <v>48 in</v>
      </c>
      <c r="J433" s="9" t="s">
        <v>1006</v>
      </c>
    </row>
    <row r="434">
      <c r="A434" s="4">
        <v>4.2353966E7</v>
      </c>
      <c r="B434" s="1" t="s">
        <v>715</v>
      </c>
      <c r="C434" s="2">
        <v>1999.0</v>
      </c>
      <c r="D434" s="7" t="s">
        <v>20</v>
      </c>
      <c r="E434" s="1" t="s">
        <v>24</v>
      </c>
      <c r="F434" s="2" t="s">
        <v>27</v>
      </c>
      <c r="G434" s="8" t="str">
        <f>IFERROR(__xludf.DUMMYFUNCTION("REGEXEXTRACT(B434, ""-([^-\s]+)$"")"),"M")</f>
        <v>M</v>
      </c>
      <c r="H434" s="2" t="s">
        <v>928</v>
      </c>
      <c r="I434" s="8" t="str">
        <f t="shared" si="1"/>
        <v>44 in</v>
      </c>
      <c r="J434" s="9" t="s">
        <v>937</v>
      </c>
    </row>
    <row r="435">
      <c r="A435" s="4">
        <v>3.5356969E7</v>
      </c>
      <c r="B435" s="1" t="s">
        <v>717</v>
      </c>
      <c r="C435" s="5">
        <v>1570.0</v>
      </c>
      <c r="D435" s="7" t="s">
        <v>20</v>
      </c>
      <c r="E435" s="2" t="s">
        <v>24</v>
      </c>
      <c r="F435" s="2" t="s">
        <v>27</v>
      </c>
      <c r="G435" s="8" t="str">
        <f>IFERROR(__xludf.DUMMYFUNCTION("REGEXEXTRACT(B435, ""-([^-\s]+)$"")"),"M")</f>
        <v>M</v>
      </c>
      <c r="H435" s="2" t="s">
        <v>928</v>
      </c>
      <c r="I435" s="8" t="str">
        <f t="shared" si="1"/>
        <v>44 in</v>
      </c>
      <c r="J435" s="9" t="s">
        <v>943</v>
      </c>
    </row>
    <row r="436">
      <c r="A436" s="4">
        <v>3.4590226E7</v>
      </c>
      <c r="B436" s="1" t="s">
        <v>648</v>
      </c>
      <c r="C436" s="5">
        <v>1570.0</v>
      </c>
      <c r="D436" s="7" t="s">
        <v>20</v>
      </c>
      <c r="E436" s="2" t="s">
        <v>24</v>
      </c>
      <c r="F436" s="2" t="s">
        <v>27</v>
      </c>
      <c r="G436" s="8" t="str">
        <f>IFERROR(__xludf.DUMMYFUNCTION("REGEXEXTRACT(B436, ""-([^-\s]+)$"")"),"M")</f>
        <v>M</v>
      </c>
      <c r="H436" s="2" t="s">
        <v>928</v>
      </c>
      <c r="I436" s="8" t="str">
        <f t="shared" si="1"/>
        <v>44 in</v>
      </c>
      <c r="J436" s="9" t="s">
        <v>944</v>
      </c>
    </row>
    <row r="437">
      <c r="A437" s="4">
        <v>3.4590226E7</v>
      </c>
      <c r="B437" s="1" t="s">
        <v>652</v>
      </c>
      <c r="C437" s="5">
        <v>1570.0</v>
      </c>
      <c r="D437" s="7" t="s">
        <v>20</v>
      </c>
      <c r="E437" s="2" t="s">
        <v>24</v>
      </c>
      <c r="F437" s="2" t="s">
        <v>27</v>
      </c>
      <c r="G437" s="8" t="str">
        <f>IFERROR(__xludf.DUMMYFUNCTION("REGEXEXTRACT(B437, ""-([^-\s]+)$"")"),"XL")</f>
        <v>XL</v>
      </c>
      <c r="H437" s="2" t="s">
        <v>928</v>
      </c>
      <c r="I437" s="8" t="str">
        <f t="shared" si="1"/>
        <v>48 in</v>
      </c>
      <c r="J437" s="9" t="s">
        <v>944</v>
      </c>
    </row>
    <row r="438">
      <c r="A438" s="4">
        <v>3.4590214E7</v>
      </c>
      <c r="B438" s="1" t="s">
        <v>570</v>
      </c>
      <c r="C438" s="5">
        <v>1415.0</v>
      </c>
      <c r="D438" s="7" t="s">
        <v>20</v>
      </c>
      <c r="E438" s="2" t="s">
        <v>24</v>
      </c>
      <c r="F438" s="2" t="s">
        <v>27</v>
      </c>
      <c r="G438" s="8" t="str">
        <f>IFERROR(__xludf.DUMMYFUNCTION("REGEXEXTRACT(B438, ""-([^-\s]+)$"")"),"L")</f>
        <v>L</v>
      </c>
      <c r="H438" s="2" t="s">
        <v>946</v>
      </c>
      <c r="I438" s="8" t="str">
        <f t="shared" si="1"/>
        <v>46 in</v>
      </c>
      <c r="J438" s="9" t="s">
        <v>1007</v>
      </c>
    </row>
    <row r="439">
      <c r="A439" s="4">
        <v>3.4590214E7</v>
      </c>
      <c r="B439" s="1" t="s">
        <v>566</v>
      </c>
      <c r="C439" s="5">
        <v>1415.0</v>
      </c>
      <c r="D439" s="7" t="s">
        <v>20</v>
      </c>
      <c r="E439" s="2" t="s">
        <v>24</v>
      </c>
      <c r="F439" s="2" t="s">
        <v>27</v>
      </c>
      <c r="G439" s="8" t="str">
        <f>IFERROR(__xludf.DUMMYFUNCTION("REGEXEXTRACT(B439, ""-([^-\s]+)$"")"),"M")</f>
        <v>M</v>
      </c>
      <c r="H439" s="2" t="s">
        <v>946</v>
      </c>
      <c r="I439" s="8" t="str">
        <f t="shared" si="1"/>
        <v>44 in</v>
      </c>
      <c r="J439" s="9" t="s">
        <v>1007</v>
      </c>
    </row>
    <row r="440">
      <c r="A440" s="4">
        <v>3.4590214E7</v>
      </c>
      <c r="B440" s="1" t="s">
        <v>562</v>
      </c>
      <c r="C440" s="5">
        <v>1415.0</v>
      </c>
      <c r="D440" s="7" t="s">
        <v>20</v>
      </c>
      <c r="E440" s="2" t="s">
        <v>24</v>
      </c>
      <c r="F440" s="2" t="s">
        <v>27</v>
      </c>
      <c r="G440" s="8" t="str">
        <f>IFERROR(__xludf.DUMMYFUNCTION("REGEXEXTRACT(B440, ""-([^-\s]+)$"")"),"S")</f>
        <v>S</v>
      </c>
      <c r="H440" s="2" t="s">
        <v>946</v>
      </c>
      <c r="I440" s="8" t="str">
        <f t="shared" si="1"/>
        <v>42 in</v>
      </c>
      <c r="J440" s="9" t="s">
        <v>1007</v>
      </c>
    </row>
    <row r="441">
      <c r="A441" s="4">
        <v>3.4590214E7</v>
      </c>
      <c r="B441" s="1" t="s">
        <v>575</v>
      </c>
      <c r="C441" s="5">
        <v>1415.0</v>
      </c>
      <c r="D441" s="7" t="s">
        <v>20</v>
      </c>
      <c r="E441" s="2" t="s">
        <v>24</v>
      </c>
      <c r="F441" s="2" t="s">
        <v>27</v>
      </c>
      <c r="G441" s="8" t="str">
        <f>IFERROR(__xludf.DUMMYFUNCTION("REGEXEXTRACT(B441, ""-([^-\s]+)$"")"),"XL")</f>
        <v>XL</v>
      </c>
      <c r="H441" s="2" t="s">
        <v>946</v>
      </c>
      <c r="I441" s="8" t="str">
        <f t="shared" si="1"/>
        <v>48 in</v>
      </c>
      <c r="J441" s="9" t="s">
        <v>1007</v>
      </c>
    </row>
    <row r="442">
      <c r="A442" s="4">
        <v>3.4590215E7</v>
      </c>
      <c r="B442" s="1" t="s">
        <v>727</v>
      </c>
      <c r="C442" s="5">
        <v>1415.0</v>
      </c>
      <c r="D442" s="7" t="s">
        <v>20</v>
      </c>
      <c r="E442" s="2" t="s">
        <v>24</v>
      </c>
      <c r="F442" s="2" t="s">
        <v>27</v>
      </c>
      <c r="G442" s="8" t="str">
        <f>IFERROR(__xludf.DUMMYFUNCTION("REGEXEXTRACT(B442, ""-([^-\s]+)$"")"),"L")</f>
        <v>L</v>
      </c>
      <c r="H442" s="2" t="s">
        <v>189</v>
      </c>
      <c r="I442" s="8" t="str">
        <f t="shared" si="1"/>
        <v>46 in</v>
      </c>
      <c r="J442" s="9" t="s">
        <v>1008</v>
      </c>
    </row>
    <row r="443">
      <c r="A443" s="4">
        <v>3.4590215E7</v>
      </c>
      <c r="B443" s="1" t="s">
        <v>729</v>
      </c>
      <c r="C443" s="5">
        <v>1415.0</v>
      </c>
      <c r="D443" s="7" t="s">
        <v>20</v>
      </c>
      <c r="E443" s="2" t="s">
        <v>24</v>
      </c>
      <c r="F443" s="2" t="s">
        <v>27</v>
      </c>
      <c r="G443" s="8" t="str">
        <f>IFERROR(__xludf.DUMMYFUNCTION("REGEXEXTRACT(B443, ""-([^-\s]+)$"")"),"M")</f>
        <v>M</v>
      </c>
      <c r="H443" s="2" t="s">
        <v>189</v>
      </c>
      <c r="I443" s="8" t="str">
        <f t="shared" si="1"/>
        <v>44 in</v>
      </c>
      <c r="J443" s="9" t="s">
        <v>1008</v>
      </c>
    </row>
    <row r="444">
      <c r="A444" s="4">
        <v>3.4590215E7</v>
      </c>
      <c r="B444" s="1" t="s">
        <v>732</v>
      </c>
      <c r="C444" s="5">
        <v>1415.0</v>
      </c>
      <c r="D444" s="7" t="s">
        <v>20</v>
      </c>
      <c r="E444" s="2" t="s">
        <v>24</v>
      </c>
      <c r="F444" s="2" t="s">
        <v>27</v>
      </c>
      <c r="G444" s="8" t="str">
        <f>IFERROR(__xludf.DUMMYFUNCTION("REGEXEXTRACT(B444, ""-([^-\s]+)$"")"),"S")</f>
        <v>S</v>
      </c>
      <c r="H444" s="2" t="s">
        <v>189</v>
      </c>
      <c r="I444" s="8" t="str">
        <f t="shared" si="1"/>
        <v>42 in</v>
      </c>
      <c r="J444" s="9" t="s">
        <v>1008</v>
      </c>
    </row>
    <row r="445">
      <c r="A445" s="4">
        <v>3.4590215E7</v>
      </c>
      <c r="B445" s="1" t="s">
        <v>735</v>
      </c>
      <c r="C445" s="5">
        <v>1415.0</v>
      </c>
      <c r="D445" s="7" t="s">
        <v>20</v>
      </c>
      <c r="E445" s="2" t="s">
        <v>24</v>
      </c>
      <c r="F445" s="2" t="s">
        <v>27</v>
      </c>
      <c r="G445" s="8" t="str">
        <f>IFERROR(__xludf.DUMMYFUNCTION("REGEXEXTRACT(B445, ""-([^-\s]+)$"")"),"XL")</f>
        <v>XL</v>
      </c>
      <c r="H445" s="2" t="s">
        <v>189</v>
      </c>
      <c r="I445" s="8" t="str">
        <f t="shared" si="1"/>
        <v>48 in</v>
      </c>
      <c r="J445" s="9" t="s">
        <v>1008</v>
      </c>
    </row>
    <row r="446">
      <c r="A446" s="4">
        <v>3.535701E7</v>
      </c>
      <c r="B446" s="1" t="s">
        <v>737</v>
      </c>
      <c r="C446" s="5">
        <v>1570.0</v>
      </c>
      <c r="D446" s="7" t="s">
        <v>20</v>
      </c>
      <c r="E446" s="2" t="s">
        <v>24</v>
      </c>
      <c r="F446" s="2" t="s">
        <v>27</v>
      </c>
      <c r="G446" s="8" t="str">
        <f>IFERROR(__xludf.DUMMYFUNCTION("REGEXEXTRACT(B446, ""-([^-\s]+)$"")"),"L")</f>
        <v>L</v>
      </c>
      <c r="H446" s="2" t="s">
        <v>148</v>
      </c>
      <c r="I446" s="8" t="str">
        <f t="shared" si="1"/>
        <v>46 in</v>
      </c>
      <c r="J446" s="9" t="s">
        <v>1009</v>
      </c>
    </row>
    <row r="447">
      <c r="A447" s="4">
        <v>3.535701E7</v>
      </c>
      <c r="B447" s="1" t="s">
        <v>741</v>
      </c>
      <c r="C447" s="5">
        <v>1570.0</v>
      </c>
      <c r="D447" s="7" t="s">
        <v>20</v>
      </c>
      <c r="E447" s="2" t="s">
        <v>24</v>
      </c>
      <c r="F447" s="2" t="s">
        <v>27</v>
      </c>
      <c r="G447" s="8" t="str">
        <f>IFERROR(__xludf.DUMMYFUNCTION("REGEXEXTRACT(B447, ""-([^-\s]+)$"")"),"M")</f>
        <v>M</v>
      </c>
      <c r="H447" s="2" t="s">
        <v>148</v>
      </c>
      <c r="I447" s="8" t="str">
        <f t="shared" si="1"/>
        <v>44 in</v>
      </c>
      <c r="J447" s="9" t="s">
        <v>1009</v>
      </c>
    </row>
    <row r="448">
      <c r="A448" s="4">
        <v>3.535701E7</v>
      </c>
      <c r="B448" s="1" t="s">
        <v>744</v>
      </c>
      <c r="C448" s="5">
        <v>1570.0</v>
      </c>
      <c r="D448" s="7" t="s">
        <v>20</v>
      </c>
      <c r="E448" s="2" t="s">
        <v>24</v>
      </c>
      <c r="F448" s="2" t="s">
        <v>27</v>
      </c>
      <c r="G448" s="8" t="str">
        <f>IFERROR(__xludf.DUMMYFUNCTION("REGEXEXTRACT(B448, ""-([^-\s]+)$"")"),"S")</f>
        <v>S</v>
      </c>
      <c r="H448" s="2" t="s">
        <v>148</v>
      </c>
      <c r="I448" s="8" t="str">
        <f t="shared" si="1"/>
        <v>42 in</v>
      </c>
      <c r="J448" s="9" t="s">
        <v>1009</v>
      </c>
    </row>
    <row r="449">
      <c r="A449" s="4">
        <v>3.535701E7</v>
      </c>
      <c r="B449" s="1" t="s">
        <v>747</v>
      </c>
      <c r="C449" s="5">
        <v>1570.0</v>
      </c>
      <c r="D449" s="7" t="s">
        <v>20</v>
      </c>
      <c r="E449" s="2" t="s">
        <v>24</v>
      </c>
      <c r="F449" s="2" t="s">
        <v>27</v>
      </c>
      <c r="G449" s="8" t="str">
        <f>IFERROR(__xludf.DUMMYFUNCTION("REGEXEXTRACT(B449, ""-([^-\s]+)$"")"),"XL")</f>
        <v>XL</v>
      </c>
      <c r="H449" s="2" t="s">
        <v>148</v>
      </c>
      <c r="I449" s="8" t="str">
        <f t="shared" si="1"/>
        <v>48 in</v>
      </c>
      <c r="J449" s="9" t="s">
        <v>1009</v>
      </c>
    </row>
    <row r="450">
      <c r="A450" s="4">
        <v>3.4590216E7</v>
      </c>
      <c r="B450" s="1" t="s">
        <v>624</v>
      </c>
      <c r="C450" s="5">
        <v>1710.0</v>
      </c>
      <c r="D450" s="7" t="s">
        <v>20</v>
      </c>
      <c r="E450" s="2" t="s">
        <v>24</v>
      </c>
      <c r="F450" s="2" t="s">
        <v>27</v>
      </c>
      <c r="G450" s="8" t="str">
        <f>IFERROR(__xludf.DUMMYFUNCTION("REGEXEXTRACT(B450, ""-([^-\s]+)$"")"),"L")</f>
        <v>L</v>
      </c>
      <c r="H450" s="2" t="s">
        <v>148</v>
      </c>
      <c r="I450" s="8" t="str">
        <f t="shared" si="1"/>
        <v>46 in</v>
      </c>
      <c r="J450" s="9" t="s">
        <v>1010</v>
      </c>
    </row>
    <row r="451">
      <c r="A451" s="4">
        <v>3.4590216E7</v>
      </c>
      <c r="B451" s="1" t="s">
        <v>623</v>
      </c>
      <c r="C451" s="5">
        <v>1710.0</v>
      </c>
      <c r="D451" s="7" t="s">
        <v>20</v>
      </c>
      <c r="E451" s="2" t="s">
        <v>24</v>
      </c>
      <c r="F451" s="2" t="s">
        <v>27</v>
      </c>
      <c r="G451" s="8" t="str">
        <f>IFERROR(__xludf.DUMMYFUNCTION("REGEXEXTRACT(B451, ""-([^-\s]+)$"")"),"M")</f>
        <v>M</v>
      </c>
      <c r="H451" s="2" t="s">
        <v>148</v>
      </c>
      <c r="I451" s="8" t="str">
        <f t="shared" si="1"/>
        <v>44 in</v>
      </c>
      <c r="J451" s="9" t="s">
        <v>1010</v>
      </c>
    </row>
    <row r="452">
      <c r="A452" s="4">
        <v>3.4590216E7</v>
      </c>
      <c r="B452" s="1" t="s">
        <v>625</v>
      </c>
      <c r="C452" s="5">
        <v>1710.0</v>
      </c>
      <c r="D452" s="7" t="s">
        <v>20</v>
      </c>
      <c r="E452" s="2" t="s">
        <v>24</v>
      </c>
      <c r="F452" s="2" t="s">
        <v>27</v>
      </c>
      <c r="G452" s="8" t="str">
        <f>IFERROR(__xludf.DUMMYFUNCTION("REGEXEXTRACT(B452, ""-([^-\s]+)$"")"),"S")</f>
        <v>S</v>
      </c>
      <c r="H452" s="2" t="s">
        <v>148</v>
      </c>
      <c r="I452" s="8" t="str">
        <f t="shared" si="1"/>
        <v>42 in</v>
      </c>
      <c r="J452" s="9" t="s">
        <v>1010</v>
      </c>
    </row>
    <row r="453">
      <c r="A453" s="4">
        <v>3.4590216E7</v>
      </c>
      <c r="B453" s="1" t="s">
        <v>627</v>
      </c>
      <c r="C453" s="5">
        <v>1710.0</v>
      </c>
      <c r="D453" s="7" t="s">
        <v>20</v>
      </c>
      <c r="E453" s="2" t="s">
        <v>24</v>
      </c>
      <c r="F453" s="2" t="s">
        <v>27</v>
      </c>
      <c r="G453" s="8" t="str">
        <f>IFERROR(__xludf.DUMMYFUNCTION("REGEXEXTRACT(B453, ""-([^-\s]+)$"")"),"XL")</f>
        <v>XL</v>
      </c>
      <c r="H453" s="2" t="s">
        <v>148</v>
      </c>
      <c r="I453" s="8" t="str">
        <f t="shared" si="1"/>
        <v>48 in</v>
      </c>
      <c r="J453" s="9" t="s">
        <v>1010</v>
      </c>
    </row>
    <row r="454">
      <c r="A454" s="4">
        <v>4.2353963E7</v>
      </c>
      <c r="B454" s="1" t="s">
        <v>756</v>
      </c>
      <c r="C454" s="2">
        <v>1999.0</v>
      </c>
      <c r="D454" s="7" t="s">
        <v>20</v>
      </c>
      <c r="E454" s="1" t="s">
        <v>24</v>
      </c>
      <c r="F454" s="2" t="s">
        <v>27</v>
      </c>
      <c r="G454" s="8" t="str">
        <f>IFERROR(__xludf.DUMMYFUNCTION("REGEXEXTRACT(B454, ""-([^-\s]+)$"")"),"M")</f>
        <v>M</v>
      </c>
      <c r="H454" s="2" t="s">
        <v>928</v>
      </c>
      <c r="I454" s="8" t="str">
        <f t="shared" si="1"/>
        <v>44 in</v>
      </c>
      <c r="J454" s="9" t="s">
        <v>945</v>
      </c>
    </row>
    <row r="455">
      <c r="A455" s="4">
        <v>4.2353958E7</v>
      </c>
      <c r="B455" s="1" t="s">
        <v>757</v>
      </c>
      <c r="C455" s="2">
        <v>1999.0</v>
      </c>
      <c r="D455" s="7" t="s">
        <v>20</v>
      </c>
      <c r="E455" s="1" t="s">
        <v>24</v>
      </c>
      <c r="F455" s="2" t="s">
        <v>27</v>
      </c>
      <c r="G455" s="8" t="str">
        <f>IFERROR(__xludf.DUMMYFUNCTION("REGEXEXTRACT(B455, ""-([^-\s]+)$"")"),"M")</f>
        <v>M</v>
      </c>
      <c r="H455" s="2" t="s">
        <v>928</v>
      </c>
      <c r="I455" s="8" t="str">
        <f t="shared" si="1"/>
        <v>44 in</v>
      </c>
      <c r="J455" s="9" t="s">
        <v>952</v>
      </c>
    </row>
    <row r="456">
      <c r="A456" s="2">
        <v>3.7332284E7</v>
      </c>
      <c r="B456" s="1" t="s">
        <v>758</v>
      </c>
      <c r="C456" s="4">
        <v>1999.0</v>
      </c>
      <c r="D456" s="7" t="s">
        <v>20</v>
      </c>
      <c r="E456" s="1" t="s">
        <v>24</v>
      </c>
      <c r="F456" s="2" t="s">
        <v>27</v>
      </c>
      <c r="G456" s="8" t="str">
        <f>IFERROR(__xludf.DUMMYFUNCTION("REGEXEXTRACT(B456, ""-([^-\s]+)$"")"),"M")</f>
        <v>M</v>
      </c>
      <c r="H456" s="2" t="s">
        <v>928</v>
      </c>
      <c r="I456" s="8" t="str">
        <f t="shared" si="1"/>
        <v>44 in</v>
      </c>
      <c r="J456" s="9" t="s">
        <v>953</v>
      </c>
    </row>
    <row r="457">
      <c r="A457" s="4">
        <v>4.2353963E7</v>
      </c>
      <c r="B457" s="1" t="s">
        <v>759</v>
      </c>
      <c r="C457" s="2">
        <v>1999.0</v>
      </c>
      <c r="D457" s="7" t="s">
        <v>20</v>
      </c>
      <c r="E457" s="1" t="s">
        <v>24</v>
      </c>
      <c r="F457" s="2" t="s">
        <v>27</v>
      </c>
      <c r="G457" s="8" t="str">
        <f>IFERROR(__xludf.DUMMYFUNCTION("REGEXEXTRACT(B457, ""-([^-\s]+)$"")"),"XL")</f>
        <v>XL</v>
      </c>
      <c r="H457" s="2" t="s">
        <v>928</v>
      </c>
      <c r="I457" s="8" t="str">
        <f t="shared" si="1"/>
        <v>48 in</v>
      </c>
      <c r="J457" s="9" t="s">
        <v>945</v>
      </c>
    </row>
    <row r="458">
      <c r="A458" s="4">
        <v>3.667298E7</v>
      </c>
      <c r="B458" s="1" t="s">
        <v>760</v>
      </c>
      <c r="C458" s="12">
        <v>1855.0</v>
      </c>
      <c r="D458" s="7" t="s">
        <v>20</v>
      </c>
      <c r="E458" s="1" t="s">
        <v>24</v>
      </c>
      <c r="F458" s="2" t="s">
        <v>27</v>
      </c>
      <c r="G458" s="8" t="str">
        <f>IFERROR(__xludf.DUMMYFUNCTION("REGEXEXTRACT(B458, ""-([^-\s]+)$"")"),"M")</f>
        <v>M</v>
      </c>
      <c r="H458" s="2" t="s">
        <v>928</v>
      </c>
      <c r="I458" s="8" t="str">
        <f t="shared" si="1"/>
        <v>44 in</v>
      </c>
      <c r="J458" s="9" t="s">
        <v>954</v>
      </c>
    </row>
    <row r="459">
      <c r="A459" s="4">
        <v>4.2353969E7</v>
      </c>
      <c r="B459" s="1" t="s">
        <v>761</v>
      </c>
      <c r="C459" s="2">
        <v>1999.0</v>
      </c>
      <c r="D459" s="7" t="s">
        <v>20</v>
      </c>
      <c r="E459" s="1" t="s">
        <v>24</v>
      </c>
      <c r="F459" s="2" t="s">
        <v>27</v>
      </c>
      <c r="G459" s="8" t="str">
        <f>IFERROR(__xludf.DUMMYFUNCTION("REGEXEXTRACT(B459, ""-([^-\s]+)$"")"),"M")</f>
        <v>M</v>
      </c>
      <c r="H459" s="2" t="s">
        <v>928</v>
      </c>
      <c r="I459" s="8" t="str">
        <f t="shared" si="1"/>
        <v>44 in</v>
      </c>
      <c r="J459" s="9" t="s">
        <v>1011</v>
      </c>
    </row>
    <row r="460">
      <c r="A460" s="4">
        <v>3.4590234E7</v>
      </c>
      <c r="B460" s="1" t="s">
        <v>742</v>
      </c>
      <c r="C460" s="5">
        <v>1570.0</v>
      </c>
      <c r="D460" s="7" t="s">
        <v>20</v>
      </c>
      <c r="E460" s="2" t="s">
        <v>24</v>
      </c>
      <c r="F460" s="2" t="s">
        <v>27</v>
      </c>
      <c r="G460" s="8" t="str">
        <f>IFERROR(__xludf.DUMMYFUNCTION("REGEXEXTRACT(B460, ""-([^-\s]+)$"")"),"M")</f>
        <v>M</v>
      </c>
      <c r="H460" s="2" t="s">
        <v>928</v>
      </c>
      <c r="I460" s="8" t="str">
        <f t="shared" si="1"/>
        <v>44 in</v>
      </c>
      <c r="J460" s="9" t="s">
        <v>964</v>
      </c>
    </row>
    <row r="461">
      <c r="A461" s="4">
        <v>4.2353958E7</v>
      </c>
      <c r="B461" s="1" t="s">
        <v>763</v>
      </c>
      <c r="C461" s="2">
        <v>1999.0</v>
      </c>
      <c r="D461" s="7" t="s">
        <v>20</v>
      </c>
      <c r="E461" s="1" t="s">
        <v>24</v>
      </c>
      <c r="F461" s="2" t="s">
        <v>27</v>
      </c>
      <c r="G461" s="8" t="str">
        <f>IFERROR(__xludf.DUMMYFUNCTION("REGEXEXTRACT(B461, ""-([^-\s]+)$"")"),"XL")</f>
        <v>XL</v>
      </c>
      <c r="H461" s="2" t="s">
        <v>928</v>
      </c>
      <c r="I461" s="8" t="str">
        <f t="shared" si="1"/>
        <v>48 in</v>
      </c>
      <c r="J461" s="9" t="s">
        <v>952</v>
      </c>
    </row>
    <row r="462">
      <c r="A462" s="2">
        <v>3.7332294E7</v>
      </c>
      <c r="B462" s="1" t="s">
        <v>764</v>
      </c>
      <c r="C462" s="4">
        <v>1999.0</v>
      </c>
      <c r="D462" s="7" t="s">
        <v>20</v>
      </c>
      <c r="E462" s="1" t="s">
        <v>24</v>
      </c>
      <c r="F462" s="2" t="s">
        <v>27</v>
      </c>
      <c r="G462" s="8" t="str">
        <f>IFERROR(__xludf.DUMMYFUNCTION("REGEXEXTRACT(B462, ""-([^-\s]+)$"")"),"M")</f>
        <v>M</v>
      </c>
      <c r="H462" s="2" t="s">
        <v>928</v>
      </c>
      <c r="I462" s="8" t="str">
        <f t="shared" si="1"/>
        <v>44 in</v>
      </c>
      <c r="J462" s="9" t="s">
        <v>965</v>
      </c>
    </row>
    <row r="463">
      <c r="A463" s="4">
        <v>3.5356964E7</v>
      </c>
      <c r="B463" s="1" t="s">
        <v>765</v>
      </c>
      <c r="C463" s="5">
        <v>1700.0</v>
      </c>
      <c r="D463" s="7" t="s">
        <v>20</v>
      </c>
      <c r="E463" s="2" t="s">
        <v>24</v>
      </c>
      <c r="F463" s="2" t="s">
        <v>27</v>
      </c>
      <c r="G463" s="8" t="str">
        <f>IFERROR(__xludf.DUMMYFUNCTION("REGEXEXTRACT(B463, ""-([^-\s]+)$"")"),"M")</f>
        <v>M</v>
      </c>
      <c r="H463" s="2" t="s">
        <v>928</v>
      </c>
      <c r="I463" s="8" t="str">
        <f t="shared" si="1"/>
        <v>44 in</v>
      </c>
      <c r="J463" s="9" t="s">
        <v>979</v>
      </c>
    </row>
    <row r="464">
      <c r="A464" s="4">
        <v>3.4590237E7</v>
      </c>
      <c r="B464" s="1" t="s">
        <v>548</v>
      </c>
      <c r="C464" s="5">
        <v>1570.0</v>
      </c>
      <c r="D464" s="7" t="s">
        <v>20</v>
      </c>
      <c r="E464" s="2" t="s">
        <v>24</v>
      </c>
      <c r="F464" s="2" t="s">
        <v>27</v>
      </c>
      <c r="G464" s="8" t="str">
        <f>IFERROR(__xludf.DUMMYFUNCTION("REGEXEXTRACT(B464, ""-([^-\s]+)$"")"),"S")</f>
        <v>S</v>
      </c>
      <c r="H464" s="2" t="s">
        <v>928</v>
      </c>
      <c r="I464" s="8" t="str">
        <f t="shared" si="1"/>
        <v>42 in</v>
      </c>
      <c r="J464" s="9" t="s">
        <v>929</v>
      </c>
    </row>
    <row r="465">
      <c r="A465" s="2">
        <v>3.7332284E7</v>
      </c>
      <c r="B465" s="1" t="s">
        <v>767</v>
      </c>
      <c r="C465" s="4">
        <v>1999.0</v>
      </c>
      <c r="D465" s="7" t="s">
        <v>20</v>
      </c>
      <c r="E465" s="1" t="s">
        <v>24</v>
      </c>
      <c r="F465" s="2" t="s">
        <v>27</v>
      </c>
      <c r="G465" s="8" t="str">
        <f>IFERROR(__xludf.DUMMYFUNCTION("REGEXEXTRACT(B465, ""-([^-\s]+)$"")"),"XL")</f>
        <v>XL</v>
      </c>
      <c r="H465" s="2" t="s">
        <v>928</v>
      </c>
      <c r="I465" s="8" t="str">
        <f t="shared" si="1"/>
        <v>48 in</v>
      </c>
      <c r="J465" s="9" t="s">
        <v>953</v>
      </c>
    </row>
    <row r="466">
      <c r="A466" s="4">
        <v>3.4590196E7</v>
      </c>
      <c r="B466" s="1" t="s">
        <v>692</v>
      </c>
      <c r="C466" s="5">
        <v>1570.0</v>
      </c>
      <c r="D466" s="7" t="s">
        <v>20</v>
      </c>
      <c r="E466" s="2" t="s">
        <v>24</v>
      </c>
      <c r="F466" s="2" t="s">
        <v>27</v>
      </c>
      <c r="G466" s="8" t="str">
        <f>IFERROR(__xludf.DUMMYFUNCTION("REGEXEXTRACT(B466, ""-([^-\s]+)$"")"),"L")</f>
        <v>L</v>
      </c>
      <c r="H466" s="2" t="s">
        <v>972</v>
      </c>
      <c r="I466" s="8" t="str">
        <f t="shared" si="1"/>
        <v>46 in</v>
      </c>
      <c r="J466" s="9" t="s">
        <v>1012</v>
      </c>
    </row>
    <row r="467">
      <c r="A467" s="4">
        <v>3.4590196E7</v>
      </c>
      <c r="B467" s="1" t="s">
        <v>689</v>
      </c>
      <c r="C467" s="5">
        <v>1570.0</v>
      </c>
      <c r="D467" s="7" t="s">
        <v>20</v>
      </c>
      <c r="E467" s="2" t="s">
        <v>24</v>
      </c>
      <c r="F467" s="2" t="s">
        <v>27</v>
      </c>
      <c r="G467" s="8" t="str">
        <f>IFERROR(__xludf.DUMMYFUNCTION("REGEXEXTRACT(B467, ""-([^-\s]+)$"")"),"M")</f>
        <v>M</v>
      </c>
      <c r="H467" s="2" t="s">
        <v>972</v>
      </c>
      <c r="I467" s="8" t="str">
        <f t="shared" si="1"/>
        <v>44 in</v>
      </c>
      <c r="J467" s="9" t="s">
        <v>1012</v>
      </c>
    </row>
    <row r="468">
      <c r="A468" s="4">
        <v>3.4590196E7</v>
      </c>
      <c r="B468" s="1" t="s">
        <v>687</v>
      </c>
      <c r="C468" s="5">
        <v>1570.0</v>
      </c>
      <c r="D468" s="7" t="s">
        <v>20</v>
      </c>
      <c r="E468" s="2" t="s">
        <v>24</v>
      </c>
      <c r="F468" s="2" t="s">
        <v>27</v>
      </c>
      <c r="G468" s="8" t="str">
        <f>IFERROR(__xludf.DUMMYFUNCTION("REGEXEXTRACT(B468, ""-([^-\s]+)$"")"),"S")</f>
        <v>S</v>
      </c>
      <c r="H468" s="2" t="s">
        <v>972</v>
      </c>
      <c r="I468" s="8" t="str">
        <f t="shared" si="1"/>
        <v>42 in</v>
      </c>
      <c r="J468" s="9" t="s">
        <v>1012</v>
      </c>
    </row>
    <row r="469">
      <c r="A469" s="4">
        <v>3.4590196E7</v>
      </c>
      <c r="B469" s="1" t="s">
        <v>695</v>
      </c>
      <c r="C469" s="5">
        <v>1570.0</v>
      </c>
      <c r="D469" s="7" t="s">
        <v>20</v>
      </c>
      <c r="E469" s="2" t="s">
        <v>24</v>
      </c>
      <c r="F469" s="2" t="s">
        <v>27</v>
      </c>
      <c r="G469" s="8" t="str">
        <f>IFERROR(__xludf.DUMMYFUNCTION("REGEXEXTRACT(B469, ""-([^-\s]+)$"")"),"XL")</f>
        <v>XL</v>
      </c>
      <c r="H469" s="2" t="s">
        <v>972</v>
      </c>
      <c r="I469" s="8" t="str">
        <f t="shared" si="1"/>
        <v>48 in</v>
      </c>
      <c r="J469" s="9" t="s">
        <v>1012</v>
      </c>
    </row>
    <row r="470">
      <c r="A470" s="4">
        <v>3.5357001E7</v>
      </c>
      <c r="B470" s="1" t="s">
        <v>768</v>
      </c>
      <c r="C470" s="5">
        <v>1570.0</v>
      </c>
      <c r="D470" s="7" t="s">
        <v>20</v>
      </c>
      <c r="E470" s="2" t="s">
        <v>24</v>
      </c>
      <c r="F470" s="2" t="s">
        <v>27</v>
      </c>
      <c r="G470" s="8" t="str">
        <f>IFERROR(__xludf.DUMMYFUNCTION("REGEXEXTRACT(B470, ""-([^-\s]+)$"")"),"L")</f>
        <v>L</v>
      </c>
      <c r="H470" s="2" t="s">
        <v>980</v>
      </c>
      <c r="I470" s="8" t="str">
        <f t="shared" si="1"/>
        <v>46 in</v>
      </c>
      <c r="J470" s="9" t="s">
        <v>1013</v>
      </c>
    </row>
    <row r="471">
      <c r="A471" s="4">
        <v>3.5357001E7</v>
      </c>
      <c r="B471" s="1" t="s">
        <v>769</v>
      </c>
      <c r="C471" s="5">
        <v>1570.0</v>
      </c>
      <c r="D471" s="7" t="s">
        <v>20</v>
      </c>
      <c r="E471" s="2" t="s">
        <v>24</v>
      </c>
      <c r="F471" s="2" t="s">
        <v>27</v>
      </c>
      <c r="G471" s="8" t="str">
        <f>IFERROR(__xludf.DUMMYFUNCTION("REGEXEXTRACT(B471, ""-([^-\s]+)$"")"),"M")</f>
        <v>M</v>
      </c>
      <c r="H471" s="2" t="s">
        <v>980</v>
      </c>
      <c r="I471" s="8" t="str">
        <f t="shared" si="1"/>
        <v>44 in</v>
      </c>
      <c r="J471" s="9" t="s">
        <v>1013</v>
      </c>
    </row>
    <row r="472">
      <c r="A472" s="4">
        <v>3.5357001E7</v>
      </c>
      <c r="B472" s="1" t="s">
        <v>770</v>
      </c>
      <c r="C472" s="5">
        <v>1570.0</v>
      </c>
      <c r="D472" s="7" t="s">
        <v>20</v>
      </c>
      <c r="E472" s="2" t="s">
        <v>24</v>
      </c>
      <c r="F472" s="2" t="s">
        <v>27</v>
      </c>
      <c r="G472" s="8" t="str">
        <f>IFERROR(__xludf.DUMMYFUNCTION("REGEXEXTRACT(B472, ""-([^-\s]+)$"")"),"S")</f>
        <v>S</v>
      </c>
      <c r="H472" s="2" t="s">
        <v>980</v>
      </c>
      <c r="I472" s="8" t="str">
        <f t="shared" si="1"/>
        <v>42 in</v>
      </c>
      <c r="J472" s="9" t="s">
        <v>1013</v>
      </c>
    </row>
    <row r="473">
      <c r="A473" s="4">
        <v>3.5357001E7</v>
      </c>
      <c r="B473" s="1" t="s">
        <v>771</v>
      </c>
      <c r="C473" s="5">
        <v>1570.0</v>
      </c>
      <c r="D473" s="7" t="s">
        <v>20</v>
      </c>
      <c r="E473" s="2" t="s">
        <v>24</v>
      </c>
      <c r="F473" s="2" t="s">
        <v>27</v>
      </c>
      <c r="G473" s="8" t="str">
        <f>IFERROR(__xludf.DUMMYFUNCTION("REGEXEXTRACT(B473, ""-([^-\s]+)$"")"),"XL")</f>
        <v>XL</v>
      </c>
      <c r="H473" s="2" t="s">
        <v>980</v>
      </c>
      <c r="I473" s="8" t="str">
        <f t="shared" si="1"/>
        <v>48 in</v>
      </c>
      <c r="J473" s="9" t="s">
        <v>1013</v>
      </c>
    </row>
    <row r="474">
      <c r="A474" s="4">
        <v>3.5356991E7</v>
      </c>
      <c r="B474" s="1" t="s">
        <v>772</v>
      </c>
      <c r="C474" s="5">
        <v>1570.0</v>
      </c>
      <c r="D474" s="7" t="s">
        <v>20</v>
      </c>
      <c r="E474" s="2" t="s">
        <v>24</v>
      </c>
      <c r="F474" s="2" t="s">
        <v>27</v>
      </c>
      <c r="G474" s="8" t="str">
        <f>IFERROR(__xludf.DUMMYFUNCTION("REGEXEXTRACT(B474, ""-([^-\s]+)$"")"),"S")</f>
        <v>S</v>
      </c>
      <c r="H474" s="2" t="s">
        <v>928</v>
      </c>
      <c r="I474" s="8" t="str">
        <f t="shared" si="1"/>
        <v>42 in</v>
      </c>
      <c r="J474" s="9" t="s">
        <v>930</v>
      </c>
    </row>
    <row r="475">
      <c r="A475" s="4">
        <v>4.2353948E7</v>
      </c>
      <c r="B475" s="1" t="s">
        <v>773</v>
      </c>
      <c r="C475" s="2">
        <v>1999.0</v>
      </c>
      <c r="D475" s="7" t="s">
        <v>20</v>
      </c>
      <c r="E475" s="1" t="s">
        <v>24</v>
      </c>
      <c r="F475" s="2" t="s">
        <v>27</v>
      </c>
      <c r="G475" s="8" t="str">
        <f>IFERROR(__xludf.DUMMYFUNCTION("REGEXEXTRACT(B475, ""-([^-\s]+)$"")"),"S")</f>
        <v>S</v>
      </c>
      <c r="H475" s="2" t="s">
        <v>928</v>
      </c>
      <c r="I475" s="8" t="str">
        <f t="shared" si="1"/>
        <v>42 in</v>
      </c>
      <c r="J475" s="9" t="s">
        <v>931</v>
      </c>
    </row>
    <row r="476">
      <c r="A476" s="4">
        <v>3.4590242E7</v>
      </c>
      <c r="B476" s="1" t="s">
        <v>160</v>
      </c>
      <c r="C476" s="5">
        <v>1285.0</v>
      </c>
      <c r="D476" s="7" t="s">
        <v>20</v>
      </c>
      <c r="E476" s="2" t="s">
        <v>24</v>
      </c>
      <c r="F476" s="2" t="s">
        <v>27</v>
      </c>
      <c r="G476" s="8" t="str">
        <f>IFERROR(__xludf.DUMMYFUNCTION("REGEXEXTRACT(B476, ""-([^-\s]+)$"")"),"S")</f>
        <v>S</v>
      </c>
      <c r="H476" s="2" t="s">
        <v>928</v>
      </c>
      <c r="I476" s="8" t="str">
        <f t="shared" si="1"/>
        <v>42 in</v>
      </c>
      <c r="J476" s="9" t="s">
        <v>935</v>
      </c>
    </row>
    <row r="477">
      <c r="A477" s="4">
        <v>3.667298E7</v>
      </c>
      <c r="B477" s="1" t="s">
        <v>774</v>
      </c>
      <c r="C477" s="12">
        <v>1855.0</v>
      </c>
      <c r="D477" s="7" t="s">
        <v>20</v>
      </c>
      <c r="E477" s="1" t="s">
        <v>24</v>
      </c>
      <c r="F477" s="2" t="s">
        <v>27</v>
      </c>
      <c r="G477" s="8" t="str">
        <f>IFERROR(__xludf.DUMMYFUNCTION("REGEXEXTRACT(B477, ""-([^-\s]+)$"")"),"XL")</f>
        <v>XL</v>
      </c>
      <c r="H477" s="2" t="s">
        <v>928</v>
      </c>
      <c r="I477" s="8" t="str">
        <f t="shared" si="1"/>
        <v>48 in</v>
      </c>
      <c r="J477" s="9" t="s">
        <v>954</v>
      </c>
    </row>
    <row r="478">
      <c r="A478" s="4">
        <v>3.4590211E7</v>
      </c>
      <c r="B478" s="1" t="s">
        <v>684</v>
      </c>
      <c r="C478" s="5">
        <v>1570.0</v>
      </c>
      <c r="D478" s="7" t="s">
        <v>20</v>
      </c>
      <c r="E478" s="2" t="s">
        <v>24</v>
      </c>
      <c r="F478" s="2" t="s">
        <v>27</v>
      </c>
      <c r="G478" s="8" t="str">
        <f>IFERROR(__xludf.DUMMYFUNCTION("REGEXEXTRACT(B478, ""-([^-\s]+)$"")"),"L")</f>
        <v>L</v>
      </c>
      <c r="H478" s="2" t="s">
        <v>484</v>
      </c>
      <c r="I478" s="8" t="str">
        <f t="shared" si="1"/>
        <v>46 in</v>
      </c>
      <c r="J478" s="9" t="s">
        <v>1014</v>
      </c>
    </row>
    <row r="479">
      <c r="A479" s="4">
        <v>3.4590211E7</v>
      </c>
      <c r="B479" s="1" t="s">
        <v>678</v>
      </c>
      <c r="C479" s="5">
        <v>1570.0</v>
      </c>
      <c r="D479" s="7" t="s">
        <v>20</v>
      </c>
      <c r="E479" s="2" t="s">
        <v>24</v>
      </c>
      <c r="F479" s="2" t="s">
        <v>27</v>
      </c>
      <c r="G479" s="8" t="str">
        <f>IFERROR(__xludf.DUMMYFUNCTION("REGEXEXTRACT(B479, ""-([^-\s]+)$"")"),"M")</f>
        <v>M</v>
      </c>
      <c r="H479" s="2" t="s">
        <v>484</v>
      </c>
      <c r="I479" s="8" t="str">
        <f t="shared" si="1"/>
        <v>44 in</v>
      </c>
      <c r="J479" s="9" t="s">
        <v>1014</v>
      </c>
    </row>
    <row r="480">
      <c r="A480" s="4">
        <v>3.4590211E7</v>
      </c>
      <c r="B480" s="1" t="s">
        <v>675</v>
      </c>
      <c r="C480" s="5">
        <v>1570.0</v>
      </c>
      <c r="D480" s="7" t="s">
        <v>20</v>
      </c>
      <c r="E480" s="2" t="s">
        <v>24</v>
      </c>
      <c r="F480" s="2" t="s">
        <v>27</v>
      </c>
      <c r="G480" s="8" t="str">
        <f>IFERROR(__xludf.DUMMYFUNCTION("REGEXEXTRACT(B480, ""-([^-\s]+)$"")"),"S")</f>
        <v>S</v>
      </c>
      <c r="H480" s="2" t="s">
        <v>484</v>
      </c>
      <c r="I480" s="8" t="str">
        <f t="shared" si="1"/>
        <v>42 in</v>
      </c>
      <c r="J480" s="9" t="s">
        <v>1014</v>
      </c>
    </row>
    <row r="481">
      <c r="A481" s="4">
        <v>3.4590211E7</v>
      </c>
      <c r="B481" s="1" t="s">
        <v>681</v>
      </c>
      <c r="C481" s="5">
        <v>1570.0</v>
      </c>
      <c r="D481" s="7" t="s">
        <v>20</v>
      </c>
      <c r="E481" s="2" t="s">
        <v>24</v>
      </c>
      <c r="F481" s="2" t="s">
        <v>27</v>
      </c>
      <c r="G481" s="8" t="str">
        <f>IFERROR(__xludf.DUMMYFUNCTION("REGEXEXTRACT(B481, ""-([^-\s]+)$"")"),"XL")</f>
        <v>XL</v>
      </c>
      <c r="H481" s="2" t="s">
        <v>484</v>
      </c>
      <c r="I481" s="8" t="str">
        <f t="shared" si="1"/>
        <v>48 in</v>
      </c>
      <c r="J481" s="9" t="s">
        <v>1014</v>
      </c>
    </row>
    <row r="482">
      <c r="A482" s="4">
        <v>3.4590238E7</v>
      </c>
      <c r="B482" s="1" t="s">
        <v>647</v>
      </c>
      <c r="C482" s="5">
        <v>1570.0</v>
      </c>
      <c r="D482" s="7" t="s">
        <v>20</v>
      </c>
      <c r="E482" s="2" t="s">
        <v>24</v>
      </c>
      <c r="F482" s="2" t="s">
        <v>27</v>
      </c>
      <c r="G482" s="8" t="str">
        <f>IFERROR(__xludf.DUMMYFUNCTION("REGEXEXTRACT(B482, ""-([^-\s]+)$"")"),"L")</f>
        <v>L</v>
      </c>
      <c r="H482" s="2" t="s">
        <v>484</v>
      </c>
      <c r="I482" s="8" t="str">
        <f t="shared" si="1"/>
        <v>46 in</v>
      </c>
      <c r="J482" s="9" t="s">
        <v>1015</v>
      </c>
    </row>
    <row r="483">
      <c r="A483" s="4">
        <v>3.4590238E7</v>
      </c>
      <c r="B483" s="1" t="s">
        <v>645</v>
      </c>
      <c r="C483" s="5">
        <v>1570.0</v>
      </c>
      <c r="D483" s="7" t="s">
        <v>20</v>
      </c>
      <c r="E483" s="2" t="s">
        <v>24</v>
      </c>
      <c r="F483" s="2" t="s">
        <v>27</v>
      </c>
      <c r="G483" s="8" t="str">
        <f>IFERROR(__xludf.DUMMYFUNCTION("REGEXEXTRACT(B483, ""-([^-\s]+)$"")"),"M")</f>
        <v>M</v>
      </c>
      <c r="H483" s="2" t="s">
        <v>484</v>
      </c>
      <c r="I483" s="8" t="str">
        <f t="shared" si="1"/>
        <v>44 in</v>
      </c>
      <c r="J483" s="9" t="s">
        <v>1015</v>
      </c>
    </row>
    <row r="484">
      <c r="A484" s="4">
        <v>3.4590238E7</v>
      </c>
      <c r="B484" s="1" t="s">
        <v>639</v>
      </c>
      <c r="C484" s="5">
        <v>1570.0</v>
      </c>
      <c r="D484" s="7" t="s">
        <v>20</v>
      </c>
      <c r="E484" s="2" t="s">
        <v>24</v>
      </c>
      <c r="F484" s="2" t="s">
        <v>27</v>
      </c>
      <c r="G484" s="8" t="str">
        <f>IFERROR(__xludf.DUMMYFUNCTION("REGEXEXTRACT(B484, ""-([^-\s]+)$"")"),"S")</f>
        <v>S</v>
      </c>
      <c r="H484" s="2" t="s">
        <v>484</v>
      </c>
      <c r="I484" s="8" t="str">
        <f t="shared" si="1"/>
        <v>42 in</v>
      </c>
      <c r="J484" s="9" t="s">
        <v>1015</v>
      </c>
    </row>
    <row r="485">
      <c r="A485" s="4">
        <v>3.4590238E7</v>
      </c>
      <c r="B485" s="1" t="s">
        <v>642</v>
      </c>
      <c r="C485" s="5">
        <v>1570.0</v>
      </c>
      <c r="D485" s="7" t="s">
        <v>20</v>
      </c>
      <c r="E485" s="2" t="s">
        <v>24</v>
      </c>
      <c r="F485" s="2" t="s">
        <v>27</v>
      </c>
      <c r="G485" s="8" t="str">
        <f>IFERROR(__xludf.DUMMYFUNCTION("REGEXEXTRACT(B485, ""-([^-\s]+)$"")"),"XL")</f>
        <v>XL</v>
      </c>
      <c r="H485" s="2" t="s">
        <v>484</v>
      </c>
      <c r="I485" s="8" t="str">
        <f t="shared" si="1"/>
        <v>48 in</v>
      </c>
      <c r="J485" s="9" t="s">
        <v>1015</v>
      </c>
    </row>
    <row r="486">
      <c r="A486" s="4">
        <v>3.4590247E7</v>
      </c>
      <c r="B486" s="1" t="s">
        <v>134</v>
      </c>
      <c r="C486" s="5">
        <v>1285.0</v>
      </c>
      <c r="D486" s="7" t="s">
        <v>20</v>
      </c>
      <c r="E486" s="2" t="s">
        <v>24</v>
      </c>
      <c r="F486" s="2" t="s">
        <v>27</v>
      </c>
      <c r="G486" s="8" t="str">
        <f>IFERROR(__xludf.DUMMYFUNCTION("REGEXEXTRACT(B486, ""-([^-\s]+)$"")"),"L")</f>
        <v>L</v>
      </c>
      <c r="H486" s="2" t="s">
        <v>980</v>
      </c>
      <c r="I486" s="8" t="str">
        <f t="shared" si="1"/>
        <v>46 in</v>
      </c>
      <c r="J486" s="9" t="s">
        <v>1016</v>
      </c>
    </row>
    <row r="487">
      <c r="A487" s="4">
        <v>3.4590247E7</v>
      </c>
      <c r="B487" s="1" t="s">
        <v>106</v>
      </c>
      <c r="C487" s="5">
        <v>1285.0</v>
      </c>
      <c r="D487" s="7" t="s">
        <v>20</v>
      </c>
      <c r="E487" s="2" t="s">
        <v>24</v>
      </c>
      <c r="F487" s="2" t="s">
        <v>27</v>
      </c>
      <c r="G487" s="8" t="str">
        <f>IFERROR(__xludf.DUMMYFUNCTION("REGEXEXTRACT(B487, ""-([^-\s]+)$"")"),"M")</f>
        <v>M</v>
      </c>
      <c r="H487" s="2" t="s">
        <v>980</v>
      </c>
      <c r="I487" s="8" t="str">
        <f t="shared" si="1"/>
        <v>44 in</v>
      </c>
      <c r="J487" s="9" t="s">
        <v>1016</v>
      </c>
    </row>
    <row r="488">
      <c r="A488" s="4">
        <v>3.4590247E7</v>
      </c>
      <c r="B488" s="1" t="s">
        <v>143</v>
      </c>
      <c r="C488" s="5">
        <v>1285.0</v>
      </c>
      <c r="D488" s="7" t="s">
        <v>20</v>
      </c>
      <c r="E488" s="2" t="s">
        <v>24</v>
      </c>
      <c r="F488" s="2" t="s">
        <v>27</v>
      </c>
      <c r="G488" s="8" t="str">
        <f>IFERROR(__xludf.DUMMYFUNCTION("REGEXEXTRACT(B488, ""-([^-\s]+)$"")"),"S")</f>
        <v>S</v>
      </c>
      <c r="H488" s="2" t="s">
        <v>980</v>
      </c>
      <c r="I488" s="8" t="str">
        <f t="shared" si="1"/>
        <v>42 in</v>
      </c>
      <c r="J488" s="9" t="s">
        <v>1016</v>
      </c>
    </row>
    <row r="489">
      <c r="A489" s="4">
        <v>3.4590247E7</v>
      </c>
      <c r="B489" s="1" t="s">
        <v>128</v>
      </c>
      <c r="C489" s="5">
        <v>1285.0</v>
      </c>
      <c r="D489" s="7" t="s">
        <v>20</v>
      </c>
      <c r="E489" s="2" t="s">
        <v>24</v>
      </c>
      <c r="F489" s="2" t="s">
        <v>27</v>
      </c>
      <c r="G489" s="8" t="str">
        <f>IFERROR(__xludf.DUMMYFUNCTION("REGEXEXTRACT(B489, ""-([^-\s]+)$"")"),"XL")</f>
        <v>XL</v>
      </c>
      <c r="H489" s="2" t="s">
        <v>980</v>
      </c>
      <c r="I489" s="8" t="str">
        <f t="shared" si="1"/>
        <v>48 in</v>
      </c>
      <c r="J489" s="9" t="s">
        <v>1016</v>
      </c>
    </row>
    <row r="490">
      <c r="A490" s="4">
        <v>3.4590245E7</v>
      </c>
      <c r="B490" s="1" t="s">
        <v>699</v>
      </c>
      <c r="C490" s="5">
        <v>1570.0</v>
      </c>
      <c r="D490" s="7" t="s">
        <v>20</v>
      </c>
      <c r="E490" s="2" t="s">
        <v>24</v>
      </c>
      <c r="F490" s="2" t="s">
        <v>27</v>
      </c>
      <c r="G490" s="8" t="str">
        <f>IFERROR(__xludf.DUMMYFUNCTION("REGEXEXTRACT(B490, ""-([^-\s]+)$"")"),"L")</f>
        <v>L</v>
      </c>
      <c r="H490" s="2" t="s">
        <v>967</v>
      </c>
      <c r="I490" s="8" t="str">
        <f t="shared" si="1"/>
        <v>46 in</v>
      </c>
      <c r="J490" s="9" t="s">
        <v>1017</v>
      </c>
    </row>
    <row r="491">
      <c r="A491" s="4">
        <v>3.4590245E7</v>
      </c>
      <c r="B491" s="1" t="s">
        <v>697</v>
      </c>
      <c r="C491" s="5">
        <v>1570.0</v>
      </c>
      <c r="D491" s="7" t="s">
        <v>20</v>
      </c>
      <c r="E491" s="2" t="s">
        <v>24</v>
      </c>
      <c r="F491" s="2" t="s">
        <v>27</v>
      </c>
      <c r="G491" s="8" t="str">
        <f>IFERROR(__xludf.DUMMYFUNCTION("REGEXEXTRACT(B491, ""-([^-\s]+)$"")"),"M")</f>
        <v>M</v>
      </c>
      <c r="H491" s="2" t="s">
        <v>967</v>
      </c>
      <c r="I491" s="8" t="str">
        <f t="shared" si="1"/>
        <v>44 in</v>
      </c>
      <c r="J491" s="9" t="s">
        <v>1017</v>
      </c>
    </row>
    <row r="492">
      <c r="A492" s="4">
        <v>3.4590245E7</v>
      </c>
      <c r="B492" s="1" t="s">
        <v>702</v>
      </c>
      <c r="C492" s="5">
        <v>1570.0</v>
      </c>
      <c r="D492" s="7" t="s">
        <v>20</v>
      </c>
      <c r="E492" s="2" t="s">
        <v>24</v>
      </c>
      <c r="F492" s="2" t="s">
        <v>27</v>
      </c>
      <c r="G492" s="8" t="str">
        <f>IFERROR(__xludf.DUMMYFUNCTION("REGEXEXTRACT(B492, ""-([^-\s]+)$"")"),"S")</f>
        <v>S</v>
      </c>
      <c r="H492" s="2" t="s">
        <v>967</v>
      </c>
      <c r="I492" s="8" t="str">
        <f t="shared" si="1"/>
        <v>42 in</v>
      </c>
      <c r="J492" s="9" t="s">
        <v>1017</v>
      </c>
    </row>
    <row r="493">
      <c r="A493" s="4">
        <v>3.4590245E7</v>
      </c>
      <c r="B493" s="1" t="s">
        <v>703</v>
      </c>
      <c r="C493" s="5">
        <v>1570.0</v>
      </c>
      <c r="D493" s="7" t="s">
        <v>20</v>
      </c>
      <c r="E493" s="2" t="s">
        <v>24</v>
      </c>
      <c r="F493" s="2" t="s">
        <v>27</v>
      </c>
      <c r="G493" s="8" t="str">
        <f>IFERROR(__xludf.DUMMYFUNCTION("REGEXEXTRACT(B493, ""-([^-\s]+)$"")"),"XL")</f>
        <v>XL</v>
      </c>
      <c r="H493" s="2" t="s">
        <v>967</v>
      </c>
      <c r="I493" s="8" t="str">
        <f t="shared" si="1"/>
        <v>48 in</v>
      </c>
      <c r="J493" s="9" t="s">
        <v>1017</v>
      </c>
    </row>
    <row r="494">
      <c r="A494" s="4">
        <v>3.45902E7</v>
      </c>
      <c r="B494" s="1" t="s">
        <v>36</v>
      </c>
      <c r="C494" s="5">
        <v>1285.0</v>
      </c>
      <c r="D494" s="7" t="s">
        <v>20</v>
      </c>
      <c r="E494" s="2" t="s">
        <v>24</v>
      </c>
      <c r="F494" s="2" t="s">
        <v>27</v>
      </c>
      <c r="G494" s="8" t="str">
        <f>IFERROR(__xludf.DUMMYFUNCTION("REGEXEXTRACT(B494, ""-([^-\s]+)$"")"),"L")</f>
        <v>L</v>
      </c>
      <c r="H494" s="2" t="s">
        <v>345</v>
      </c>
      <c r="I494" s="8" t="str">
        <f t="shared" si="1"/>
        <v>46 in</v>
      </c>
      <c r="J494" s="9" t="s">
        <v>1018</v>
      </c>
    </row>
    <row r="495">
      <c r="A495" s="4">
        <v>3.45902E7</v>
      </c>
      <c r="B495" s="1" t="s">
        <v>115</v>
      </c>
      <c r="C495" s="5">
        <v>1285.0</v>
      </c>
      <c r="D495" s="7" t="s">
        <v>20</v>
      </c>
      <c r="E495" s="2" t="s">
        <v>24</v>
      </c>
      <c r="F495" s="2" t="s">
        <v>27</v>
      </c>
      <c r="G495" s="8" t="str">
        <f>IFERROR(__xludf.DUMMYFUNCTION("REGEXEXTRACT(B495, ""-([^-\s]+)$"")"),"M")</f>
        <v>M</v>
      </c>
      <c r="H495" s="2" t="s">
        <v>345</v>
      </c>
      <c r="I495" s="8" t="str">
        <f t="shared" si="1"/>
        <v>44 in</v>
      </c>
      <c r="J495" s="9" t="s">
        <v>1018</v>
      </c>
    </row>
    <row r="496">
      <c r="A496" s="4">
        <v>3.45902E7</v>
      </c>
      <c r="B496" s="1" t="s">
        <v>48</v>
      </c>
      <c r="C496" s="5">
        <v>1285.0</v>
      </c>
      <c r="D496" s="7" t="s">
        <v>20</v>
      </c>
      <c r="E496" s="2" t="s">
        <v>24</v>
      </c>
      <c r="F496" s="2" t="s">
        <v>27</v>
      </c>
      <c r="G496" s="8" t="str">
        <f>IFERROR(__xludf.DUMMYFUNCTION("REGEXEXTRACT(B496, ""-([^-\s]+)$"")"),"S")</f>
        <v>S</v>
      </c>
      <c r="H496" s="2" t="s">
        <v>345</v>
      </c>
      <c r="I496" s="8" t="str">
        <f t="shared" si="1"/>
        <v>42 in</v>
      </c>
      <c r="J496" s="9" t="s">
        <v>1018</v>
      </c>
    </row>
    <row r="497">
      <c r="A497" s="4">
        <v>3.45902E7</v>
      </c>
      <c r="B497" s="1" t="s">
        <v>56</v>
      </c>
      <c r="C497" s="5">
        <v>1285.0</v>
      </c>
      <c r="D497" s="7" t="s">
        <v>20</v>
      </c>
      <c r="E497" s="2" t="s">
        <v>24</v>
      </c>
      <c r="F497" s="2" t="s">
        <v>27</v>
      </c>
      <c r="G497" s="8" t="str">
        <f>IFERROR(__xludf.DUMMYFUNCTION("REGEXEXTRACT(B497, ""-([^-\s]+)$"")"),"XL")</f>
        <v>XL</v>
      </c>
      <c r="H497" s="2" t="s">
        <v>345</v>
      </c>
      <c r="I497" s="8" t="str">
        <f t="shared" si="1"/>
        <v>48 in</v>
      </c>
      <c r="J497" s="9" t="s">
        <v>1018</v>
      </c>
    </row>
    <row r="498">
      <c r="A498" s="4">
        <v>4.2353952E7</v>
      </c>
      <c r="B498" s="1" t="s">
        <v>780</v>
      </c>
      <c r="C498" s="2">
        <v>1999.0</v>
      </c>
      <c r="D498" s="7" t="s">
        <v>20</v>
      </c>
      <c r="E498" s="1" t="s">
        <v>24</v>
      </c>
      <c r="F498" s="2" t="s">
        <v>27</v>
      </c>
      <c r="G498" s="8" t="str">
        <f>IFERROR(__xludf.DUMMYFUNCTION("REGEXEXTRACT(B498, ""-([^-\s]+)$"")"),"L")</f>
        <v>L</v>
      </c>
      <c r="H498" s="2" t="s">
        <v>278</v>
      </c>
      <c r="I498" s="8" t="str">
        <f t="shared" si="1"/>
        <v>46 in</v>
      </c>
      <c r="J498" s="9" t="s">
        <v>1019</v>
      </c>
    </row>
    <row r="499">
      <c r="A499" s="4">
        <v>4.2353952E7</v>
      </c>
      <c r="B499" s="1" t="s">
        <v>781</v>
      </c>
      <c r="C499" s="2">
        <v>1999.0</v>
      </c>
      <c r="D499" s="7" t="s">
        <v>20</v>
      </c>
      <c r="E499" s="1" t="s">
        <v>24</v>
      </c>
      <c r="F499" s="2" t="s">
        <v>27</v>
      </c>
      <c r="G499" s="8" t="str">
        <f>IFERROR(__xludf.DUMMYFUNCTION("REGEXEXTRACT(B499, ""-([^-\s]+)$"")"),"M")</f>
        <v>M</v>
      </c>
      <c r="H499" s="2" t="s">
        <v>278</v>
      </c>
      <c r="I499" s="8" t="str">
        <f t="shared" si="1"/>
        <v>44 in</v>
      </c>
      <c r="J499" s="9" t="s">
        <v>1020</v>
      </c>
    </row>
    <row r="500">
      <c r="A500" s="4">
        <v>4.2353952E7</v>
      </c>
      <c r="B500" s="1" t="s">
        <v>782</v>
      </c>
      <c r="C500" s="2">
        <v>1999.0</v>
      </c>
      <c r="D500" s="7" t="s">
        <v>20</v>
      </c>
      <c r="E500" s="1" t="s">
        <v>24</v>
      </c>
      <c r="F500" s="2" t="s">
        <v>27</v>
      </c>
      <c r="G500" s="8" t="str">
        <f>IFERROR(__xludf.DUMMYFUNCTION("REGEXEXTRACT(B500, ""-([^-\s]+)$"")"),"S")</f>
        <v>S</v>
      </c>
      <c r="H500" s="2" t="s">
        <v>278</v>
      </c>
      <c r="I500" s="8" t="str">
        <f t="shared" si="1"/>
        <v>42 in</v>
      </c>
      <c r="J500" s="9" t="s">
        <v>1020</v>
      </c>
    </row>
    <row r="501">
      <c r="A501" s="4">
        <v>4.2353952E7</v>
      </c>
      <c r="B501" s="1" t="s">
        <v>785</v>
      </c>
      <c r="C501" s="2">
        <v>1999.0</v>
      </c>
      <c r="D501" s="7" t="s">
        <v>20</v>
      </c>
      <c r="E501" s="1" t="s">
        <v>24</v>
      </c>
      <c r="F501" s="2" t="s">
        <v>27</v>
      </c>
      <c r="G501" s="8" t="str">
        <f>IFERROR(__xludf.DUMMYFUNCTION("REGEXEXTRACT(B501, ""-([^-\s]+)$"")"),"XL")</f>
        <v>XL</v>
      </c>
      <c r="H501" s="2" t="s">
        <v>278</v>
      </c>
      <c r="I501" s="8" t="str">
        <f t="shared" si="1"/>
        <v>48 in</v>
      </c>
      <c r="J501" s="9" t="s">
        <v>1020</v>
      </c>
    </row>
    <row r="502">
      <c r="A502" s="4">
        <v>4.2353967E7</v>
      </c>
      <c r="B502" s="1" t="s">
        <v>786</v>
      </c>
      <c r="C502" s="2">
        <v>1999.0</v>
      </c>
      <c r="D502" s="7" t="s">
        <v>20</v>
      </c>
      <c r="E502" s="1" t="s">
        <v>24</v>
      </c>
      <c r="F502" s="2" t="s">
        <v>27</v>
      </c>
      <c r="G502" s="8" t="str">
        <f>IFERROR(__xludf.DUMMYFUNCTION("REGEXEXTRACT(B502, ""-([^-\s]+)$"")"),"S")</f>
        <v>S</v>
      </c>
      <c r="H502" s="2" t="s">
        <v>928</v>
      </c>
      <c r="I502" s="8" t="str">
        <f t="shared" si="1"/>
        <v>42 in</v>
      </c>
      <c r="J502" s="9" t="s">
        <v>936</v>
      </c>
    </row>
    <row r="503">
      <c r="A503" s="4">
        <v>4.2353966E7</v>
      </c>
      <c r="B503" s="1" t="s">
        <v>788</v>
      </c>
      <c r="C503" s="2">
        <v>1999.0</v>
      </c>
      <c r="D503" s="7" t="s">
        <v>20</v>
      </c>
      <c r="E503" s="1" t="s">
        <v>24</v>
      </c>
      <c r="F503" s="2" t="s">
        <v>27</v>
      </c>
      <c r="G503" s="8" t="str">
        <f>IFERROR(__xludf.DUMMYFUNCTION("REGEXEXTRACT(B503, ""-([^-\s]+)$"")"),"S")</f>
        <v>S</v>
      </c>
      <c r="H503" s="2" t="s">
        <v>928</v>
      </c>
      <c r="I503" s="8" t="str">
        <f t="shared" si="1"/>
        <v>42 in</v>
      </c>
      <c r="J503" s="9" t="s">
        <v>937</v>
      </c>
    </row>
    <row r="504">
      <c r="A504" s="4">
        <v>3.5356969E7</v>
      </c>
      <c r="B504" s="1" t="s">
        <v>789</v>
      </c>
      <c r="C504" s="5">
        <v>1570.0</v>
      </c>
      <c r="D504" s="7" t="s">
        <v>20</v>
      </c>
      <c r="E504" s="2" t="s">
        <v>24</v>
      </c>
      <c r="F504" s="2" t="s">
        <v>27</v>
      </c>
      <c r="G504" s="8" t="str">
        <f>IFERROR(__xludf.DUMMYFUNCTION("REGEXEXTRACT(B504, ""-([^-\s]+)$"")"),"S")</f>
        <v>S</v>
      </c>
      <c r="H504" s="2" t="s">
        <v>928</v>
      </c>
      <c r="I504" s="8" t="str">
        <f t="shared" si="1"/>
        <v>42 in</v>
      </c>
      <c r="J504" s="9" t="s">
        <v>943</v>
      </c>
    </row>
    <row r="505">
      <c r="A505" s="4">
        <v>4.2353969E7</v>
      </c>
      <c r="B505" s="1" t="s">
        <v>791</v>
      </c>
      <c r="C505" s="2">
        <v>1999.0</v>
      </c>
      <c r="D505" s="7" t="s">
        <v>20</v>
      </c>
      <c r="E505" s="1" t="s">
        <v>24</v>
      </c>
      <c r="F505" s="2" t="s">
        <v>27</v>
      </c>
      <c r="G505" s="8" t="str">
        <f>IFERROR(__xludf.DUMMYFUNCTION("REGEXEXTRACT(B505, ""-([^-\s]+)$"")"),"XL")</f>
        <v>XL</v>
      </c>
      <c r="H505" s="2" t="s">
        <v>928</v>
      </c>
      <c r="I505" s="8" t="str">
        <f t="shared" si="1"/>
        <v>48 in</v>
      </c>
      <c r="J505" s="9" t="s">
        <v>1011</v>
      </c>
    </row>
    <row r="506">
      <c r="A506" s="4">
        <v>3.4590244E7</v>
      </c>
      <c r="B506" s="1" t="s">
        <v>181</v>
      </c>
      <c r="C506" s="5">
        <v>1285.0</v>
      </c>
      <c r="D506" s="7" t="s">
        <v>20</v>
      </c>
      <c r="E506" s="2" t="s">
        <v>24</v>
      </c>
      <c r="F506" s="2" t="s">
        <v>27</v>
      </c>
      <c r="G506" s="8" t="str">
        <f>IFERROR(__xludf.DUMMYFUNCTION("REGEXEXTRACT(B506, ""-([^-\s]+)$"")"),"L")</f>
        <v>L</v>
      </c>
      <c r="H506" s="2" t="s">
        <v>950</v>
      </c>
      <c r="I506" s="8" t="str">
        <f t="shared" si="1"/>
        <v>46 in</v>
      </c>
      <c r="J506" s="9" t="s">
        <v>1021</v>
      </c>
    </row>
    <row r="507">
      <c r="A507" s="4">
        <v>3.4590244E7</v>
      </c>
      <c r="B507" s="1" t="s">
        <v>178</v>
      </c>
      <c r="C507" s="5">
        <v>1285.0</v>
      </c>
      <c r="D507" s="7" t="s">
        <v>20</v>
      </c>
      <c r="E507" s="2" t="s">
        <v>24</v>
      </c>
      <c r="F507" s="2" t="s">
        <v>27</v>
      </c>
      <c r="G507" s="8" t="str">
        <f>IFERROR(__xludf.DUMMYFUNCTION("REGEXEXTRACT(B507, ""-([^-\s]+)$"")"),"M")</f>
        <v>M</v>
      </c>
      <c r="H507" s="2" t="s">
        <v>950</v>
      </c>
      <c r="I507" s="8" t="str">
        <f t="shared" si="1"/>
        <v>44 in</v>
      </c>
      <c r="J507" s="9" t="s">
        <v>1021</v>
      </c>
    </row>
    <row r="508">
      <c r="A508" s="4">
        <v>3.4590244E7</v>
      </c>
      <c r="B508" s="1" t="s">
        <v>176</v>
      </c>
      <c r="C508" s="5">
        <v>1285.0</v>
      </c>
      <c r="D508" s="7" t="s">
        <v>20</v>
      </c>
      <c r="E508" s="2" t="s">
        <v>24</v>
      </c>
      <c r="F508" s="2" t="s">
        <v>27</v>
      </c>
      <c r="G508" s="8" t="str">
        <f>IFERROR(__xludf.DUMMYFUNCTION("REGEXEXTRACT(B508, ""-([^-\s]+)$"")"),"S")</f>
        <v>S</v>
      </c>
      <c r="H508" s="2" t="s">
        <v>950</v>
      </c>
      <c r="I508" s="8" t="str">
        <f t="shared" si="1"/>
        <v>42 in</v>
      </c>
      <c r="J508" s="9" t="s">
        <v>1021</v>
      </c>
    </row>
    <row r="509">
      <c r="A509" s="4">
        <v>3.4590244E7</v>
      </c>
      <c r="B509" s="1" t="s">
        <v>184</v>
      </c>
      <c r="C509" s="5">
        <v>1285.0</v>
      </c>
      <c r="D509" s="7" t="s">
        <v>20</v>
      </c>
      <c r="E509" s="2" t="s">
        <v>24</v>
      </c>
      <c r="F509" s="2" t="s">
        <v>27</v>
      </c>
      <c r="G509" s="8" t="str">
        <f>IFERROR(__xludf.DUMMYFUNCTION("REGEXEXTRACT(B509, ""-([^-\s]+)$"")"),"XL")</f>
        <v>XL</v>
      </c>
      <c r="H509" s="2" t="s">
        <v>950</v>
      </c>
      <c r="I509" s="8" t="str">
        <f t="shared" si="1"/>
        <v>48 in</v>
      </c>
      <c r="J509" s="9" t="s">
        <v>1021</v>
      </c>
    </row>
    <row r="510">
      <c r="A510" s="4">
        <v>3.459023E7</v>
      </c>
      <c r="B510" s="1" t="s">
        <v>794</v>
      </c>
      <c r="C510" s="5">
        <v>1570.0</v>
      </c>
      <c r="D510" s="7" t="s">
        <v>20</v>
      </c>
      <c r="E510" s="2" t="s">
        <v>24</v>
      </c>
      <c r="F510" s="2" t="s">
        <v>27</v>
      </c>
      <c r="G510" s="8" t="str">
        <f>IFERROR(__xludf.DUMMYFUNCTION("REGEXEXTRACT(B510, ""-([^-\s]+)$"")"),"L")</f>
        <v>L</v>
      </c>
      <c r="H510" s="2" t="s">
        <v>484</v>
      </c>
      <c r="I510" s="8" t="str">
        <f t="shared" si="1"/>
        <v>46 in</v>
      </c>
      <c r="J510" s="9" t="s">
        <v>1022</v>
      </c>
      <c r="L510" s="6"/>
    </row>
    <row r="511">
      <c r="A511" s="4">
        <v>3.459023E7</v>
      </c>
      <c r="B511" s="1" t="s">
        <v>796</v>
      </c>
      <c r="C511" s="5">
        <v>1570.0</v>
      </c>
      <c r="D511" s="7" t="s">
        <v>20</v>
      </c>
      <c r="E511" s="2" t="s">
        <v>24</v>
      </c>
      <c r="F511" s="2" t="s">
        <v>27</v>
      </c>
      <c r="G511" s="8" t="str">
        <f>IFERROR(__xludf.DUMMYFUNCTION("REGEXEXTRACT(B511, ""-([^-\s]+)$"")"),"M")</f>
        <v>M</v>
      </c>
      <c r="H511" s="2" t="s">
        <v>484</v>
      </c>
      <c r="I511" s="8" t="str">
        <f t="shared" si="1"/>
        <v>44 in</v>
      </c>
      <c r="J511" s="9" t="s">
        <v>1022</v>
      </c>
      <c r="L511" s="6"/>
    </row>
    <row r="512">
      <c r="A512" s="4">
        <v>3.459023E7</v>
      </c>
      <c r="B512" s="1" t="s">
        <v>795</v>
      </c>
      <c r="C512" s="5">
        <v>1570.0</v>
      </c>
      <c r="D512" s="7" t="s">
        <v>20</v>
      </c>
      <c r="E512" s="2" t="s">
        <v>24</v>
      </c>
      <c r="F512" s="2" t="s">
        <v>27</v>
      </c>
      <c r="G512" s="8" t="str">
        <f>IFERROR(__xludf.DUMMYFUNCTION("REGEXEXTRACT(B512, ""-([^-\s]+)$"")"),"S")</f>
        <v>S</v>
      </c>
      <c r="H512" s="2" t="s">
        <v>484</v>
      </c>
      <c r="I512" s="8" t="str">
        <f t="shared" si="1"/>
        <v>42 in</v>
      </c>
      <c r="J512" s="9" t="s">
        <v>1022</v>
      </c>
      <c r="L512" s="6"/>
    </row>
    <row r="513">
      <c r="A513" s="4">
        <v>3.459023E7</v>
      </c>
      <c r="B513" s="1" t="s">
        <v>797</v>
      </c>
      <c r="C513" s="5">
        <v>1570.0</v>
      </c>
      <c r="D513" s="7" t="s">
        <v>20</v>
      </c>
      <c r="E513" s="2" t="s">
        <v>24</v>
      </c>
      <c r="F513" s="2" t="s">
        <v>27</v>
      </c>
      <c r="G513" s="8" t="str">
        <f>IFERROR(__xludf.DUMMYFUNCTION("REGEXEXTRACT(B513, ""-([^-\s]+)$"")"),"Xl")</f>
        <v>Xl</v>
      </c>
      <c r="H513" s="2" t="s">
        <v>484</v>
      </c>
      <c r="I513" s="8" t="str">
        <f t="shared" si="1"/>
        <v>48 in</v>
      </c>
      <c r="J513" s="9" t="s">
        <v>1022</v>
      </c>
      <c r="L513" s="18"/>
    </row>
    <row r="514">
      <c r="A514" s="4">
        <v>3.4590243E7</v>
      </c>
      <c r="B514" s="1" t="s">
        <v>667</v>
      </c>
      <c r="C514" s="5">
        <v>1570.0</v>
      </c>
      <c r="D514" s="7" t="s">
        <v>20</v>
      </c>
      <c r="E514" s="2" t="s">
        <v>24</v>
      </c>
      <c r="F514" s="2" t="s">
        <v>27</v>
      </c>
      <c r="G514" s="8" t="str">
        <f>IFERROR(__xludf.DUMMYFUNCTION("REGEXEXTRACT(B514, ""-([^-\s]+)$"")"),"L")</f>
        <v>L</v>
      </c>
      <c r="H514" s="2" t="s">
        <v>484</v>
      </c>
      <c r="I514" s="8" t="str">
        <f t="shared" si="1"/>
        <v>46 in</v>
      </c>
      <c r="J514" s="9" t="s">
        <v>1023</v>
      </c>
      <c r="L514" s="19"/>
    </row>
    <row r="515">
      <c r="A515" s="4">
        <v>3.4590243E7</v>
      </c>
      <c r="B515" s="1" t="s">
        <v>671</v>
      </c>
      <c r="C515" s="5">
        <v>1570.0</v>
      </c>
      <c r="D515" s="7" t="s">
        <v>20</v>
      </c>
      <c r="E515" s="2" t="s">
        <v>24</v>
      </c>
      <c r="F515" s="2" t="s">
        <v>27</v>
      </c>
      <c r="G515" s="8" t="str">
        <f>IFERROR(__xludf.DUMMYFUNCTION("REGEXEXTRACT(B515, ""-([^-\s]+)$"")"),"M")</f>
        <v>M</v>
      </c>
      <c r="H515" s="2" t="s">
        <v>484</v>
      </c>
      <c r="I515" s="8" t="str">
        <f t="shared" si="1"/>
        <v>44 in</v>
      </c>
      <c r="J515" s="9" t="s">
        <v>1023</v>
      </c>
      <c r="L515" s="19"/>
    </row>
    <row r="516">
      <c r="A516" s="4">
        <v>3.4590243E7</v>
      </c>
      <c r="B516" s="1" t="s">
        <v>669</v>
      </c>
      <c r="C516" s="5">
        <v>1570.0</v>
      </c>
      <c r="D516" s="7" t="s">
        <v>20</v>
      </c>
      <c r="E516" s="2" t="s">
        <v>24</v>
      </c>
      <c r="F516" s="2" t="s">
        <v>27</v>
      </c>
      <c r="G516" s="8" t="str">
        <f>IFERROR(__xludf.DUMMYFUNCTION("REGEXEXTRACT(B516, ""-([^-\s]+)$"")"),"S")</f>
        <v>S</v>
      </c>
      <c r="H516" s="2" t="s">
        <v>484</v>
      </c>
      <c r="I516" s="8" t="str">
        <f t="shared" si="1"/>
        <v>42 in</v>
      </c>
      <c r="J516" s="9" t="s">
        <v>1023</v>
      </c>
      <c r="L516" s="19"/>
    </row>
    <row r="517">
      <c r="A517" s="4">
        <v>3.4590243E7</v>
      </c>
      <c r="B517" s="1" t="s">
        <v>664</v>
      </c>
      <c r="C517" s="5">
        <v>1570.0</v>
      </c>
      <c r="D517" s="7" t="s">
        <v>20</v>
      </c>
      <c r="E517" s="2" t="s">
        <v>24</v>
      </c>
      <c r="F517" s="2" t="s">
        <v>27</v>
      </c>
      <c r="G517" s="8" t="str">
        <f>IFERROR(__xludf.DUMMYFUNCTION("REGEXEXTRACT(B517, ""-([^-\s]+)$"")"),"XL")</f>
        <v>XL</v>
      </c>
      <c r="H517" s="2" t="s">
        <v>484</v>
      </c>
      <c r="I517" s="8" t="str">
        <f t="shared" si="1"/>
        <v>48 in</v>
      </c>
      <c r="J517" s="9" t="s">
        <v>1023</v>
      </c>
      <c r="L517" s="19"/>
    </row>
    <row r="518">
      <c r="A518" s="4">
        <v>3.4590226E7</v>
      </c>
      <c r="B518" s="1" t="s">
        <v>650</v>
      </c>
      <c r="C518" s="5">
        <v>1570.0</v>
      </c>
      <c r="D518" s="7" t="s">
        <v>20</v>
      </c>
      <c r="E518" s="2" t="s">
        <v>24</v>
      </c>
      <c r="F518" s="2" t="s">
        <v>27</v>
      </c>
      <c r="G518" s="8" t="str">
        <f>IFERROR(__xludf.DUMMYFUNCTION("REGEXEXTRACT(B518, ""-([^-\s]+)$"")"),"S")</f>
        <v>S</v>
      </c>
      <c r="H518" s="2" t="s">
        <v>928</v>
      </c>
      <c r="I518" s="8" t="str">
        <f t="shared" si="1"/>
        <v>42 in</v>
      </c>
      <c r="J518" s="9" t="s">
        <v>944</v>
      </c>
    </row>
    <row r="519">
      <c r="A519" s="4">
        <v>4.2353963E7</v>
      </c>
      <c r="B519" s="1" t="s">
        <v>804</v>
      </c>
      <c r="C519" s="2">
        <v>1999.0</v>
      </c>
      <c r="D519" s="7" t="s">
        <v>20</v>
      </c>
      <c r="E519" s="1" t="s">
        <v>24</v>
      </c>
      <c r="F519" s="2" t="s">
        <v>27</v>
      </c>
      <c r="G519" s="8" t="str">
        <f>IFERROR(__xludf.DUMMYFUNCTION("REGEXEXTRACT(B519, ""-([^-\s]+)$"")"),"S")</f>
        <v>S</v>
      </c>
      <c r="H519" s="2" t="s">
        <v>928</v>
      </c>
      <c r="I519" s="8" t="str">
        <f t="shared" si="1"/>
        <v>42 in</v>
      </c>
      <c r="J519" s="9" t="s">
        <v>945</v>
      </c>
    </row>
    <row r="520">
      <c r="A520" s="4">
        <v>4.2353958E7</v>
      </c>
      <c r="B520" s="1" t="s">
        <v>805</v>
      </c>
      <c r="C520" s="2">
        <v>1999.0</v>
      </c>
      <c r="D520" s="7" t="s">
        <v>20</v>
      </c>
      <c r="E520" s="1" t="s">
        <v>24</v>
      </c>
      <c r="F520" s="2" t="s">
        <v>27</v>
      </c>
      <c r="G520" s="8" t="str">
        <f>IFERROR(__xludf.DUMMYFUNCTION("REGEXEXTRACT(B520, ""-([^-\s]+)$"")"),"S")</f>
        <v>S</v>
      </c>
      <c r="H520" s="2" t="s">
        <v>928</v>
      </c>
      <c r="I520" s="8" t="str">
        <f t="shared" si="1"/>
        <v>42 in</v>
      </c>
      <c r="J520" s="9" t="s">
        <v>952</v>
      </c>
    </row>
    <row r="521">
      <c r="A521" s="4">
        <v>3.4590234E7</v>
      </c>
      <c r="B521" s="1" t="s">
        <v>746</v>
      </c>
      <c r="C521" s="5">
        <v>1570.0</v>
      </c>
      <c r="D521" s="7" t="s">
        <v>20</v>
      </c>
      <c r="E521" s="2" t="s">
        <v>24</v>
      </c>
      <c r="F521" s="2" t="s">
        <v>27</v>
      </c>
      <c r="G521" s="8" t="str">
        <f>IFERROR(__xludf.DUMMYFUNCTION("REGEXEXTRACT(B521, ""-([^-\s]+)$"")"),"XL")</f>
        <v>XL</v>
      </c>
      <c r="H521" s="2" t="s">
        <v>928</v>
      </c>
      <c r="I521" s="8" t="str">
        <f t="shared" si="1"/>
        <v>48 in</v>
      </c>
      <c r="J521" s="9" t="s">
        <v>964</v>
      </c>
    </row>
    <row r="522">
      <c r="A522" s="4">
        <v>3.4590246E7</v>
      </c>
      <c r="B522" s="1" t="s">
        <v>749</v>
      </c>
      <c r="C522" s="5">
        <v>1585.0</v>
      </c>
      <c r="D522" s="7" t="s">
        <v>20</v>
      </c>
      <c r="E522" s="2" t="s">
        <v>24</v>
      </c>
      <c r="F522" s="2" t="s">
        <v>27</v>
      </c>
      <c r="G522" s="8" t="str">
        <f>IFERROR(__xludf.DUMMYFUNCTION("REGEXEXTRACT(B522, ""-([^-\s]+)$"")"),"L")</f>
        <v>L</v>
      </c>
      <c r="H522" s="2" t="s">
        <v>967</v>
      </c>
      <c r="I522" s="8" t="str">
        <f t="shared" si="1"/>
        <v>46 in</v>
      </c>
      <c r="J522" s="9" t="s">
        <v>1024</v>
      </c>
    </row>
    <row r="523">
      <c r="A523" s="4">
        <v>3.4590246E7</v>
      </c>
      <c r="B523" s="1" t="s">
        <v>751</v>
      </c>
      <c r="C523" s="5">
        <v>1585.0</v>
      </c>
      <c r="D523" s="7" t="s">
        <v>20</v>
      </c>
      <c r="E523" s="2" t="s">
        <v>24</v>
      </c>
      <c r="F523" s="2" t="s">
        <v>27</v>
      </c>
      <c r="G523" s="8" t="str">
        <f>IFERROR(__xludf.DUMMYFUNCTION("REGEXEXTRACT(B523, ""-([^-\s]+)$"")"),"M")</f>
        <v>M</v>
      </c>
      <c r="H523" s="2" t="s">
        <v>967</v>
      </c>
      <c r="I523" s="8" t="str">
        <f t="shared" si="1"/>
        <v>44 in</v>
      </c>
      <c r="J523" s="9" t="s">
        <v>1024</v>
      </c>
    </row>
    <row r="524">
      <c r="A524" s="4">
        <v>3.4590246E7</v>
      </c>
      <c r="B524" s="1" t="s">
        <v>748</v>
      </c>
      <c r="C524" s="5">
        <v>1585.0</v>
      </c>
      <c r="D524" s="7" t="s">
        <v>20</v>
      </c>
      <c r="E524" s="2" t="s">
        <v>24</v>
      </c>
      <c r="F524" s="2" t="s">
        <v>27</v>
      </c>
      <c r="G524" s="8" t="str">
        <f>IFERROR(__xludf.DUMMYFUNCTION("REGEXEXTRACT(B524, ""-([^-\s]+)$"")"),"S")</f>
        <v>S</v>
      </c>
      <c r="H524" s="2" t="s">
        <v>967</v>
      </c>
      <c r="I524" s="8" t="str">
        <f t="shared" si="1"/>
        <v>42 in</v>
      </c>
      <c r="J524" s="9" t="s">
        <v>1024</v>
      </c>
    </row>
    <row r="525">
      <c r="A525" s="4">
        <v>3.4590246E7</v>
      </c>
      <c r="B525" s="1" t="s">
        <v>750</v>
      </c>
      <c r="C525" s="5">
        <v>1585.0</v>
      </c>
      <c r="D525" s="7" t="s">
        <v>20</v>
      </c>
      <c r="E525" s="2" t="s">
        <v>24</v>
      </c>
      <c r="F525" s="2" t="s">
        <v>27</v>
      </c>
      <c r="G525" s="8" t="str">
        <f>IFERROR(__xludf.DUMMYFUNCTION("REGEXEXTRACT(B525, ""-([^-\s]+)$"")"),"XL")</f>
        <v>XL</v>
      </c>
      <c r="H525" s="2" t="s">
        <v>967</v>
      </c>
      <c r="I525" s="8" t="str">
        <f t="shared" si="1"/>
        <v>48 in</v>
      </c>
      <c r="J525" s="9" t="s">
        <v>1024</v>
      </c>
    </row>
    <row r="526">
      <c r="A526" s="4">
        <v>4.2353964E7</v>
      </c>
      <c r="B526" s="1" t="s">
        <v>806</v>
      </c>
      <c r="C526" s="2">
        <v>1999.0</v>
      </c>
      <c r="D526" s="7" t="s">
        <v>20</v>
      </c>
      <c r="E526" s="1" t="s">
        <v>24</v>
      </c>
      <c r="F526" s="2" t="s">
        <v>27</v>
      </c>
      <c r="G526" s="8" t="str">
        <f>IFERROR(__xludf.DUMMYFUNCTION("REGEXEXTRACT(B526, ""-([^-\s]+)$"")"),"L")</f>
        <v>L</v>
      </c>
      <c r="H526" s="2" t="s">
        <v>148</v>
      </c>
      <c r="I526" s="8" t="str">
        <f t="shared" si="1"/>
        <v>46 in</v>
      </c>
      <c r="J526" s="9" t="s">
        <v>1025</v>
      </c>
    </row>
    <row r="527">
      <c r="A527" s="4">
        <v>4.2353964E7</v>
      </c>
      <c r="B527" s="1" t="s">
        <v>807</v>
      </c>
      <c r="C527" s="2">
        <v>1999.0</v>
      </c>
      <c r="D527" s="7" t="s">
        <v>20</v>
      </c>
      <c r="E527" s="1" t="s">
        <v>24</v>
      </c>
      <c r="F527" s="2" t="s">
        <v>27</v>
      </c>
      <c r="G527" s="8" t="str">
        <f>IFERROR(__xludf.DUMMYFUNCTION("REGEXEXTRACT(B527, ""-([^-\s]+)$"")"),"M")</f>
        <v>M</v>
      </c>
      <c r="H527" s="2" t="s">
        <v>148</v>
      </c>
      <c r="I527" s="8" t="str">
        <f t="shared" si="1"/>
        <v>44 in</v>
      </c>
      <c r="J527" s="9" t="s">
        <v>1025</v>
      </c>
    </row>
    <row r="528">
      <c r="A528" s="4">
        <v>4.2353964E7</v>
      </c>
      <c r="B528" s="1" t="s">
        <v>808</v>
      </c>
      <c r="C528" s="2">
        <v>1999.0</v>
      </c>
      <c r="D528" s="7" t="s">
        <v>20</v>
      </c>
      <c r="E528" s="1" t="s">
        <v>24</v>
      </c>
      <c r="F528" s="2" t="s">
        <v>27</v>
      </c>
      <c r="G528" s="8" t="str">
        <f>IFERROR(__xludf.DUMMYFUNCTION("REGEXEXTRACT(B528, ""-([^-\s]+)$"")"),"S")</f>
        <v>S</v>
      </c>
      <c r="H528" s="2" t="s">
        <v>148</v>
      </c>
      <c r="I528" s="8" t="str">
        <f t="shared" si="1"/>
        <v>42 in</v>
      </c>
      <c r="J528" s="9" t="s">
        <v>1025</v>
      </c>
    </row>
    <row r="529">
      <c r="A529" s="4">
        <v>4.2353964E7</v>
      </c>
      <c r="B529" s="1" t="s">
        <v>809</v>
      </c>
      <c r="C529" s="2">
        <v>1999.0</v>
      </c>
      <c r="D529" s="7" t="s">
        <v>20</v>
      </c>
      <c r="E529" s="1" t="s">
        <v>24</v>
      </c>
      <c r="F529" s="2" t="s">
        <v>27</v>
      </c>
      <c r="G529" s="8" t="str">
        <f>IFERROR(__xludf.DUMMYFUNCTION("REGEXEXTRACT(B529, ""-([^-\s]+)$"")"),"XL")</f>
        <v>XL</v>
      </c>
      <c r="H529" s="2" t="s">
        <v>148</v>
      </c>
      <c r="I529" s="8" t="str">
        <f t="shared" si="1"/>
        <v>48 in</v>
      </c>
      <c r="J529" s="9" t="s">
        <v>1025</v>
      </c>
    </row>
    <row r="530">
      <c r="A530" s="4">
        <v>3.4590209E7</v>
      </c>
      <c r="B530" s="1" t="s">
        <v>92</v>
      </c>
      <c r="C530" s="5">
        <v>1285.0</v>
      </c>
      <c r="D530" s="7" t="s">
        <v>20</v>
      </c>
      <c r="E530" s="2" t="s">
        <v>24</v>
      </c>
      <c r="F530" s="2" t="s">
        <v>27</v>
      </c>
      <c r="G530" s="8" t="str">
        <f>IFERROR(__xludf.DUMMYFUNCTION("REGEXEXTRACT(B530, ""-([^-\s]+)$"")"),"L")</f>
        <v>L</v>
      </c>
      <c r="H530" s="2" t="s">
        <v>946</v>
      </c>
      <c r="I530" s="8" t="str">
        <f t="shared" si="1"/>
        <v>46 in</v>
      </c>
      <c r="J530" s="9" t="s">
        <v>1026</v>
      </c>
    </row>
    <row r="531">
      <c r="A531" s="4">
        <v>3.4590209E7</v>
      </c>
      <c r="B531" s="1" t="s">
        <v>141</v>
      </c>
      <c r="C531" s="5">
        <v>1285.0</v>
      </c>
      <c r="D531" s="7" t="s">
        <v>20</v>
      </c>
      <c r="E531" s="2" t="s">
        <v>24</v>
      </c>
      <c r="F531" s="2" t="s">
        <v>27</v>
      </c>
      <c r="G531" s="8" t="str">
        <f>IFERROR(__xludf.DUMMYFUNCTION("REGEXEXTRACT(B531, ""-([^-\s]+)$"")"),"M")</f>
        <v>M</v>
      </c>
      <c r="H531" s="2" t="s">
        <v>946</v>
      </c>
      <c r="I531" s="8" t="str">
        <f t="shared" si="1"/>
        <v>44 in</v>
      </c>
      <c r="J531" s="9" t="s">
        <v>1026</v>
      </c>
    </row>
    <row r="532">
      <c r="A532" s="4">
        <v>3.4590209E7</v>
      </c>
      <c r="B532" s="1" t="s">
        <v>89</v>
      </c>
      <c r="C532" s="5">
        <v>1285.0</v>
      </c>
      <c r="D532" s="7" t="s">
        <v>20</v>
      </c>
      <c r="E532" s="2" t="s">
        <v>24</v>
      </c>
      <c r="F532" s="2" t="s">
        <v>27</v>
      </c>
      <c r="G532" s="8" t="str">
        <f>IFERROR(__xludf.DUMMYFUNCTION("REGEXEXTRACT(B532, ""-([^-\s]+)$"")"),"S")</f>
        <v>S</v>
      </c>
      <c r="H532" s="2" t="s">
        <v>946</v>
      </c>
      <c r="I532" s="8" t="str">
        <f t="shared" si="1"/>
        <v>42 in</v>
      </c>
      <c r="J532" s="9" t="s">
        <v>1026</v>
      </c>
    </row>
    <row r="533">
      <c r="A533" s="4">
        <v>3.4590209E7</v>
      </c>
      <c r="B533" s="1" t="s">
        <v>124</v>
      </c>
      <c r="C533" s="5">
        <v>1285.0</v>
      </c>
      <c r="D533" s="7" t="s">
        <v>20</v>
      </c>
      <c r="E533" s="2" t="s">
        <v>24</v>
      </c>
      <c r="F533" s="2" t="s">
        <v>27</v>
      </c>
      <c r="G533" s="8" t="str">
        <f>IFERROR(__xludf.DUMMYFUNCTION("REGEXEXTRACT(B533, ""-([^-\s]+)$"")"),"XL")</f>
        <v>XL</v>
      </c>
      <c r="H533" s="2" t="s">
        <v>946</v>
      </c>
      <c r="I533" s="8" t="str">
        <f t="shared" si="1"/>
        <v>48 in</v>
      </c>
      <c r="J533" s="9" t="s">
        <v>1026</v>
      </c>
    </row>
    <row r="534">
      <c r="A534" s="4">
        <v>3.4590236E7</v>
      </c>
      <c r="B534" s="1" t="s">
        <v>790</v>
      </c>
      <c r="C534" s="5">
        <v>1850.0</v>
      </c>
      <c r="D534" s="7" t="s">
        <v>20</v>
      </c>
      <c r="E534" s="2" t="s">
        <v>24</v>
      </c>
      <c r="F534" s="2" t="s">
        <v>27</v>
      </c>
      <c r="G534" s="8" t="str">
        <f>IFERROR(__xludf.DUMMYFUNCTION("REGEXEXTRACT(B534, ""-([^-\s]+)$"")"),"L")</f>
        <v>L</v>
      </c>
      <c r="H534" s="2" t="s">
        <v>484</v>
      </c>
      <c r="I534" s="8" t="str">
        <f t="shared" si="1"/>
        <v>46 in</v>
      </c>
      <c r="J534" s="9" t="s">
        <v>1027</v>
      </c>
    </row>
    <row r="535">
      <c r="A535" s="4">
        <v>3.4590236E7</v>
      </c>
      <c r="B535" s="1" t="s">
        <v>792</v>
      </c>
      <c r="C535" s="5">
        <v>1850.0</v>
      </c>
      <c r="D535" s="7" t="s">
        <v>20</v>
      </c>
      <c r="E535" s="2" t="s">
        <v>24</v>
      </c>
      <c r="F535" s="2" t="s">
        <v>27</v>
      </c>
      <c r="G535" s="8" t="str">
        <f>IFERROR(__xludf.DUMMYFUNCTION("REGEXEXTRACT(B535, ""-([^-\s]+)$"")"),"M")</f>
        <v>M</v>
      </c>
      <c r="H535" s="2" t="s">
        <v>484</v>
      </c>
      <c r="I535" s="8" t="str">
        <f t="shared" si="1"/>
        <v>44 in</v>
      </c>
      <c r="J535" s="9" t="s">
        <v>1027</v>
      </c>
    </row>
    <row r="536">
      <c r="A536" s="4">
        <v>3.4590236E7</v>
      </c>
      <c r="B536" s="1" t="s">
        <v>784</v>
      </c>
      <c r="C536" s="5">
        <v>1850.0</v>
      </c>
      <c r="D536" s="7" t="s">
        <v>20</v>
      </c>
      <c r="E536" s="2" t="s">
        <v>24</v>
      </c>
      <c r="F536" s="2" t="s">
        <v>27</v>
      </c>
      <c r="G536" s="8" t="str">
        <f>IFERROR(__xludf.DUMMYFUNCTION("REGEXEXTRACT(B536, ""-([^-\s]+)$"")"),"S")</f>
        <v>S</v>
      </c>
      <c r="H536" s="2" t="s">
        <v>484</v>
      </c>
      <c r="I536" s="8" t="str">
        <f t="shared" si="1"/>
        <v>42 in</v>
      </c>
      <c r="J536" s="9" t="s">
        <v>1027</v>
      </c>
      <c r="P536" s="6"/>
    </row>
    <row r="537">
      <c r="A537" s="4">
        <v>3.4590236E7</v>
      </c>
      <c r="B537" s="1" t="s">
        <v>787</v>
      </c>
      <c r="C537" s="5">
        <v>1850.0</v>
      </c>
      <c r="D537" s="7" t="s">
        <v>20</v>
      </c>
      <c r="E537" s="2" t="s">
        <v>24</v>
      </c>
      <c r="F537" s="2" t="s">
        <v>27</v>
      </c>
      <c r="G537" s="8" t="str">
        <f>IFERROR(__xludf.DUMMYFUNCTION("REGEXEXTRACT(B537, ""-([^-\s]+)$"")"),"XL")</f>
        <v>XL</v>
      </c>
      <c r="H537" s="2" t="s">
        <v>484</v>
      </c>
      <c r="I537" s="8" t="str">
        <f t="shared" si="1"/>
        <v>48 in</v>
      </c>
      <c r="J537" s="9" t="s">
        <v>1027</v>
      </c>
      <c r="P537" s="6"/>
    </row>
    <row r="538">
      <c r="A538" s="4">
        <v>3.4590253E7</v>
      </c>
      <c r="B538" s="1" t="s">
        <v>776</v>
      </c>
      <c r="C538" s="5">
        <v>1850.0</v>
      </c>
      <c r="D538" s="7" t="s">
        <v>20</v>
      </c>
      <c r="E538" s="2" t="s">
        <v>24</v>
      </c>
      <c r="F538" s="2" t="s">
        <v>27</v>
      </c>
      <c r="G538" s="8" t="str">
        <f>IFERROR(__xludf.DUMMYFUNCTION("REGEXEXTRACT(B538, ""-([^-\s]+)$"")"),"L")</f>
        <v>L</v>
      </c>
      <c r="H538" s="2" t="s">
        <v>938</v>
      </c>
      <c r="I538" s="8" t="str">
        <f t="shared" si="1"/>
        <v>46 in</v>
      </c>
      <c r="J538" s="9" t="s">
        <v>1028</v>
      </c>
      <c r="P538" s="6"/>
    </row>
    <row r="539">
      <c r="A539" s="4">
        <v>3.4590253E7</v>
      </c>
      <c r="B539" s="1" t="s">
        <v>778</v>
      </c>
      <c r="C539" s="5">
        <v>1850.0</v>
      </c>
      <c r="D539" s="7" t="s">
        <v>20</v>
      </c>
      <c r="E539" s="2" t="s">
        <v>24</v>
      </c>
      <c r="F539" s="2" t="s">
        <v>27</v>
      </c>
      <c r="G539" s="8" t="str">
        <f>IFERROR(__xludf.DUMMYFUNCTION("REGEXEXTRACT(B539, ""-([^-\s]+)$"")"),"M")</f>
        <v>M</v>
      </c>
      <c r="H539" s="2" t="s">
        <v>938</v>
      </c>
      <c r="I539" s="8" t="str">
        <f t="shared" si="1"/>
        <v>44 in</v>
      </c>
      <c r="J539" s="9" t="s">
        <v>1028</v>
      </c>
      <c r="P539" s="1"/>
    </row>
    <row r="540">
      <c r="A540" s="4">
        <v>3.4590253E7</v>
      </c>
      <c r="B540" s="1" t="s">
        <v>775</v>
      </c>
      <c r="C540" s="5">
        <v>1850.0</v>
      </c>
      <c r="D540" s="7" t="s">
        <v>20</v>
      </c>
      <c r="E540" s="2" t="s">
        <v>24</v>
      </c>
      <c r="F540" s="2" t="s">
        <v>27</v>
      </c>
      <c r="G540" s="8" t="str">
        <f>IFERROR(__xludf.DUMMYFUNCTION("REGEXEXTRACT(B540, ""-([^-\s]+)$"")"),"S")</f>
        <v>S</v>
      </c>
      <c r="H540" s="2" t="s">
        <v>938</v>
      </c>
      <c r="I540" s="8" t="str">
        <f t="shared" si="1"/>
        <v>42 in</v>
      </c>
      <c r="J540" s="9" t="s">
        <v>1028</v>
      </c>
    </row>
    <row r="541">
      <c r="A541" s="4">
        <v>3.4590253E7</v>
      </c>
      <c r="B541" s="1" t="s">
        <v>777</v>
      </c>
      <c r="C541" s="5">
        <v>1850.0</v>
      </c>
      <c r="D541" s="7" t="s">
        <v>20</v>
      </c>
      <c r="E541" s="2" t="s">
        <v>24</v>
      </c>
      <c r="F541" s="2" t="s">
        <v>27</v>
      </c>
      <c r="G541" s="8" t="str">
        <f>IFERROR(__xludf.DUMMYFUNCTION("REGEXEXTRACT(B541, ""-([^-\s]+)$"")"),"XL")</f>
        <v>XL</v>
      </c>
      <c r="H541" s="2" t="s">
        <v>938</v>
      </c>
      <c r="I541" s="8" t="str">
        <f t="shared" si="1"/>
        <v>48 in</v>
      </c>
      <c r="J541" s="9" t="s">
        <v>1028</v>
      </c>
    </row>
    <row r="542">
      <c r="A542" s="4">
        <v>4.2353956E7</v>
      </c>
      <c r="B542" s="1" t="s">
        <v>752</v>
      </c>
      <c r="C542" s="2">
        <v>1999.0</v>
      </c>
      <c r="D542" s="7" t="s">
        <v>20</v>
      </c>
      <c r="E542" s="1" t="s">
        <v>24</v>
      </c>
      <c r="F542" s="2" t="s">
        <v>27</v>
      </c>
      <c r="G542" s="8" t="str">
        <f>IFERROR(__xludf.DUMMYFUNCTION("REGEXEXTRACT(B542, ""-([^-\s]+)$"")"),"L")</f>
        <v>L</v>
      </c>
      <c r="H542" s="2" t="s">
        <v>1029</v>
      </c>
      <c r="I542" s="8" t="str">
        <f t="shared" si="1"/>
        <v>46 in</v>
      </c>
      <c r="J542" s="9" t="s">
        <v>1030</v>
      </c>
    </row>
    <row r="543">
      <c r="A543" s="4">
        <v>3.5356979E7</v>
      </c>
      <c r="B543" s="1" t="s">
        <v>101</v>
      </c>
      <c r="C543" s="5">
        <v>1285.0</v>
      </c>
      <c r="D543" s="7" t="s">
        <v>20</v>
      </c>
      <c r="E543" s="2" t="s">
        <v>24</v>
      </c>
      <c r="F543" s="2" t="s">
        <v>27</v>
      </c>
      <c r="G543" s="8" t="str">
        <f>IFERROR(__xludf.DUMMYFUNCTION("REGEXEXTRACT(B543, ""-([^-\s]+)$"")"),"L")</f>
        <v>L</v>
      </c>
      <c r="H543" s="2" t="s">
        <v>1031</v>
      </c>
      <c r="I543" s="8" t="str">
        <f t="shared" si="1"/>
        <v>46 in</v>
      </c>
      <c r="J543" s="9" t="s">
        <v>1032</v>
      </c>
    </row>
    <row r="544">
      <c r="A544" s="4">
        <v>3.6672974E7</v>
      </c>
      <c r="B544" s="1" t="s">
        <v>811</v>
      </c>
      <c r="C544" s="12">
        <v>1700.0</v>
      </c>
      <c r="D544" s="7" t="s">
        <v>20</v>
      </c>
      <c r="E544" s="1" t="s">
        <v>24</v>
      </c>
      <c r="F544" s="2" t="s">
        <v>27</v>
      </c>
      <c r="G544" s="8" t="str">
        <f>IFERROR(__xludf.DUMMYFUNCTION("REGEXEXTRACT(B544, ""-([^-\s]+)$"")"),"L")</f>
        <v>L</v>
      </c>
      <c r="H544" s="2" t="s">
        <v>1031</v>
      </c>
      <c r="I544" s="8" t="str">
        <f t="shared" si="1"/>
        <v>46 in</v>
      </c>
      <c r="J544" s="9" t="s">
        <v>1033</v>
      </c>
    </row>
    <row r="545">
      <c r="A545" s="4">
        <v>4.2353956E7</v>
      </c>
      <c r="B545" s="1" t="s">
        <v>753</v>
      </c>
      <c r="C545" s="2">
        <v>1999.0</v>
      </c>
      <c r="D545" s="7" t="s">
        <v>20</v>
      </c>
      <c r="E545" s="1" t="s">
        <v>24</v>
      </c>
      <c r="F545" s="2" t="s">
        <v>27</v>
      </c>
      <c r="G545" s="8" t="str">
        <f>IFERROR(__xludf.DUMMYFUNCTION("REGEXEXTRACT(B545, ""-([^-\s]+)$"")"),"XL")</f>
        <v>XL</v>
      </c>
      <c r="H545" s="2" t="s">
        <v>1029</v>
      </c>
      <c r="I545" s="8" t="str">
        <f t="shared" si="1"/>
        <v>48 in</v>
      </c>
      <c r="J545" s="9" t="s">
        <v>1030</v>
      </c>
    </row>
    <row r="546">
      <c r="A546" s="4">
        <v>4.2353956E7</v>
      </c>
      <c r="B546" s="1" t="s">
        <v>754</v>
      </c>
      <c r="C546" s="2">
        <v>1999.0</v>
      </c>
      <c r="D546" s="7" t="s">
        <v>20</v>
      </c>
      <c r="E546" s="1" t="s">
        <v>24</v>
      </c>
      <c r="F546" s="2" t="s">
        <v>27</v>
      </c>
      <c r="G546" s="8" t="str">
        <f>IFERROR(__xludf.DUMMYFUNCTION("REGEXEXTRACT(B546, ""-([^-\s]+)$"")"),"M")</f>
        <v>M</v>
      </c>
      <c r="H546" s="2" t="s">
        <v>1029</v>
      </c>
      <c r="I546" s="8" t="str">
        <f t="shared" si="1"/>
        <v>44 in</v>
      </c>
      <c r="J546" s="9" t="s">
        <v>1030</v>
      </c>
    </row>
    <row r="547">
      <c r="A547" s="4">
        <v>3.5356979E7</v>
      </c>
      <c r="B547" s="1" t="s">
        <v>146</v>
      </c>
      <c r="C547" s="5">
        <v>1285.0</v>
      </c>
      <c r="D547" s="7" t="s">
        <v>20</v>
      </c>
      <c r="E547" s="2" t="s">
        <v>24</v>
      </c>
      <c r="F547" s="2" t="s">
        <v>27</v>
      </c>
      <c r="G547" s="8" t="str">
        <f>IFERROR(__xludf.DUMMYFUNCTION("REGEXEXTRACT(B547, ""-([^-\s]+)$"")"),"M")</f>
        <v>M</v>
      </c>
      <c r="H547" s="2" t="s">
        <v>1031</v>
      </c>
      <c r="I547" s="8" t="str">
        <f t="shared" si="1"/>
        <v>44 in</v>
      </c>
      <c r="J547" s="9" t="s">
        <v>1032</v>
      </c>
    </row>
    <row r="548">
      <c r="A548" s="4">
        <v>3.6672974E7</v>
      </c>
      <c r="B548" s="1" t="s">
        <v>813</v>
      </c>
      <c r="C548" s="12">
        <v>1700.0</v>
      </c>
      <c r="D548" s="7" t="s">
        <v>20</v>
      </c>
      <c r="E548" s="1" t="s">
        <v>24</v>
      </c>
      <c r="F548" s="2" t="s">
        <v>27</v>
      </c>
      <c r="G548" s="8" t="str">
        <f>IFERROR(__xludf.DUMMYFUNCTION("REGEXEXTRACT(B548, ""-([^-\s]+)$"")"),"M")</f>
        <v>M</v>
      </c>
      <c r="H548" s="2" t="s">
        <v>1031</v>
      </c>
      <c r="I548" s="8" t="str">
        <f t="shared" si="1"/>
        <v>44 in</v>
      </c>
      <c r="J548" s="9" t="s">
        <v>1033</v>
      </c>
    </row>
    <row r="549">
      <c r="A549" s="4">
        <v>3.5356979E7</v>
      </c>
      <c r="B549" s="1" t="s">
        <v>139</v>
      </c>
      <c r="C549" s="5">
        <v>1285.0</v>
      </c>
      <c r="D549" s="7" t="s">
        <v>20</v>
      </c>
      <c r="E549" s="2" t="s">
        <v>24</v>
      </c>
      <c r="F549" s="2" t="s">
        <v>27</v>
      </c>
      <c r="G549" s="8" t="str">
        <f>IFERROR(__xludf.DUMMYFUNCTION("REGEXEXTRACT(B549, ""-([^-\s]+)$"")"),"XL")</f>
        <v>XL</v>
      </c>
      <c r="H549" s="2" t="s">
        <v>1031</v>
      </c>
      <c r="I549" s="8" t="str">
        <f t="shared" si="1"/>
        <v>48 in</v>
      </c>
      <c r="J549" s="9" t="s">
        <v>1032</v>
      </c>
    </row>
    <row r="550">
      <c r="A550" s="17">
        <v>3.7169025E7</v>
      </c>
      <c r="B550" s="2" t="s">
        <v>815</v>
      </c>
      <c r="C550" s="2">
        <v>1570.0</v>
      </c>
      <c r="D550" s="7" t="s">
        <v>20</v>
      </c>
      <c r="E550" s="1" t="s">
        <v>24</v>
      </c>
      <c r="F550" s="2" t="s">
        <v>27</v>
      </c>
      <c r="G550" s="8" t="str">
        <f>IFERROR(__xludf.DUMMYFUNCTION("REGEXEXTRACT(B550, ""-([^-\s]+)$"")"),"L")</f>
        <v>L</v>
      </c>
      <c r="H550" s="2" t="s">
        <v>278</v>
      </c>
      <c r="I550" s="8" t="str">
        <f t="shared" si="1"/>
        <v>46 in</v>
      </c>
      <c r="J550" s="9" t="s">
        <v>1034</v>
      </c>
    </row>
    <row r="551">
      <c r="A551" s="17">
        <v>3.7169025E7</v>
      </c>
      <c r="B551" s="2" t="s">
        <v>817</v>
      </c>
      <c r="C551" s="2">
        <v>1570.0</v>
      </c>
      <c r="D551" s="7" t="s">
        <v>20</v>
      </c>
      <c r="E551" s="1" t="s">
        <v>24</v>
      </c>
      <c r="F551" s="2" t="s">
        <v>27</v>
      </c>
      <c r="G551" s="8" t="str">
        <f>IFERROR(__xludf.DUMMYFUNCTION("REGEXEXTRACT(B551, ""-([^-\s]+)$"")"),"M")</f>
        <v>M</v>
      </c>
      <c r="H551" s="2" t="s">
        <v>278</v>
      </c>
      <c r="I551" s="8" t="str">
        <f t="shared" si="1"/>
        <v>44 in</v>
      </c>
      <c r="J551" s="9" t="s">
        <v>1034</v>
      </c>
    </row>
    <row r="552">
      <c r="A552" s="17">
        <v>3.7169025E7</v>
      </c>
      <c r="B552" s="2" t="s">
        <v>819</v>
      </c>
      <c r="C552" s="2">
        <v>1570.0</v>
      </c>
      <c r="D552" s="7" t="s">
        <v>20</v>
      </c>
      <c r="E552" s="1" t="s">
        <v>24</v>
      </c>
      <c r="F552" s="2" t="s">
        <v>27</v>
      </c>
      <c r="G552" s="8" t="str">
        <f>IFERROR(__xludf.DUMMYFUNCTION("REGEXEXTRACT(B552, ""-([^-\s]+)$"")"),"S")</f>
        <v>S</v>
      </c>
      <c r="H552" s="2" t="s">
        <v>278</v>
      </c>
      <c r="I552" s="8" t="str">
        <f t="shared" si="1"/>
        <v>42 in</v>
      </c>
      <c r="J552" s="9" t="s">
        <v>1034</v>
      </c>
    </row>
    <row r="553">
      <c r="A553" s="17">
        <v>3.7169025E7</v>
      </c>
      <c r="B553" s="2" t="s">
        <v>821</v>
      </c>
      <c r="C553" s="2">
        <v>1570.0</v>
      </c>
      <c r="D553" s="7" t="s">
        <v>20</v>
      </c>
      <c r="E553" s="1" t="s">
        <v>24</v>
      </c>
      <c r="F553" s="2" t="s">
        <v>27</v>
      </c>
      <c r="G553" s="8" t="str">
        <f>IFERROR(__xludf.DUMMYFUNCTION("REGEXEXTRACT(B553, ""-([^-\s]+)$"")"),"XL")</f>
        <v>XL</v>
      </c>
      <c r="H553" s="2" t="s">
        <v>278</v>
      </c>
      <c r="I553" s="8" t="str">
        <f t="shared" si="1"/>
        <v>48 in</v>
      </c>
      <c r="J553" s="9" t="s">
        <v>1034</v>
      </c>
    </row>
    <row r="554">
      <c r="A554" s="2">
        <v>3.7332284E7</v>
      </c>
      <c r="B554" s="1" t="s">
        <v>822</v>
      </c>
      <c r="C554" s="4">
        <v>1999.0</v>
      </c>
      <c r="D554" s="7" t="s">
        <v>20</v>
      </c>
      <c r="E554" s="1" t="s">
        <v>24</v>
      </c>
      <c r="F554" s="2" t="s">
        <v>27</v>
      </c>
      <c r="G554" s="8" t="str">
        <f>IFERROR(__xludf.DUMMYFUNCTION("REGEXEXTRACT(B554, ""-([^-\s]+)$"")"),"S")</f>
        <v>S</v>
      </c>
      <c r="H554" s="2" t="s">
        <v>928</v>
      </c>
      <c r="I554" s="8" t="str">
        <f t="shared" si="1"/>
        <v>42 in</v>
      </c>
      <c r="J554" s="9" t="s">
        <v>953</v>
      </c>
    </row>
    <row r="555">
      <c r="A555" s="4">
        <v>3.667298E7</v>
      </c>
      <c r="B555" s="1" t="s">
        <v>823</v>
      </c>
      <c r="C555" s="12">
        <v>1855.0</v>
      </c>
      <c r="D555" s="7" t="s">
        <v>20</v>
      </c>
      <c r="E555" s="1" t="s">
        <v>24</v>
      </c>
      <c r="F555" s="2" t="s">
        <v>27</v>
      </c>
      <c r="G555" s="8" t="str">
        <f>IFERROR(__xludf.DUMMYFUNCTION("REGEXEXTRACT(B555, ""-([^-\s]+)$"")"),"S")</f>
        <v>S</v>
      </c>
      <c r="H555" s="2" t="s">
        <v>928</v>
      </c>
      <c r="I555" s="8" t="str">
        <f t="shared" si="1"/>
        <v>42 in</v>
      </c>
      <c r="J555" s="9" t="s">
        <v>954</v>
      </c>
    </row>
    <row r="556">
      <c r="A556" s="4">
        <v>4.2353969E7</v>
      </c>
      <c r="B556" s="1" t="s">
        <v>824</v>
      </c>
      <c r="C556" s="2">
        <v>1999.0</v>
      </c>
      <c r="D556" s="7" t="s">
        <v>20</v>
      </c>
      <c r="E556" s="1" t="s">
        <v>24</v>
      </c>
      <c r="F556" s="2" t="s">
        <v>27</v>
      </c>
      <c r="G556" s="8" t="str">
        <f>IFERROR(__xludf.DUMMYFUNCTION("REGEXEXTRACT(B556, ""-([^-\s]+)$"")"),"S")</f>
        <v>S</v>
      </c>
      <c r="H556" s="2" t="s">
        <v>928</v>
      </c>
      <c r="I556" s="8" t="str">
        <f t="shared" si="1"/>
        <v>42 in</v>
      </c>
      <c r="J556" s="9" t="s">
        <v>1011</v>
      </c>
    </row>
    <row r="557">
      <c r="A557" s="2">
        <v>3.7332294E7</v>
      </c>
      <c r="B557" s="1" t="s">
        <v>825</v>
      </c>
      <c r="C557" s="4">
        <v>1999.0</v>
      </c>
      <c r="D557" s="7" t="s">
        <v>20</v>
      </c>
      <c r="E557" s="1" t="s">
        <v>24</v>
      </c>
      <c r="F557" s="2" t="s">
        <v>27</v>
      </c>
      <c r="G557" s="8" t="str">
        <f>IFERROR(__xludf.DUMMYFUNCTION("REGEXEXTRACT(B557, ""-([^-\s]+)$"")"),"XL")</f>
        <v>XL</v>
      </c>
      <c r="H557" s="2" t="s">
        <v>928</v>
      </c>
      <c r="I557" s="8" t="str">
        <f t="shared" si="1"/>
        <v>48 in</v>
      </c>
      <c r="J557" s="9" t="s">
        <v>965</v>
      </c>
    </row>
    <row r="558">
      <c r="A558" s="2">
        <v>3.7332292E7</v>
      </c>
      <c r="B558" s="1" t="s">
        <v>826</v>
      </c>
      <c r="C558" s="4">
        <v>1999.0</v>
      </c>
      <c r="D558" s="7" t="s">
        <v>20</v>
      </c>
      <c r="E558" s="1" t="s">
        <v>24</v>
      </c>
      <c r="F558" s="2" t="s">
        <v>27</v>
      </c>
      <c r="G558" s="8" t="str">
        <f>IFERROR(__xludf.DUMMYFUNCTION("REGEXEXTRACT(B558, ""-([^-\s]+)$"")"),"L")</f>
        <v>L</v>
      </c>
      <c r="H558" s="2" t="s">
        <v>987</v>
      </c>
      <c r="I558" s="8" t="str">
        <f t="shared" si="1"/>
        <v>46 in</v>
      </c>
      <c r="J558" s="9" t="s">
        <v>1035</v>
      </c>
    </row>
    <row r="559">
      <c r="A559" s="2">
        <v>3.7332292E7</v>
      </c>
      <c r="B559" s="1" t="s">
        <v>827</v>
      </c>
      <c r="C559" s="4">
        <v>1999.0</v>
      </c>
      <c r="D559" s="7" t="s">
        <v>20</v>
      </c>
      <c r="E559" s="1" t="s">
        <v>24</v>
      </c>
      <c r="F559" s="2" t="s">
        <v>27</v>
      </c>
      <c r="G559" s="8" t="str">
        <f>IFERROR(__xludf.DUMMYFUNCTION("REGEXEXTRACT(B559, ""-([^-\s]+)$"")"),"M")</f>
        <v>M</v>
      </c>
      <c r="H559" s="2" t="s">
        <v>987</v>
      </c>
      <c r="I559" s="8" t="str">
        <f t="shared" si="1"/>
        <v>44 in</v>
      </c>
      <c r="J559" s="9" t="s">
        <v>1035</v>
      </c>
    </row>
    <row r="560">
      <c r="A560" s="2">
        <v>3.7332292E7</v>
      </c>
      <c r="B560" s="1" t="s">
        <v>828</v>
      </c>
      <c r="C560" s="4">
        <v>1999.0</v>
      </c>
      <c r="D560" s="7" t="s">
        <v>20</v>
      </c>
      <c r="E560" s="1" t="s">
        <v>24</v>
      </c>
      <c r="F560" s="2" t="s">
        <v>27</v>
      </c>
      <c r="G560" s="8" t="str">
        <f>IFERROR(__xludf.DUMMYFUNCTION("REGEXEXTRACT(B560, ""-([^-\s]+)$"")"),"S")</f>
        <v>S</v>
      </c>
      <c r="H560" s="2" t="s">
        <v>987</v>
      </c>
      <c r="I560" s="8" t="str">
        <f t="shared" si="1"/>
        <v>42 in</v>
      </c>
      <c r="J560" s="9" t="s">
        <v>1035</v>
      </c>
    </row>
    <row r="561">
      <c r="A561" s="2">
        <v>3.7332292E7</v>
      </c>
      <c r="B561" s="1" t="s">
        <v>829</v>
      </c>
      <c r="C561" s="4">
        <v>1999.0</v>
      </c>
      <c r="D561" s="7" t="s">
        <v>20</v>
      </c>
      <c r="E561" s="1" t="s">
        <v>24</v>
      </c>
      <c r="F561" s="2" t="s">
        <v>27</v>
      </c>
      <c r="G561" s="8" t="str">
        <f>IFERROR(__xludf.DUMMYFUNCTION("REGEXEXTRACT(B561, ""-([^-\s]+)$"")"),"XL")</f>
        <v>XL</v>
      </c>
      <c r="H561" s="2" t="s">
        <v>987</v>
      </c>
      <c r="I561" s="8" t="str">
        <f t="shared" si="1"/>
        <v>48 in</v>
      </c>
      <c r="J561" s="9" t="s">
        <v>1035</v>
      </c>
    </row>
    <row r="562">
      <c r="A562" s="4">
        <v>3.4590205E7</v>
      </c>
      <c r="B562" s="1" t="s">
        <v>800</v>
      </c>
      <c r="C562" s="5">
        <v>1570.0</v>
      </c>
      <c r="D562" s="7" t="s">
        <v>20</v>
      </c>
      <c r="E562" s="2" t="s">
        <v>24</v>
      </c>
      <c r="F562" s="2" t="s">
        <v>27</v>
      </c>
      <c r="G562" s="8" t="str">
        <f>IFERROR(__xludf.DUMMYFUNCTION("REGEXEXTRACT(B562, ""-([^-\s]+)$"")"),"L")</f>
        <v>L</v>
      </c>
      <c r="H562" s="2" t="s">
        <v>189</v>
      </c>
      <c r="I562" s="8" t="str">
        <f t="shared" si="1"/>
        <v>46 in</v>
      </c>
      <c r="J562" s="9" t="s">
        <v>1036</v>
      </c>
    </row>
    <row r="563">
      <c r="A563" s="4">
        <v>3.4590205E7</v>
      </c>
      <c r="B563" s="1" t="s">
        <v>803</v>
      </c>
      <c r="C563" s="5">
        <v>1570.0</v>
      </c>
      <c r="D563" s="7" t="s">
        <v>20</v>
      </c>
      <c r="E563" s="2" t="s">
        <v>24</v>
      </c>
      <c r="F563" s="2" t="s">
        <v>27</v>
      </c>
      <c r="G563" s="8" t="str">
        <f>IFERROR(__xludf.DUMMYFUNCTION("REGEXEXTRACT(B563, ""-([^-\s]+)$"")"),"M")</f>
        <v>M</v>
      </c>
      <c r="H563" s="2" t="s">
        <v>189</v>
      </c>
      <c r="I563" s="8" t="str">
        <f t="shared" si="1"/>
        <v>44 in</v>
      </c>
      <c r="J563" s="9" t="s">
        <v>1037</v>
      </c>
    </row>
    <row r="564">
      <c r="A564" s="4">
        <v>3.4590205E7</v>
      </c>
      <c r="B564" s="1" t="s">
        <v>799</v>
      </c>
      <c r="C564" s="5">
        <v>1570.0</v>
      </c>
      <c r="D564" s="7" t="s">
        <v>20</v>
      </c>
      <c r="E564" s="2" t="s">
        <v>24</v>
      </c>
      <c r="F564" s="2" t="s">
        <v>27</v>
      </c>
      <c r="G564" s="8" t="str">
        <f>IFERROR(__xludf.DUMMYFUNCTION("REGEXEXTRACT(B564, ""-([^-\s]+)$"")"),"S")</f>
        <v>S</v>
      </c>
      <c r="H564" s="2" t="s">
        <v>189</v>
      </c>
      <c r="I564" s="8" t="str">
        <f t="shared" si="1"/>
        <v>42 in</v>
      </c>
      <c r="J564" s="9" t="s">
        <v>1037</v>
      </c>
    </row>
    <row r="565">
      <c r="A565" s="4">
        <v>3.4590205E7</v>
      </c>
      <c r="B565" s="1" t="s">
        <v>801</v>
      </c>
      <c r="C565" s="5">
        <v>1570.0</v>
      </c>
      <c r="D565" s="7" t="s">
        <v>20</v>
      </c>
      <c r="E565" s="2" t="s">
        <v>24</v>
      </c>
      <c r="F565" s="2" t="s">
        <v>27</v>
      </c>
      <c r="G565" s="8" t="str">
        <f>IFERROR(__xludf.DUMMYFUNCTION("REGEXEXTRACT(B565, ""-([^-\s]+)$"")"),"XL")</f>
        <v>XL</v>
      </c>
      <c r="H565" s="2" t="s">
        <v>189</v>
      </c>
      <c r="I565" s="8" t="str">
        <f t="shared" si="1"/>
        <v>48 in</v>
      </c>
      <c r="J565" s="9" t="s">
        <v>1037</v>
      </c>
    </row>
    <row r="566">
      <c r="A566" s="4">
        <v>3.4590225E7</v>
      </c>
      <c r="B566" s="1" t="s">
        <v>816</v>
      </c>
      <c r="C566" s="5">
        <v>1150.0</v>
      </c>
      <c r="D566" s="7" t="s">
        <v>20</v>
      </c>
      <c r="E566" s="2" t="s">
        <v>24</v>
      </c>
      <c r="F566" s="2" t="s">
        <v>27</v>
      </c>
      <c r="G566" s="8" t="str">
        <f>IFERROR(__xludf.DUMMYFUNCTION("REGEXEXTRACT(B566, ""-([^-\s]+)$"")"),"L")</f>
        <v>L</v>
      </c>
      <c r="H566" s="2" t="s">
        <v>484</v>
      </c>
      <c r="I566" s="8" t="str">
        <f t="shared" si="1"/>
        <v>46 in</v>
      </c>
      <c r="J566" s="9" t="s">
        <v>1038</v>
      </c>
    </row>
    <row r="567">
      <c r="A567" s="4">
        <v>3.4590225E7</v>
      </c>
      <c r="B567" s="1" t="s">
        <v>820</v>
      </c>
      <c r="C567" s="5">
        <v>1150.0</v>
      </c>
      <c r="D567" s="7" t="s">
        <v>20</v>
      </c>
      <c r="E567" s="2" t="s">
        <v>24</v>
      </c>
      <c r="F567" s="2" t="s">
        <v>27</v>
      </c>
      <c r="G567" s="8" t="str">
        <f>IFERROR(__xludf.DUMMYFUNCTION("REGEXEXTRACT(B567, ""-([^-\s]+)$"")"),"M")</f>
        <v>M</v>
      </c>
      <c r="H567" s="2" t="s">
        <v>484</v>
      </c>
      <c r="I567" s="8" t="str">
        <f t="shared" si="1"/>
        <v>44 in</v>
      </c>
      <c r="J567" s="9" t="s">
        <v>1038</v>
      </c>
    </row>
    <row r="568">
      <c r="A568" s="4">
        <v>3.4590225E7</v>
      </c>
      <c r="B568" s="1" t="s">
        <v>814</v>
      </c>
      <c r="C568" s="5">
        <v>1150.0</v>
      </c>
      <c r="D568" s="7" t="s">
        <v>20</v>
      </c>
      <c r="E568" s="2" t="s">
        <v>24</v>
      </c>
      <c r="F568" s="2" t="s">
        <v>27</v>
      </c>
      <c r="G568" s="8" t="str">
        <f>IFERROR(__xludf.DUMMYFUNCTION("REGEXEXTRACT(B568, ""-([^-\s]+)$"")"),"S")</f>
        <v>S</v>
      </c>
      <c r="H568" s="2" t="s">
        <v>484</v>
      </c>
      <c r="I568" s="8" t="str">
        <f t="shared" si="1"/>
        <v>42 in</v>
      </c>
      <c r="J568" s="9" t="s">
        <v>1038</v>
      </c>
    </row>
    <row r="569">
      <c r="A569" s="4">
        <v>3.4590225E7</v>
      </c>
      <c r="B569" s="1" t="s">
        <v>818</v>
      </c>
      <c r="C569" s="5">
        <v>1150.0</v>
      </c>
      <c r="D569" s="7" t="s">
        <v>20</v>
      </c>
      <c r="E569" s="2" t="s">
        <v>24</v>
      </c>
      <c r="F569" s="2" t="s">
        <v>27</v>
      </c>
      <c r="G569" s="8" t="str">
        <f>IFERROR(__xludf.DUMMYFUNCTION("REGEXEXTRACT(B569, ""-([^-\s]+)$"")"),"XL")</f>
        <v>XL</v>
      </c>
      <c r="H569" s="2" t="s">
        <v>484</v>
      </c>
      <c r="I569" s="8" t="str">
        <f t="shared" si="1"/>
        <v>48 in</v>
      </c>
      <c r="J569" s="9" t="s">
        <v>1038</v>
      </c>
    </row>
    <row r="570">
      <c r="A570" s="4">
        <v>3.4590234E7</v>
      </c>
      <c r="B570" s="1" t="s">
        <v>733</v>
      </c>
      <c r="C570" s="5">
        <v>1570.0</v>
      </c>
      <c r="D570" s="7" t="s">
        <v>20</v>
      </c>
      <c r="E570" s="2" t="s">
        <v>24</v>
      </c>
      <c r="F570" s="2" t="s">
        <v>27</v>
      </c>
      <c r="G570" s="8" t="str">
        <f>IFERROR(__xludf.DUMMYFUNCTION("REGEXEXTRACT(B570, ""-([^-\s]+)$"")"),"S")</f>
        <v>S</v>
      </c>
      <c r="H570" s="2" t="s">
        <v>928</v>
      </c>
      <c r="I570" s="8" t="str">
        <f t="shared" si="1"/>
        <v>42 in</v>
      </c>
      <c r="J570" s="9" t="s">
        <v>964</v>
      </c>
    </row>
    <row r="571">
      <c r="A571" s="2">
        <v>3.7332294E7</v>
      </c>
      <c r="B571" s="1" t="s">
        <v>830</v>
      </c>
      <c r="C571" s="4">
        <v>1999.0</v>
      </c>
      <c r="D571" s="7" t="s">
        <v>20</v>
      </c>
      <c r="E571" s="1" t="s">
        <v>24</v>
      </c>
      <c r="F571" s="2" t="s">
        <v>27</v>
      </c>
      <c r="G571" s="8" t="str">
        <f>IFERROR(__xludf.DUMMYFUNCTION("REGEXEXTRACT(B571, ""-([^-\s]+)$"")"),"S")</f>
        <v>S</v>
      </c>
      <c r="H571" s="2" t="s">
        <v>928</v>
      </c>
      <c r="I571" s="8" t="str">
        <f t="shared" si="1"/>
        <v>42 in</v>
      </c>
      <c r="J571" s="9" t="s">
        <v>965</v>
      </c>
    </row>
    <row r="572">
      <c r="A572" s="4">
        <v>3.5356964E7</v>
      </c>
      <c r="B572" s="1" t="s">
        <v>831</v>
      </c>
      <c r="C572" s="5">
        <v>1700.0</v>
      </c>
      <c r="D572" s="7" t="s">
        <v>20</v>
      </c>
      <c r="E572" s="2" t="s">
        <v>24</v>
      </c>
      <c r="F572" s="2" t="s">
        <v>27</v>
      </c>
      <c r="G572" s="8" t="str">
        <f>IFERROR(__xludf.DUMMYFUNCTION("REGEXEXTRACT(B572, ""-([^-\s]+)$"")"),"S")</f>
        <v>S</v>
      </c>
      <c r="H572" s="2" t="s">
        <v>928</v>
      </c>
      <c r="I572" s="8" t="str">
        <f t="shared" si="1"/>
        <v>42 in</v>
      </c>
      <c r="J572" s="9" t="s">
        <v>979</v>
      </c>
    </row>
    <row r="573">
      <c r="A573" s="4">
        <v>3.5356964E7</v>
      </c>
      <c r="B573" s="1" t="s">
        <v>832</v>
      </c>
      <c r="C573" s="5">
        <v>1700.0</v>
      </c>
      <c r="D573" s="7" t="s">
        <v>20</v>
      </c>
      <c r="E573" s="2" t="s">
        <v>24</v>
      </c>
      <c r="F573" s="2" t="s">
        <v>27</v>
      </c>
      <c r="G573" s="8" t="str">
        <f>IFERROR(__xludf.DUMMYFUNCTION("REGEXEXTRACT(B573, ""-([^-\s]+)$"")"),"XL")</f>
        <v>XL</v>
      </c>
      <c r="H573" s="2" t="s">
        <v>928</v>
      </c>
      <c r="I573" s="8" t="str">
        <f t="shared" si="1"/>
        <v>48 in</v>
      </c>
      <c r="J573" s="9" t="s">
        <v>979</v>
      </c>
    </row>
    <row r="574">
      <c r="A574" s="4">
        <v>3.5356984E7</v>
      </c>
      <c r="B574" s="1" t="s">
        <v>833</v>
      </c>
      <c r="C574" s="5">
        <v>1570.0</v>
      </c>
      <c r="D574" s="7" t="s">
        <v>20</v>
      </c>
      <c r="E574" s="2" t="s">
        <v>24</v>
      </c>
      <c r="F574" s="2" t="s">
        <v>27</v>
      </c>
      <c r="G574" s="8" t="str">
        <f>IFERROR(__xludf.DUMMYFUNCTION("REGEXEXTRACT(B574, ""-([^-\s]+)$"")"),"L")</f>
        <v>L</v>
      </c>
      <c r="H574" s="2" t="s">
        <v>938</v>
      </c>
      <c r="I574" s="8" t="str">
        <f t="shared" si="1"/>
        <v>46 in</v>
      </c>
      <c r="J574" s="9" t="s">
        <v>1039</v>
      </c>
    </row>
    <row r="575">
      <c r="A575" s="4">
        <v>3.5356984E7</v>
      </c>
      <c r="B575" s="1" t="s">
        <v>834</v>
      </c>
      <c r="C575" s="5">
        <v>1570.0</v>
      </c>
      <c r="D575" s="7" t="s">
        <v>20</v>
      </c>
      <c r="E575" s="2" t="s">
        <v>24</v>
      </c>
      <c r="F575" s="2" t="s">
        <v>27</v>
      </c>
      <c r="G575" s="8" t="str">
        <f>IFERROR(__xludf.DUMMYFUNCTION("REGEXEXTRACT(B575, ""-([^-\s]+)$"")"),"M")</f>
        <v>M</v>
      </c>
      <c r="H575" s="2" t="s">
        <v>938</v>
      </c>
      <c r="I575" s="8" t="str">
        <f t="shared" si="1"/>
        <v>44 in</v>
      </c>
      <c r="J575" s="9" t="s">
        <v>1039</v>
      </c>
    </row>
    <row r="576">
      <c r="A576" s="4">
        <v>3.5356984E7</v>
      </c>
      <c r="B576" s="1" t="s">
        <v>836</v>
      </c>
      <c r="C576" s="5">
        <v>1570.0</v>
      </c>
      <c r="D576" s="7" t="s">
        <v>20</v>
      </c>
      <c r="E576" s="2" t="s">
        <v>24</v>
      </c>
      <c r="F576" s="2" t="s">
        <v>27</v>
      </c>
      <c r="G576" s="8" t="str">
        <f>IFERROR(__xludf.DUMMYFUNCTION("REGEXEXTRACT(B576, ""-([^-\s]+)$"")"),"S")</f>
        <v>S</v>
      </c>
      <c r="H576" s="2" t="s">
        <v>938</v>
      </c>
      <c r="I576" s="8" t="str">
        <f t="shared" si="1"/>
        <v>42 in</v>
      </c>
      <c r="J576" s="9" t="s">
        <v>1039</v>
      </c>
    </row>
    <row r="577">
      <c r="A577" s="4">
        <v>3.5356984E7</v>
      </c>
      <c r="B577" s="1" t="s">
        <v>837</v>
      </c>
      <c r="C577" s="5">
        <v>1570.0</v>
      </c>
      <c r="D577" s="7" t="s">
        <v>20</v>
      </c>
      <c r="E577" s="2" t="s">
        <v>24</v>
      </c>
      <c r="F577" s="2" t="s">
        <v>27</v>
      </c>
      <c r="G577" s="8" t="str">
        <f>IFERROR(__xludf.DUMMYFUNCTION("REGEXEXTRACT(B577, ""-([^-\s]+)$"")"),"XL")</f>
        <v>XL</v>
      </c>
      <c r="H577" s="2" t="s">
        <v>938</v>
      </c>
      <c r="I577" s="8" t="str">
        <f t="shared" si="1"/>
        <v>48 in</v>
      </c>
      <c r="J577" s="9" t="s">
        <v>1039</v>
      </c>
    </row>
    <row r="578">
      <c r="A578" s="4">
        <v>3.5356992E7</v>
      </c>
      <c r="B578" s="1" t="s">
        <v>838</v>
      </c>
      <c r="C578" s="5">
        <v>1570.0</v>
      </c>
      <c r="D578" s="7" t="s">
        <v>20</v>
      </c>
      <c r="E578" s="2" t="s">
        <v>24</v>
      </c>
      <c r="F578" s="2" t="s">
        <v>27</v>
      </c>
      <c r="G578" s="8" t="str">
        <f>IFERROR(__xludf.DUMMYFUNCTION("REGEXEXTRACT(B578, ""-([^-\s]+)$"")"),"L")</f>
        <v>L</v>
      </c>
      <c r="H578" s="2" t="s">
        <v>950</v>
      </c>
      <c r="I578" s="8" t="str">
        <f t="shared" si="1"/>
        <v>46 in</v>
      </c>
      <c r="J578" s="9" t="s">
        <v>1040</v>
      </c>
    </row>
    <row r="579">
      <c r="A579" s="4">
        <v>3.5356992E7</v>
      </c>
      <c r="B579" s="1" t="s">
        <v>839</v>
      </c>
      <c r="C579" s="5">
        <v>1570.0</v>
      </c>
      <c r="D579" s="7" t="s">
        <v>20</v>
      </c>
      <c r="E579" s="2" t="s">
        <v>24</v>
      </c>
      <c r="F579" s="2" t="s">
        <v>27</v>
      </c>
      <c r="G579" s="8" t="str">
        <f>IFERROR(__xludf.DUMMYFUNCTION("REGEXEXTRACT(B579, ""-([^-\s]+)$"")"),"M")</f>
        <v>M</v>
      </c>
      <c r="H579" s="2" t="s">
        <v>950</v>
      </c>
      <c r="I579" s="8" t="str">
        <f t="shared" si="1"/>
        <v>44 in</v>
      </c>
      <c r="J579" s="9" t="s">
        <v>1040</v>
      </c>
    </row>
    <row r="580">
      <c r="A580" s="4">
        <v>3.5356992E7</v>
      </c>
      <c r="B580" s="1" t="s">
        <v>840</v>
      </c>
      <c r="C580" s="5">
        <v>1570.0</v>
      </c>
      <c r="D580" s="7" t="s">
        <v>20</v>
      </c>
      <c r="E580" s="2" t="s">
        <v>24</v>
      </c>
      <c r="F580" s="2" t="s">
        <v>27</v>
      </c>
      <c r="G580" s="8" t="str">
        <f>IFERROR(__xludf.DUMMYFUNCTION("REGEXEXTRACT(B580, ""-([^-\s]+)$"")"),"S")</f>
        <v>S</v>
      </c>
      <c r="H580" s="2" t="s">
        <v>950</v>
      </c>
      <c r="I580" s="8" t="str">
        <f t="shared" si="1"/>
        <v>42 in</v>
      </c>
      <c r="J580" s="9" t="s">
        <v>1040</v>
      </c>
    </row>
    <row r="581">
      <c r="A581" s="4">
        <v>3.5356992E7</v>
      </c>
      <c r="B581" s="1" t="s">
        <v>841</v>
      </c>
      <c r="C581" s="5">
        <v>1570.0</v>
      </c>
      <c r="D581" s="7" t="s">
        <v>20</v>
      </c>
      <c r="E581" s="2" t="s">
        <v>24</v>
      </c>
      <c r="F581" s="2" t="s">
        <v>27</v>
      </c>
      <c r="G581" s="8" t="str">
        <f>IFERROR(__xludf.DUMMYFUNCTION("REGEXEXTRACT(B581, ""-([^-\s]+)$"")"),"XL")</f>
        <v>XL</v>
      </c>
      <c r="H581" s="2" t="s">
        <v>950</v>
      </c>
      <c r="I581" s="8" t="str">
        <f t="shared" si="1"/>
        <v>48 in</v>
      </c>
      <c r="J581" s="9" t="s">
        <v>1040</v>
      </c>
    </row>
    <row r="582">
      <c r="A582" s="4">
        <v>4.235396E7</v>
      </c>
      <c r="B582" s="1" t="s">
        <v>842</v>
      </c>
      <c r="C582" s="2">
        <v>1999.0</v>
      </c>
      <c r="D582" s="7" t="s">
        <v>20</v>
      </c>
      <c r="E582" s="1" t="s">
        <v>24</v>
      </c>
      <c r="F582" s="2" t="s">
        <v>27</v>
      </c>
      <c r="G582" s="8" t="str">
        <f>IFERROR(__xludf.DUMMYFUNCTION("REGEXEXTRACT(B582, ""-([^-\s]+)$"")"),"L")</f>
        <v>L</v>
      </c>
      <c r="H582" s="2" t="s">
        <v>189</v>
      </c>
      <c r="I582" s="8" t="str">
        <f t="shared" si="1"/>
        <v>46 in</v>
      </c>
      <c r="J582" s="9" t="s">
        <v>1041</v>
      </c>
    </row>
    <row r="583">
      <c r="A583" s="4">
        <v>4.235396E7</v>
      </c>
      <c r="B583" s="1" t="s">
        <v>843</v>
      </c>
      <c r="C583" s="2">
        <v>1999.0</v>
      </c>
      <c r="D583" s="7" t="s">
        <v>20</v>
      </c>
      <c r="E583" s="1" t="s">
        <v>24</v>
      </c>
      <c r="F583" s="2" t="s">
        <v>27</v>
      </c>
      <c r="G583" s="8" t="str">
        <f>IFERROR(__xludf.DUMMYFUNCTION("REGEXEXTRACT(B583, ""-([^-\s]+)$"")"),"M")</f>
        <v>M</v>
      </c>
      <c r="H583" s="2" t="s">
        <v>189</v>
      </c>
      <c r="I583" s="8" t="str">
        <f t="shared" si="1"/>
        <v>44 in</v>
      </c>
      <c r="J583" s="9" t="s">
        <v>1041</v>
      </c>
    </row>
    <row r="584">
      <c r="A584" s="4">
        <v>4.235396E7</v>
      </c>
      <c r="B584" s="1" t="s">
        <v>844</v>
      </c>
      <c r="C584" s="2">
        <v>1999.0</v>
      </c>
      <c r="D584" s="7" t="s">
        <v>20</v>
      </c>
      <c r="E584" s="1" t="s">
        <v>24</v>
      </c>
      <c r="F584" s="2" t="s">
        <v>27</v>
      </c>
      <c r="G584" s="8" t="str">
        <f>IFERROR(__xludf.DUMMYFUNCTION("REGEXEXTRACT(B584, ""-([^-\s]+)$"")"),"S")</f>
        <v>S</v>
      </c>
      <c r="H584" s="2" t="s">
        <v>189</v>
      </c>
      <c r="I584" s="8" t="str">
        <f t="shared" si="1"/>
        <v>42 in</v>
      </c>
      <c r="J584" s="9" t="s">
        <v>1041</v>
      </c>
    </row>
    <row r="585">
      <c r="A585" s="4">
        <v>4.235396E7</v>
      </c>
      <c r="B585" s="1" t="s">
        <v>845</v>
      </c>
      <c r="C585" s="2">
        <v>1999.0</v>
      </c>
      <c r="D585" s="7" t="s">
        <v>20</v>
      </c>
      <c r="E585" s="1" t="s">
        <v>24</v>
      </c>
      <c r="F585" s="2" t="s">
        <v>27</v>
      </c>
      <c r="G585" s="8" t="str">
        <f>IFERROR(__xludf.DUMMYFUNCTION("REGEXEXTRACT(B585, ""-([^-\s]+)$"")"),"XL")</f>
        <v>XL</v>
      </c>
      <c r="H585" s="2" t="s">
        <v>189</v>
      </c>
      <c r="I585" s="8" t="str">
        <f t="shared" si="1"/>
        <v>48 in</v>
      </c>
      <c r="J585" s="9" t="s">
        <v>1041</v>
      </c>
    </row>
    <row r="586">
      <c r="A586" s="4">
        <v>3.459025E7</v>
      </c>
      <c r="B586" s="1" t="s">
        <v>25</v>
      </c>
      <c r="C586" s="5">
        <v>1285.0</v>
      </c>
      <c r="D586" s="7" t="s">
        <v>20</v>
      </c>
      <c r="E586" s="2" t="s">
        <v>24</v>
      </c>
      <c r="F586" s="2" t="s">
        <v>27</v>
      </c>
      <c r="G586" s="8" t="str">
        <f>IFERROR(__xludf.DUMMYFUNCTION("REGEXEXTRACT(B586, ""-([^-\s]+)$"")"),"L")</f>
        <v>L</v>
      </c>
      <c r="H586" s="2" t="s">
        <v>189</v>
      </c>
      <c r="I586" s="8" t="str">
        <f t="shared" si="1"/>
        <v>46 in</v>
      </c>
      <c r="J586" s="9" t="s">
        <v>1042</v>
      </c>
    </row>
    <row r="587">
      <c r="A587" s="4">
        <v>3.459025E7</v>
      </c>
      <c r="B587" s="1" t="s">
        <v>44</v>
      </c>
      <c r="C587" s="5">
        <v>1285.0</v>
      </c>
      <c r="D587" s="7" t="s">
        <v>20</v>
      </c>
      <c r="E587" s="2" t="s">
        <v>24</v>
      </c>
      <c r="F587" s="2" t="s">
        <v>27</v>
      </c>
      <c r="G587" s="8" t="str">
        <f>IFERROR(__xludf.DUMMYFUNCTION("REGEXEXTRACT(B587, ""-([^-\s]+)$"")"),"M")</f>
        <v>M</v>
      </c>
      <c r="H587" s="2" t="s">
        <v>189</v>
      </c>
      <c r="I587" s="8" t="str">
        <f t="shared" si="1"/>
        <v>44 in</v>
      </c>
      <c r="J587" s="9" t="s">
        <v>1042</v>
      </c>
    </row>
    <row r="588">
      <c r="A588" s="4">
        <v>3.459025E7</v>
      </c>
      <c r="B588" s="1" t="s">
        <v>69</v>
      </c>
      <c r="C588" s="5">
        <v>1285.0</v>
      </c>
      <c r="D588" s="7" t="s">
        <v>20</v>
      </c>
      <c r="E588" s="2" t="s">
        <v>24</v>
      </c>
      <c r="F588" s="2" t="s">
        <v>27</v>
      </c>
      <c r="G588" s="8" t="str">
        <f>IFERROR(__xludf.DUMMYFUNCTION("REGEXEXTRACT(B588, ""-([^-\s]+)$"")"),"S")</f>
        <v>S</v>
      </c>
      <c r="H588" s="2" t="s">
        <v>189</v>
      </c>
      <c r="I588" s="8" t="str">
        <f t="shared" si="1"/>
        <v>42 in</v>
      </c>
      <c r="J588" s="9" t="s">
        <v>1042</v>
      </c>
    </row>
    <row r="589">
      <c r="A589" s="4">
        <v>3.459025E7</v>
      </c>
      <c r="B589" s="1" t="s">
        <v>18</v>
      </c>
      <c r="C589" s="5">
        <v>1285.0</v>
      </c>
      <c r="D589" s="7" t="s">
        <v>20</v>
      </c>
      <c r="E589" s="2" t="s">
        <v>24</v>
      </c>
      <c r="F589" s="2" t="s">
        <v>27</v>
      </c>
      <c r="G589" s="8" t="str">
        <f>IFERROR(__xludf.DUMMYFUNCTION("REGEXEXTRACT(B589, ""-([^-\s]+)$"")"),"XL")</f>
        <v>XL</v>
      </c>
      <c r="H589" s="2" t="s">
        <v>189</v>
      </c>
      <c r="I589" s="8" t="str">
        <f t="shared" si="1"/>
        <v>48 in</v>
      </c>
      <c r="J589" s="9" t="s">
        <v>1042</v>
      </c>
    </row>
    <row r="590">
      <c r="A590" s="2">
        <v>3.7332282E7</v>
      </c>
      <c r="B590" s="1" t="s">
        <v>846</v>
      </c>
      <c r="C590" s="4">
        <v>1999.0</v>
      </c>
      <c r="D590" s="7" t="s">
        <v>20</v>
      </c>
      <c r="E590" s="1" t="s">
        <v>24</v>
      </c>
      <c r="F590" s="2" t="s">
        <v>27</v>
      </c>
      <c r="G590" s="8" t="str">
        <f>IFERROR(__xludf.DUMMYFUNCTION("REGEXEXTRACT(B590, ""-([^-\s]+)$"")"),"L")</f>
        <v>L</v>
      </c>
      <c r="H590" s="2" t="s">
        <v>938</v>
      </c>
      <c r="I590" s="8" t="str">
        <f t="shared" si="1"/>
        <v>46 in</v>
      </c>
      <c r="J590" s="9" t="s">
        <v>1043</v>
      </c>
    </row>
    <row r="591">
      <c r="A591" s="2">
        <v>3.7332282E7</v>
      </c>
      <c r="B591" s="1" t="s">
        <v>847</v>
      </c>
      <c r="C591" s="4">
        <v>1999.0</v>
      </c>
      <c r="D591" s="7" t="s">
        <v>20</v>
      </c>
      <c r="E591" s="1" t="s">
        <v>24</v>
      </c>
      <c r="F591" s="2" t="s">
        <v>27</v>
      </c>
      <c r="G591" s="8" t="str">
        <f>IFERROR(__xludf.DUMMYFUNCTION("REGEXEXTRACT(B591, ""-([^-\s]+)$"")"),"M")</f>
        <v>M</v>
      </c>
      <c r="H591" s="2" t="s">
        <v>938</v>
      </c>
      <c r="I591" s="8" t="str">
        <f t="shared" si="1"/>
        <v>44 in</v>
      </c>
      <c r="J591" s="9" t="s">
        <v>1043</v>
      </c>
    </row>
    <row r="592">
      <c r="A592" s="2">
        <v>3.7332282E7</v>
      </c>
      <c r="B592" s="1" t="s">
        <v>848</v>
      </c>
      <c r="C592" s="4">
        <v>1999.0</v>
      </c>
      <c r="D592" s="7" t="s">
        <v>20</v>
      </c>
      <c r="E592" s="1" t="s">
        <v>24</v>
      </c>
      <c r="F592" s="2" t="s">
        <v>27</v>
      </c>
      <c r="G592" s="8" t="str">
        <f>IFERROR(__xludf.DUMMYFUNCTION("REGEXEXTRACT(B592, ""-([^-\s]+)$"")"),"S")</f>
        <v>S</v>
      </c>
      <c r="H592" s="2" t="s">
        <v>938</v>
      </c>
      <c r="I592" s="8" t="str">
        <f t="shared" si="1"/>
        <v>42 in</v>
      </c>
      <c r="J592" s="9" t="s">
        <v>1043</v>
      </c>
    </row>
    <row r="593">
      <c r="A593" s="2">
        <v>3.7332282E7</v>
      </c>
      <c r="B593" s="1" t="s">
        <v>849</v>
      </c>
      <c r="C593" s="4">
        <v>1999.0</v>
      </c>
      <c r="D593" s="7" t="s">
        <v>20</v>
      </c>
      <c r="E593" s="1" t="s">
        <v>24</v>
      </c>
      <c r="F593" s="2" t="s">
        <v>27</v>
      </c>
      <c r="G593" s="8" t="str">
        <f>IFERROR(__xludf.DUMMYFUNCTION("REGEXEXTRACT(B593, ""-([^-\s]+)$"")"),"XL")</f>
        <v>XL</v>
      </c>
      <c r="H593" s="2" t="s">
        <v>938</v>
      </c>
      <c r="I593" s="8" t="str">
        <f t="shared" si="1"/>
        <v>48 in</v>
      </c>
      <c r="J593" s="9" t="s">
        <v>1043</v>
      </c>
    </row>
    <row r="594">
      <c r="A594" s="2">
        <v>3.7332286E7</v>
      </c>
      <c r="B594" s="1" t="s">
        <v>850</v>
      </c>
      <c r="C594" s="4">
        <v>1999.0</v>
      </c>
      <c r="D594" s="7" t="s">
        <v>20</v>
      </c>
      <c r="E594" s="1" t="s">
        <v>24</v>
      </c>
      <c r="F594" s="2" t="s">
        <v>27</v>
      </c>
      <c r="G594" s="8" t="str">
        <f>IFERROR(__xludf.DUMMYFUNCTION("REGEXEXTRACT(B594, ""-([^-\s]+)$"")"),"L")</f>
        <v>L</v>
      </c>
      <c r="H594" s="2" t="s">
        <v>987</v>
      </c>
      <c r="I594" s="8" t="str">
        <f t="shared" si="1"/>
        <v>46 in</v>
      </c>
      <c r="J594" s="9" t="s">
        <v>1044</v>
      </c>
    </row>
    <row r="595">
      <c r="A595" s="2">
        <v>3.7332286E7</v>
      </c>
      <c r="B595" s="1" t="s">
        <v>851</v>
      </c>
      <c r="C595" s="4">
        <v>1999.0</v>
      </c>
      <c r="D595" s="7" t="s">
        <v>20</v>
      </c>
      <c r="E595" s="1" t="s">
        <v>24</v>
      </c>
      <c r="F595" s="2" t="s">
        <v>27</v>
      </c>
      <c r="G595" s="8" t="str">
        <f>IFERROR(__xludf.DUMMYFUNCTION("REGEXEXTRACT(B595, ""-([^-\s]+)$"")"),"M")</f>
        <v>M</v>
      </c>
      <c r="H595" s="2" t="s">
        <v>987</v>
      </c>
      <c r="I595" s="8" t="str">
        <f t="shared" si="1"/>
        <v>44 in</v>
      </c>
      <c r="J595" s="9" t="s">
        <v>1044</v>
      </c>
    </row>
    <row r="596">
      <c r="A596" s="2">
        <v>3.7332286E7</v>
      </c>
      <c r="B596" s="1" t="s">
        <v>852</v>
      </c>
      <c r="C596" s="4">
        <v>1999.0</v>
      </c>
      <c r="D596" s="7" t="s">
        <v>20</v>
      </c>
      <c r="E596" s="1" t="s">
        <v>24</v>
      </c>
      <c r="F596" s="2" t="s">
        <v>27</v>
      </c>
      <c r="G596" s="8" t="str">
        <f>IFERROR(__xludf.DUMMYFUNCTION("REGEXEXTRACT(B596, ""-([^-\s]+)$"")"),"S")</f>
        <v>S</v>
      </c>
      <c r="H596" s="2" t="s">
        <v>987</v>
      </c>
      <c r="I596" s="8" t="str">
        <f t="shared" si="1"/>
        <v>42 in</v>
      </c>
      <c r="J596" s="9" t="s">
        <v>1044</v>
      </c>
    </row>
    <row r="597">
      <c r="A597" s="2">
        <v>3.7332286E7</v>
      </c>
      <c r="B597" s="1" t="s">
        <v>853</v>
      </c>
      <c r="C597" s="4">
        <v>1999.0</v>
      </c>
      <c r="D597" s="7" t="s">
        <v>20</v>
      </c>
      <c r="E597" s="1" t="s">
        <v>24</v>
      </c>
      <c r="F597" s="2" t="s">
        <v>27</v>
      </c>
      <c r="G597" s="8" t="str">
        <f>IFERROR(__xludf.DUMMYFUNCTION("REGEXEXTRACT(B597, ""-([^-\s]+)$"")"),"XL")</f>
        <v>XL</v>
      </c>
      <c r="H597" s="2" t="s">
        <v>987</v>
      </c>
      <c r="I597" s="8" t="str">
        <f t="shared" si="1"/>
        <v>48 in</v>
      </c>
      <c r="J597" s="9" t="s">
        <v>1044</v>
      </c>
    </row>
    <row r="598">
      <c r="A598" s="4">
        <v>4.2353956E7</v>
      </c>
      <c r="B598" s="1" t="s">
        <v>755</v>
      </c>
      <c r="C598" s="2">
        <v>1999.0</v>
      </c>
      <c r="D598" s="7" t="s">
        <v>20</v>
      </c>
      <c r="E598" s="1" t="s">
        <v>24</v>
      </c>
      <c r="F598" s="2" t="s">
        <v>27</v>
      </c>
      <c r="G598" s="8" t="str">
        <f>IFERROR(__xludf.DUMMYFUNCTION("REGEXEXTRACT(B598, ""-([^-\s]+)$"")"),"S")</f>
        <v>S</v>
      </c>
      <c r="H598" s="2" t="s">
        <v>1029</v>
      </c>
      <c r="I598" s="8" t="str">
        <f t="shared" si="1"/>
        <v>42 in</v>
      </c>
      <c r="J598" s="9" t="s">
        <v>1030</v>
      </c>
    </row>
    <row r="599">
      <c r="A599" s="4">
        <v>3.5356979E7</v>
      </c>
      <c r="B599" s="1" t="s">
        <v>83</v>
      </c>
      <c r="C599" s="5">
        <v>1285.0</v>
      </c>
      <c r="D599" s="7" t="s">
        <v>20</v>
      </c>
      <c r="E599" s="2" t="s">
        <v>24</v>
      </c>
      <c r="F599" s="2" t="s">
        <v>27</v>
      </c>
      <c r="G599" s="8" t="str">
        <f>IFERROR(__xludf.DUMMYFUNCTION("REGEXEXTRACT(B599, ""-([^-\s]+)$"")"),"S")</f>
        <v>S</v>
      </c>
      <c r="H599" s="2" t="s">
        <v>1031</v>
      </c>
      <c r="I599" s="8" t="str">
        <f t="shared" si="1"/>
        <v>42 in</v>
      </c>
      <c r="J599" s="9" t="s">
        <v>1032</v>
      </c>
    </row>
    <row r="600">
      <c r="A600" s="4">
        <v>3.6672974E7</v>
      </c>
      <c r="B600" s="1" t="s">
        <v>854</v>
      </c>
      <c r="C600" s="12">
        <v>1700.0</v>
      </c>
      <c r="D600" s="7" t="s">
        <v>20</v>
      </c>
      <c r="E600" s="1" t="s">
        <v>24</v>
      </c>
      <c r="F600" s="2" t="s">
        <v>27</v>
      </c>
      <c r="G600" s="8" t="str">
        <f>IFERROR(__xludf.DUMMYFUNCTION("REGEXEXTRACT(B600, ""-([^-\s]+)$"")"),"S")</f>
        <v>S</v>
      </c>
      <c r="H600" s="2" t="s">
        <v>1031</v>
      </c>
      <c r="I600" s="8" t="str">
        <f t="shared" si="1"/>
        <v>42 in</v>
      </c>
      <c r="J600" s="9" t="s">
        <v>1033</v>
      </c>
    </row>
    <row r="601">
      <c r="A601" s="4">
        <v>3.6672974E7</v>
      </c>
      <c r="B601" s="1" t="s">
        <v>855</v>
      </c>
      <c r="C601" s="12">
        <v>1700.0</v>
      </c>
      <c r="D601" s="7" t="s">
        <v>20</v>
      </c>
      <c r="E601" s="1" t="s">
        <v>24</v>
      </c>
      <c r="F601" s="2" t="s">
        <v>27</v>
      </c>
      <c r="G601" s="8" t="str">
        <f>IFERROR(__xludf.DUMMYFUNCTION("REGEXEXTRACT(B601, ""-([^-\s]+)$"")"),"XL")</f>
        <v>XL</v>
      </c>
      <c r="H601" s="2" t="s">
        <v>1031</v>
      </c>
      <c r="I601" s="8" t="str">
        <f t="shared" si="1"/>
        <v>48 in</v>
      </c>
      <c r="J601" s="9" t="s">
        <v>1033</v>
      </c>
    </row>
    <row r="602">
      <c r="A602" s="4">
        <v>4.2353965E7</v>
      </c>
      <c r="B602" s="1" t="s">
        <v>856</v>
      </c>
      <c r="C602" s="2">
        <v>1999.0</v>
      </c>
      <c r="D602" s="7" t="s">
        <v>20</v>
      </c>
      <c r="E602" s="1" t="s">
        <v>24</v>
      </c>
      <c r="F602" s="2" t="s">
        <v>27</v>
      </c>
      <c r="G602" s="8" t="str">
        <f>IFERROR(__xludf.DUMMYFUNCTION("REGEXEXTRACT(B602, ""-([^-\s]+)$"")"),"L")</f>
        <v>L</v>
      </c>
      <c r="H602" s="2" t="s">
        <v>189</v>
      </c>
      <c r="I602" s="8" t="str">
        <f t="shared" si="1"/>
        <v>46 in</v>
      </c>
      <c r="J602" s="9" t="s">
        <v>1045</v>
      </c>
    </row>
    <row r="603">
      <c r="A603" s="4">
        <v>4.2353965E7</v>
      </c>
      <c r="B603" s="1" t="s">
        <v>858</v>
      </c>
      <c r="C603" s="2">
        <v>1999.0</v>
      </c>
      <c r="D603" s="7" t="s">
        <v>20</v>
      </c>
      <c r="E603" s="1" t="s">
        <v>24</v>
      </c>
      <c r="F603" s="2" t="s">
        <v>27</v>
      </c>
      <c r="G603" s="8" t="str">
        <f>IFERROR(__xludf.DUMMYFUNCTION("REGEXEXTRACT(B603, ""-([^-\s]+)$"")"),"M")</f>
        <v>M</v>
      </c>
      <c r="H603" s="2" t="s">
        <v>189</v>
      </c>
      <c r="I603" s="8" t="str">
        <f t="shared" si="1"/>
        <v>44 in</v>
      </c>
      <c r="J603" s="9" t="s">
        <v>1045</v>
      </c>
    </row>
    <row r="604">
      <c r="A604" s="4">
        <v>4.2353965E7</v>
      </c>
      <c r="B604" s="1" t="s">
        <v>859</v>
      </c>
      <c r="C604" s="2">
        <v>1999.0</v>
      </c>
      <c r="D604" s="7" t="s">
        <v>20</v>
      </c>
      <c r="E604" s="1" t="s">
        <v>24</v>
      </c>
      <c r="F604" s="2" t="s">
        <v>27</v>
      </c>
      <c r="G604" s="8" t="str">
        <f>IFERROR(__xludf.DUMMYFUNCTION("REGEXEXTRACT(B604, ""-([^-\s]+)$"")"),"S")</f>
        <v>S</v>
      </c>
      <c r="H604" s="2" t="s">
        <v>189</v>
      </c>
      <c r="I604" s="8" t="str">
        <f t="shared" si="1"/>
        <v>42 in</v>
      </c>
      <c r="J604" s="9" t="s">
        <v>1045</v>
      </c>
    </row>
    <row r="605">
      <c r="A605" s="4">
        <v>4.2353965E7</v>
      </c>
      <c r="B605" s="1" t="s">
        <v>860</v>
      </c>
      <c r="C605" s="2">
        <v>1999.0</v>
      </c>
      <c r="D605" s="7" t="s">
        <v>20</v>
      </c>
      <c r="E605" s="1" t="s">
        <v>24</v>
      </c>
      <c r="F605" s="2" t="s">
        <v>27</v>
      </c>
      <c r="G605" s="8" t="str">
        <f>IFERROR(__xludf.DUMMYFUNCTION("REGEXEXTRACT(B605, ""-([^-\s]+)$"")"),"XL")</f>
        <v>XL</v>
      </c>
      <c r="H605" s="2" t="s">
        <v>189</v>
      </c>
      <c r="I605" s="8" t="str">
        <f t="shared" si="1"/>
        <v>48 in</v>
      </c>
      <c r="J605" s="9" t="s">
        <v>1045</v>
      </c>
    </row>
    <row r="606">
      <c r="A606" s="4">
        <v>4.2353972E7</v>
      </c>
      <c r="B606" s="1" t="s">
        <v>861</v>
      </c>
      <c r="C606" s="2">
        <v>1999.0</v>
      </c>
      <c r="D606" s="7" t="s">
        <v>20</v>
      </c>
      <c r="E606" s="1" t="s">
        <v>24</v>
      </c>
      <c r="F606" s="2" t="s">
        <v>27</v>
      </c>
      <c r="G606" s="8" t="str">
        <f>IFERROR(__xludf.DUMMYFUNCTION("REGEXEXTRACT(B606, ""-([^-\s]+)$"")"),"L")</f>
        <v>L</v>
      </c>
      <c r="H606" s="2" t="s">
        <v>1046</v>
      </c>
      <c r="I606" s="8" t="str">
        <f t="shared" si="1"/>
        <v>46 in</v>
      </c>
      <c r="J606" s="9" t="s">
        <v>1047</v>
      </c>
    </row>
    <row r="607">
      <c r="A607" s="4">
        <v>4.2353972E7</v>
      </c>
      <c r="B607" s="1" t="s">
        <v>862</v>
      </c>
      <c r="C607" s="2">
        <v>1999.0</v>
      </c>
      <c r="D607" s="7" t="s">
        <v>20</v>
      </c>
      <c r="E607" s="1" t="s">
        <v>24</v>
      </c>
      <c r="F607" s="2" t="s">
        <v>27</v>
      </c>
      <c r="G607" s="8" t="str">
        <f>IFERROR(__xludf.DUMMYFUNCTION("REGEXEXTRACT(B607, ""-([^-\s]+)$"")"),"M")</f>
        <v>M</v>
      </c>
      <c r="H607" s="2" t="s">
        <v>1046</v>
      </c>
      <c r="I607" s="8" t="str">
        <f t="shared" si="1"/>
        <v>44 in</v>
      </c>
      <c r="J607" s="9" t="s">
        <v>1047</v>
      </c>
    </row>
    <row r="608">
      <c r="A608" s="4">
        <v>4.2353972E7</v>
      </c>
      <c r="B608" s="1" t="s">
        <v>863</v>
      </c>
      <c r="C608" s="2">
        <v>1999.0</v>
      </c>
      <c r="D608" s="7" t="s">
        <v>20</v>
      </c>
      <c r="E608" s="1" t="s">
        <v>24</v>
      </c>
      <c r="F608" s="2" t="s">
        <v>27</v>
      </c>
      <c r="G608" s="8" t="str">
        <f>IFERROR(__xludf.DUMMYFUNCTION("REGEXEXTRACT(B608, ""-([^-\s]+)$"")"),"S")</f>
        <v>S</v>
      </c>
      <c r="H608" s="2" t="s">
        <v>1046</v>
      </c>
      <c r="I608" s="8" t="str">
        <f t="shared" si="1"/>
        <v>42 in</v>
      </c>
      <c r="J608" s="9" t="s">
        <v>1047</v>
      </c>
    </row>
    <row r="609">
      <c r="A609" s="4">
        <v>4.2353972E7</v>
      </c>
      <c r="B609" s="1" t="s">
        <v>864</v>
      </c>
      <c r="C609" s="2">
        <v>1999.0</v>
      </c>
      <c r="D609" s="7" t="s">
        <v>20</v>
      </c>
      <c r="E609" s="1" t="s">
        <v>24</v>
      </c>
      <c r="F609" s="2" t="s">
        <v>27</v>
      </c>
      <c r="G609" s="8" t="str">
        <f>IFERROR(__xludf.DUMMYFUNCTION("REGEXEXTRACT(B609, ""-([^-\s]+)$"")"),"XL")</f>
        <v>XL</v>
      </c>
      <c r="H609" s="2" t="s">
        <v>1046</v>
      </c>
      <c r="I609" s="8" t="str">
        <f t="shared" si="1"/>
        <v>48 in</v>
      </c>
      <c r="J609" s="9" t="s">
        <v>1047</v>
      </c>
    </row>
    <row r="610">
      <c r="A610" s="4">
        <v>4.2353955E7</v>
      </c>
      <c r="B610" s="1" t="s">
        <v>865</v>
      </c>
      <c r="C610" s="2">
        <v>1999.0</v>
      </c>
      <c r="D610" s="7" t="s">
        <v>20</v>
      </c>
      <c r="E610" s="1" t="s">
        <v>24</v>
      </c>
      <c r="F610" s="2" t="s">
        <v>27</v>
      </c>
      <c r="G610" s="8" t="str">
        <f>IFERROR(__xludf.DUMMYFUNCTION("REGEXEXTRACT(B610, ""-([^-\s]+)$"")"),"L")</f>
        <v>L</v>
      </c>
      <c r="H610" s="2" t="s">
        <v>148</v>
      </c>
      <c r="I610" s="8" t="str">
        <f t="shared" si="1"/>
        <v>46 in</v>
      </c>
      <c r="J610" s="9" t="s">
        <v>1048</v>
      </c>
    </row>
    <row r="611">
      <c r="A611" s="4">
        <v>4.2353955E7</v>
      </c>
      <c r="B611" s="1" t="s">
        <v>866</v>
      </c>
      <c r="C611" s="2">
        <v>1999.0</v>
      </c>
      <c r="D611" s="7" t="s">
        <v>20</v>
      </c>
      <c r="E611" s="1" t="s">
        <v>24</v>
      </c>
      <c r="F611" s="2" t="s">
        <v>27</v>
      </c>
      <c r="G611" s="8" t="str">
        <f>IFERROR(__xludf.DUMMYFUNCTION("REGEXEXTRACT(B611, ""-([^-\s]+)$"")"),"M")</f>
        <v>M</v>
      </c>
      <c r="H611" s="2" t="s">
        <v>148</v>
      </c>
      <c r="I611" s="8" t="str">
        <f t="shared" si="1"/>
        <v>44 in</v>
      </c>
      <c r="J611" s="9" t="s">
        <v>1048</v>
      </c>
    </row>
    <row r="612">
      <c r="A612" s="4">
        <v>4.2353955E7</v>
      </c>
      <c r="B612" s="1" t="s">
        <v>867</v>
      </c>
      <c r="C612" s="2">
        <v>1999.0</v>
      </c>
      <c r="D612" s="7" t="s">
        <v>20</v>
      </c>
      <c r="E612" s="1" t="s">
        <v>24</v>
      </c>
      <c r="F612" s="2" t="s">
        <v>27</v>
      </c>
      <c r="G612" s="8" t="str">
        <f>IFERROR(__xludf.DUMMYFUNCTION("REGEXEXTRACT(B612, ""-([^-\s]+)$"")"),"S")</f>
        <v>S</v>
      </c>
      <c r="H612" s="2" t="s">
        <v>148</v>
      </c>
      <c r="I612" s="8" t="str">
        <f t="shared" si="1"/>
        <v>42 in</v>
      </c>
      <c r="J612" s="9" t="s">
        <v>1048</v>
      </c>
    </row>
    <row r="613">
      <c r="A613" s="4">
        <v>4.2353955E7</v>
      </c>
      <c r="B613" s="1" t="s">
        <v>868</v>
      </c>
      <c r="C613" s="2">
        <v>1999.0</v>
      </c>
      <c r="D613" s="7" t="s">
        <v>20</v>
      </c>
      <c r="E613" s="1" t="s">
        <v>24</v>
      </c>
      <c r="F613" s="2" t="s">
        <v>27</v>
      </c>
      <c r="G613" s="8" t="str">
        <f>IFERROR(__xludf.DUMMYFUNCTION("REGEXEXTRACT(B613, ""-([^-\s]+)$"")"),"XL")</f>
        <v>XL</v>
      </c>
      <c r="H613" s="2" t="s">
        <v>148</v>
      </c>
      <c r="I613" s="8" t="str">
        <f t="shared" si="1"/>
        <v>48 in</v>
      </c>
      <c r="J613" s="9" t="s">
        <v>1048</v>
      </c>
    </row>
    <row r="614">
      <c r="A614" s="2">
        <v>4.3479441E7</v>
      </c>
      <c r="B614" s="15" t="s">
        <v>869</v>
      </c>
      <c r="C614" s="2">
        <v>3099.0</v>
      </c>
      <c r="D614" s="7" t="s">
        <v>20</v>
      </c>
      <c r="E614" s="2" t="s">
        <v>1049</v>
      </c>
      <c r="F614" s="2" t="s">
        <v>27</v>
      </c>
      <c r="G614" s="8" t="str">
        <f>IFERROR(__xludf.DUMMYFUNCTION("REGEXEXTRACT(B614, ""-([^-\s]+)$"")"),"S")</f>
        <v>S</v>
      </c>
      <c r="H614" s="2" t="s">
        <v>484</v>
      </c>
      <c r="I614" s="8" t="str">
        <f t="shared" si="1"/>
        <v>42 in</v>
      </c>
      <c r="J614" s="9" t="s">
        <v>1050</v>
      </c>
    </row>
    <row r="615">
      <c r="A615" s="2">
        <v>4.3479441E7</v>
      </c>
      <c r="B615" s="15" t="s">
        <v>870</v>
      </c>
      <c r="C615" s="2">
        <v>3099.0</v>
      </c>
      <c r="D615" s="7" t="s">
        <v>20</v>
      </c>
      <c r="E615" s="2" t="s">
        <v>1049</v>
      </c>
      <c r="F615" s="2" t="s">
        <v>27</v>
      </c>
      <c r="G615" s="8" t="str">
        <f>IFERROR(__xludf.DUMMYFUNCTION("REGEXEXTRACT(B615, ""-([^-\s]+)$"")"),"M")</f>
        <v>M</v>
      </c>
      <c r="H615" s="2" t="s">
        <v>484</v>
      </c>
      <c r="I615" s="8" t="str">
        <f t="shared" si="1"/>
        <v>44 in</v>
      </c>
      <c r="J615" s="9" t="s">
        <v>1050</v>
      </c>
    </row>
    <row r="616">
      <c r="A616" s="2">
        <v>4.3479441E7</v>
      </c>
      <c r="B616" s="15" t="s">
        <v>871</v>
      </c>
      <c r="C616" s="2">
        <v>3099.0</v>
      </c>
      <c r="D616" s="7" t="s">
        <v>20</v>
      </c>
      <c r="E616" s="2" t="s">
        <v>1049</v>
      </c>
      <c r="F616" s="2" t="s">
        <v>27</v>
      </c>
      <c r="G616" s="8" t="str">
        <f>IFERROR(__xludf.DUMMYFUNCTION("REGEXEXTRACT(B616, ""-([^-\s]+)$"")"),"L")</f>
        <v>L</v>
      </c>
      <c r="H616" s="2" t="s">
        <v>484</v>
      </c>
      <c r="I616" s="8" t="str">
        <f t="shared" si="1"/>
        <v>46 in</v>
      </c>
      <c r="J616" s="9" t="s">
        <v>1050</v>
      </c>
    </row>
    <row r="617">
      <c r="A617" s="2">
        <v>4.3479441E7</v>
      </c>
      <c r="B617" s="15" t="s">
        <v>872</v>
      </c>
      <c r="C617" s="2">
        <v>3099.0</v>
      </c>
      <c r="D617" s="7" t="s">
        <v>20</v>
      </c>
      <c r="E617" s="2" t="s">
        <v>1049</v>
      </c>
      <c r="F617" s="2" t="s">
        <v>27</v>
      </c>
      <c r="G617" s="8" t="str">
        <f>IFERROR(__xludf.DUMMYFUNCTION("REGEXEXTRACT(B617, ""-([^-\s]+)$"")"),"XL")</f>
        <v>XL</v>
      </c>
      <c r="H617" s="2" t="s">
        <v>484</v>
      </c>
      <c r="I617" s="8" t="str">
        <f t="shared" si="1"/>
        <v>48 in</v>
      </c>
      <c r="J617" s="9" t="s">
        <v>1050</v>
      </c>
    </row>
    <row r="618">
      <c r="A618" s="2">
        <v>4.3479439E7</v>
      </c>
      <c r="B618" s="15" t="s">
        <v>873</v>
      </c>
      <c r="C618" s="2">
        <v>3099.0</v>
      </c>
      <c r="D618" s="7" t="s">
        <v>20</v>
      </c>
      <c r="E618" s="2" t="s">
        <v>1049</v>
      </c>
      <c r="F618" s="2" t="s">
        <v>27</v>
      </c>
      <c r="G618" s="8" t="str">
        <f>IFERROR(__xludf.DUMMYFUNCTION("REGEXEXTRACT(B618, ""-([^-\s]+)$"")"),"S")</f>
        <v>S</v>
      </c>
      <c r="H618" s="2" t="s">
        <v>484</v>
      </c>
      <c r="I618" s="8" t="str">
        <f t="shared" si="1"/>
        <v>42 in</v>
      </c>
      <c r="J618" s="9" t="s">
        <v>1051</v>
      </c>
    </row>
    <row r="619">
      <c r="A619" s="2">
        <v>4.3479439E7</v>
      </c>
      <c r="B619" s="15" t="s">
        <v>874</v>
      </c>
      <c r="C619" s="2">
        <v>3099.0</v>
      </c>
      <c r="D619" s="7" t="s">
        <v>20</v>
      </c>
      <c r="E619" s="2" t="s">
        <v>1049</v>
      </c>
      <c r="F619" s="2" t="s">
        <v>27</v>
      </c>
      <c r="G619" s="8" t="str">
        <f>IFERROR(__xludf.DUMMYFUNCTION("REGEXEXTRACT(B619, ""-([^-\s]+)$"")"),"M")</f>
        <v>M</v>
      </c>
      <c r="H619" s="2" t="s">
        <v>484</v>
      </c>
      <c r="I619" s="8" t="str">
        <f t="shared" si="1"/>
        <v>44 in</v>
      </c>
      <c r="J619" s="9" t="s">
        <v>1051</v>
      </c>
    </row>
    <row r="620">
      <c r="A620" s="2">
        <v>4.3479439E7</v>
      </c>
      <c r="B620" s="15" t="s">
        <v>875</v>
      </c>
      <c r="C620" s="2">
        <v>3099.0</v>
      </c>
      <c r="D620" s="7" t="s">
        <v>20</v>
      </c>
      <c r="E620" s="2" t="s">
        <v>1049</v>
      </c>
      <c r="F620" s="2" t="s">
        <v>27</v>
      </c>
      <c r="G620" s="8" t="str">
        <f>IFERROR(__xludf.DUMMYFUNCTION("REGEXEXTRACT(B620, ""-([^-\s]+)$"")"),"L")</f>
        <v>L</v>
      </c>
      <c r="H620" s="2" t="s">
        <v>484</v>
      </c>
      <c r="I620" s="8" t="str">
        <f t="shared" si="1"/>
        <v>46 in</v>
      </c>
      <c r="J620" s="9" t="s">
        <v>1051</v>
      </c>
    </row>
    <row r="621">
      <c r="A621" s="2">
        <v>4.3479439E7</v>
      </c>
      <c r="B621" s="15" t="s">
        <v>876</v>
      </c>
      <c r="C621" s="2">
        <v>3099.0</v>
      </c>
      <c r="D621" s="7" t="s">
        <v>20</v>
      </c>
      <c r="E621" s="2" t="s">
        <v>1049</v>
      </c>
      <c r="F621" s="2" t="s">
        <v>27</v>
      </c>
      <c r="G621" s="8" t="str">
        <f>IFERROR(__xludf.DUMMYFUNCTION("REGEXEXTRACT(B621, ""-([^-\s]+)$"")"),"XL")</f>
        <v>XL</v>
      </c>
      <c r="H621" s="2" t="s">
        <v>484</v>
      </c>
      <c r="I621" s="8" t="str">
        <f t="shared" si="1"/>
        <v>48 in</v>
      </c>
      <c r="J621" s="9" t="s">
        <v>1051</v>
      </c>
    </row>
    <row r="622">
      <c r="A622" s="2">
        <v>4.347944E7</v>
      </c>
      <c r="B622" s="15" t="s">
        <v>877</v>
      </c>
      <c r="C622" s="2">
        <v>3099.0</v>
      </c>
      <c r="D622" s="7" t="s">
        <v>20</v>
      </c>
      <c r="E622" s="2" t="s">
        <v>1049</v>
      </c>
      <c r="F622" s="2" t="s">
        <v>27</v>
      </c>
      <c r="G622" s="8" t="str">
        <f>IFERROR(__xludf.DUMMYFUNCTION("REGEXEXTRACT(B622, ""-([^-\s]+)$"")"),"S")</f>
        <v>S</v>
      </c>
      <c r="H622" s="2" t="s">
        <v>484</v>
      </c>
      <c r="I622" s="8" t="str">
        <f t="shared" si="1"/>
        <v>42 in</v>
      </c>
      <c r="J622" s="9" t="s">
        <v>1052</v>
      </c>
    </row>
    <row r="623">
      <c r="A623" s="2">
        <v>4.347944E7</v>
      </c>
      <c r="B623" s="15" t="s">
        <v>878</v>
      </c>
      <c r="C623" s="2">
        <v>3099.0</v>
      </c>
      <c r="D623" s="7" t="s">
        <v>20</v>
      </c>
      <c r="E623" s="2" t="s">
        <v>1049</v>
      </c>
      <c r="F623" s="2" t="s">
        <v>27</v>
      </c>
      <c r="G623" s="8" t="str">
        <f>IFERROR(__xludf.DUMMYFUNCTION("REGEXEXTRACT(B623, ""-([^-\s]+)$"")"),"M")</f>
        <v>M</v>
      </c>
      <c r="H623" s="2" t="s">
        <v>484</v>
      </c>
      <c r="I623" s="8" t="str">
        <f t="shared" si="1"/>
        <v>44 in</v>
      </c>
      <c r="J623" s="9" t="s">
        <v>1052</v>
      </c>
    </row>
    <row r="624">
      <c r="A624" s="2">
        <v>4.347944E7</v>
      </c>
      <c r="B624" s="15" t="s">
        <v>879</v>
      </c>
      <c r="C624" s="2">
        <v>3099.0</v>
      </c>
      <c r="D624" s="7" t="s">
        <v>20</v>
      </c>
      <c r="E624" s="2" t="s">
        <v>1049</v>
      </c>
      <c r="F624" s="2" t="s">
        <v>27</v>
      </c>
      <c r="G624" s="8" t="str">
        <f>IFERROR(__xludf.DUMMYFUNCTION("REGEXEXTRACT(B624, ""-([^-\s]+)$"")"),"L")</f>
        <v>L</v>
      </c>
      <c r="H624" s="2" t="s">
        <v>484</v>
      </c>
      <c r="I624" s="8" t="str">
        <f t="shared" si="1"/>
        <v>46 in</v>
      </c>
      <c r="J624" s="9" t="s">
        <v>1052</v>
      </c>
    </row>
    <row r="625">
      <c r="A625" s="2">
        <v>4.347944E7</v>
      </c>
      <c r="B625" s="15" t="s">
        <v>880</v>
      </c>
      <c r="C625" s="2">
        <v>3099.0</v>
      </c>
      <c r="D625" s="7" t="s">
        <v>20</v>
      </c>
      <c r="E625" s="2" t="s">
        <v>1049</v>
      </c>
      <c r="F625" s="2" t="s">
        <v>27</v>
      </c>
      <c r="G625" s="8" t="str">
        <f>IFERROR(__xludf.DUMMYFUNCTION("REGEXEXTRACT(B625, ""-([^-\s]+)$"")"),"XL")</f>
        <v>XL</v>
      </c>
      <c r="H625" s="2" t="s">
        <v>484</v>
      </c>
      <c r="I625" s="8" t="str">
        <f t="shared" si="1"/>
        <v>48 in</v>
      </c>
      <c r="J625" s="9" t="s">
        <v>1052</v>
      </c>
    </row>
    <row r="626">
      <c r="A626" s="2">
        <v>4.3479443E7</v>
      </c>
      <c r="B626" s="15" t="s">
        <v>881</v>
      </c>
      <c r="C626" s="2">
        <v>3099.0</v>
      </c>
      <c r="D626" s="7" t="s">
        <v>20</v>
      </c>
      <c r="E626" s="2" t="s">
        <v>1049</v>
      </c>
      <c r="F626" s="2" t="s">
        <v>27</v>
      </c>
      <c r="G626" s="8" t="str">
        <f>IFERROR(__xludf.DUMMYFUNCTION("REGEXEXTRACT(B626, ""-([^-\s]+)$"")"),"S")</f>
        <v>S</v>
      </c>
      <c r="H626" s="2" t="s">
        <v>484</v>
      </c>
      <c r="I626" s="8" t="str">
        <f t="shared" si="1"/>
        <v>42 in</v>
      </c>
      <c r="J626" s="9" t="s">
        <v>1053</v>
      </c>
    </row>
    <row r="627">
      <c r="A627" s="2">
        <v>4.3479443E7</v>
      </c>
      <c r="B627" s="15" t="s">
        <v>882</v>
      </c>
      <c r="C627" s="2">
        <v>3099.0</v>
      </c>
      <c r="D627" s="7" t="s">
        <v>20</v>
      </c>
      <c r="E627" s="2" t="s">
        <v>1049</v>
      </c>
      <c r="F627" s="2" t="s">
        <v>27</v>
      </c>
      <c r="G627" s="8" t="str">
        <f>IFERROR(__xludf.DUMMYFUNCTION("REGEXEXTRACT(B627, ""-([^-\s]+)$"")"),"M")</f>
        <v>M</v>
      </c>
      <c r="H627" s="2" t="s">
        <v>484</v>
      </c>
      <c r="I627" s="8" t="str">
        <f t="shared" si="1"/>
        <v>44 in</v>
      </c>
      <c r="J627" s="9" t="s">
        <v>1053</v>
      </c>
    </row>
    <row r="628">
      <c r="A628" s="2">
        <v>4.3479443E7</v>
      </c>
      <c r="B628" s="15" t="s">
        <v>883</v>
      </c>
      <c r="C628" s="2">
        <v>3099.0</v>
      </c>
      <c r="D628" s="7" t="s">
        <v>20</v>
      </c>
      <c r="E628" s="2" t="s">
        <v>1049</v>
      </c>
      <c r="F628" s="2" t="s">
        <v>27</v>
      </c>
      <c r="G628" s="8" t="str">
        <f>IFERROR(__xludf.DUMMYFUNCTION("REGEXEXTRACT(B628, ""-([^-\s]+)$"")"),"L")</f>
        <v>L</v>
      </c>
      <c r="H628" s="2" t="s">
        <v>484</v>
      </c>
      <c r="I628" s="8" t="str">
        <f t="shared" si="1"/>
        <v>46 in</v>
      </c>
      <c r="J628" s="9" t="s">
        <v>1053</v>
      </c>
    </row>
    <row r="629">
      <c r="A629" s="2">
        <v>4.3479443E7</v>
      </c>
      <c r="B629" s="15" t="s">
        <v>884</v>
      </c>
      <c r="C629" s="2">
        <v>3099.0</v>
      </c>
      <c r="D629" s="7" t="s">
        <v>20</v>
      </c>
      <c r="E629" s="2" t="s">
        <v>1049</v>
      </c>
      <c r="F629" s="2" t="s">
        <v>27</v>
      </c>
      <c r="G629" s="8" t="str">
        <f>IFERROR(__xludf.DUMMYFUNCTION("REGEXEXTRACT(B629, ""-([^-\s]+)$"")"),"XL")</f>
        <v>XL</v>
      </c>
      <c r="H629" s="2" t="s">
        <v>484</v>
      </c>
      <c r="I629" s="8" t="str">
        <f t="shared" si="1"/>
        <v>48 in</v>
      </c>
      <c r="J629" s="9" t="s">
        <v>1053</v>
      </c>
    </row>
    <row r="630">
      <c r="A630" s="2">
        <v>4.3479444E7</v>
      </c>
      <c r="B630" s="15" t="s">
        <v>885</v>
      </c>
      <c r="C630" s="2">
        <v>3099.0</v>
      </c>
      <c r="D630" s="7" t="s">
        <v>20</v>
      </c>
      <c r="E630" s="2" t="s">
        <v>1049</v>
      </c>
      <c r="F630" s="2" t="s">
        <v>27</v>
      </c>
      <c r="G630" s="8" t="str">
        <f>IFERROR(__xludf.DUMMYFUNCTION("REGEXEXTRACT(B630, ""-([^-\s]+)$"")"),"S")</f>
        <v>S</v>
      </c>
      <c r="H630" s="2" t="s">
        <v>484</v>
      </c>
      <c r="I630" s="8" t="str">
        <f t="shared" si="1"/>
        <v>42 in</v>
      </c>
      <c r="J630" s="9" t="s">
        <v>1054</v>
      </c>
    </row>
    <row r="631">
      <c r="A631" s="2">
        <v>4.3479444E7</v>
      </c>
      <c r="B631" s="15" t="s">
        <v>887</v>
      </c>
      <c r="C631" s="2">
        <v>3099.0</v>
      </c>
      <c r="D631" s="7" t="s">
        <v>20</v>
      </c>
      <c r="E631" s="2" t="s">
        <v>1049</v>
      </c>
      <c r="F631" s="2" t="s">
        <v>27</v>
      </c>
      <c r="G631" s="8" t="str">
        <f>IFERROR(__xludf.DUMMYFUNCTION("REGEXEXTRACT(B631, ""-([^-\s]+)$"")"),"M")</f>
        <v>M</v>
      </c>
      <c r="H631" s="2" t="s">
        <v>484</v>
      </c>
      <c r="I631" s="8" t="str">
        <f t="shared" si="1"/>
        <v>44 in</v>
      </c>
      <c r="J631" s="9" t="s">
        <v>1054</v>
      </c>
    </row>
    <row r="632">
      <c r="A632" s="2">
        <v>4.3479444E7</v>
      </c>
      <c r="B632" s="15" t="s">
        <v>888</v>
      </c>
      <c r="C632" s="2">
        <v>3099.0</v>
      </c>
      <c r="D632" s="7" t="s">
        <v>20</v>
      </c>
      <c r="E632" s="2" t="s">
        <v>1049</v>
      </c>
      <c r="F632" s="2" t="s">
        <v>27</v>
      </c>
      <c r="G632" s="8" t="str">
        <f>IFERROR(__xludf.DUMMYFUNCTION("REGEXEXTRACT(B632, ""-([^-\s]+)$"")"),"L")</f>
        <v>L</v>
      </c>
      <c r="H632" s="2" t="s">
        <v>484</v>
      </c>
      <c r="I632" s="8" t="str">
        <f t="shared" si="1"/>
        <v>46 in</v>
      </c>
      <c r="J632" s="9" t="s">
        <v>1054</v>
      </c>
    </row>
    <row r="633">
      <c r="A633" s="2">
        <v>4.3479444E7</v>
      </c>
      <c r="B633" s="15" t="s">
        <v>889</v>
      </c>
      <c r="C633" s="2">
        <v>3099.0</v>
      </c>
      <c r="D633" s="7" t="s">
        <v>20</v>
      </c>
      <c r="E633" s="2" t="s">
        <v>1049</v>
      </c>
      <c r="F633" s="2" t="s">
        <v>27</v>
      </c>
      <c r="G633" s="8" t="str">
        <f>IFERROR(__xludf.DUMMYFUNCTION("REGEXEXTRACT(B633, ""-([^-\s]+)$"")"),"XL")</f>
        <v>XL</v>
      </c>
      <c r="H633" s="2" t="s">
        <v>484</v>
      </c>
      <c r="I633" s="8" t="str">
        <f t="shared" si="1"/>
        <v>48 in</v>
      </c>
      <c r="J633" s="9" t="s">
        <v>1054</v>
      </c>
    </row>
    <row r="634">
      <c r="A634" s="2">
        <v>4.3479438E7</v>
      </c>
      <c r="B634" s="15" t="s">
        <v>890</v>
      </c>
      <c r="C634" s="2">
        <v>3099.0</v>
      </c>
      <c r="D634" s="7" t="s">
        <v>20</v>
      </c>
      <c r="E634" s="2" t="s">
        <v>1049</v>
      </c>
      <c r="F634" s="2" t="s">
        <v>27</v>
      </c>
      <c r="G634" s="8" t="str">
        <f>IFERROR(__xludf.DUMMYFUNCTION("REGEXEXTRACT(B634, ""-([^-\s]+)$"")"),"S")</f>
        <v>S</v>
      </c>
      <c r="H634" s="2" t="s">
        <v>484</v>
      </c>
      <c r="I634" s="8" t="str">
        <f t="shared" si="1"/>
        <v>42 in</v>
      </c>
      <c r="J634" s="9" t="s">
        <v>1055</v>
      </c>
    </row>
    <row r="635">
      <c r="A635" s="2">
        <v>4.3479438E7</v>
      </c>
      <c r="B635" s="15" t="s">
        <v>891</v>
      </c>
      <c r="C635" s="2">
        <v>3099.0</v>
      </c>
      <c r="D635" s="7" t="s">
        <v>20</v>
      </c>
      <c r="E635" s="2" t="s">
        <v>1049</v>
      </c>
      <c r="F635" s="2" t="s">
        <v>27</v>
      </c>
      <c r="G635" s="8" t="str">
        <f>IFERROR(__xludf.DUMMYFUNCTION("REGEXEXTRACT(B635, ""-([^-\s]+)$"")"),"M")</f>
        <v>M</v>
      </c>
      <c r="H635" s="2" t="s">
        <v>484</v>
      </c>
      <c r="I635" s="8" t="str">
        <f t="shared" si="1"/>
        <v>44 in</v>
      </c>
      <c r="J635" s="9" t="s">
        <v>1055</v>
      </c>
    </row>
    <row r="636">
      <c r="A636" s="2">
        <v>4.3479438E7</v>
      </c>
      <c r="B636" s="15" t="s">
        <v>892</v>
      </c>
      <c r="C636" s="2">
        <v>3099.0</v>
      </c>
      <c r="D636" s="7" t="s">
        <v>20</v>
      </c>
      <c r="E636" s="2" t="s">
        <v>1049</v>
      </c>
      <c r="F636" s="2" t="s">
        <v>27</v>
      </c>
      <c r="G636" s="8" t="str">
        <f>IFERROR(__xludf.DUMMYFUNCTION("REGEXEXTRACT(B636, ""-([^-\s]+)$"")"),"L")</f>
        <v>L</v>
      </c>
      <c r="H636" s="2" t="s">
        <v>484</v>
      </c>
      <c r="I636" s="8" t="str">
        <f t="shared" si="1"/>
        <v>46 in</v>
      </c>
      <c r="J636" s="9" t="s">
        <v>1055</v>
      </c>
    </row>
    <row r="637">
      <c r="A637" s="2">
        <v>4.3479438E7</v>
      </c>
      <c r="B637" s="15" t="s">
        <v>893</v>
      </c>
      <c r="C637" s="2">
        <v>3099.0</v>
      </c>
      <c r="D637" s="7" t="s">
        <v>20</v>
      </c>
      <c r="E637" s="2" t="s">
        <v>1049</v>
      </c>
      <c r="F637" s="2" t="s">
        <v>27</v>
      </c>
      <c r="G637" s="8" t="str">
        <f>IFERROR(__xludf.DUMMYFUNCTION("REGEXEXTRACT(B637, ""-([^-\s]+)$"")"),"XL")</f>
        <v>XL</v>
      </c>
      <c r="H637" s="2" t="s">
        <v>484</v>
      </c>
      <c r="I637" s="8" t="str">
        <f t="shared" si="1"/>
        <v>48 in</v>
      </c>
      <c r="J637" s="9" t="s">
        <v>1055</v>
      </c>
    </row>
    <row r="638">
      <c r="A638" s="2">
        <v>4.3479442E7</v>
      </c>
      <c r="B638" s="15" t="s">
        <v>894</v>
      </c>
      <c r="C638" s="2">
        <v>3099.0</v>
      </c>
      <c r="D638" s="7" t="s">
        <v>20</v>
      </c>
      <c r="E638" s="2" t="s">
        <v>1049</v>
      </c>
      <c r="F638" s="2" t="s">
        <v>27</v>
      </c>
      <c r="G638" s="8" t="str">
        <f>IFERROR(__xludf.DUMMYFUNCTION("REGEXEXTRACT(B638, ""-([^-\s]+)$"")"),"S")</f>
        <v>S</v>
      </c>
      <c r="H638" s="2" t="s">
        <v>484</v>
      </c>
      <c r="I638" s="8" t="str">
        <f t="shared" si="1"/>
        <v>42 in</v>
      </c>
      <c r="J638" s="9" t="s">
        <v>1056</v>
      </c>
    </row>
    <row r="639">
      <c r="A639" s="2">
        <v>4.3479442E7</v>
      </c>
      <c r="B639" s="15" t="s">
        <v>895</v>
      </c>
      <c r="C639" s="2">
        <v>3099.0</v>
      </c>
      <c r="D639" s="7" t="s">
        <v>20</v>
      </c>
      <c r="E639" s="2" t="s">
        <v>1049</v>
      </c>
      <c r="F639" s="2" t="s">
        <v>27</v>
      </c>
      <c r="G639" s="8" t="str">
        <f>IFERROR(__xludf.DUMMYFUNCTION("REGEXEXTRACT(B639, ""-([^-\s]+)$"")"),"M")</f>
        <v>M</v>
      </c>
      <c r="H639" s="2" t="s">
        <v>484</v>
      </c>
      <c r="I639" s="8" t="str">
        <f t="shared" si="1"/>
        <v>44 in</v>
      </c>
      <c r="J639" s="9" t="s">
        <v>1056</v>
      </c>
    </row>
    <row r="640">
      <c r="A640" s="2">
        <v>4.3479442E7</v>
      </c>
      <c r="B640" s="15" t="s">
        <v>896</v>
      </c>
      <c r="C640" s="2">
        <v>3099.0</v>
      </c>
      <c r="D640" s="7" t="s">
        <v>20</v>
      </c>
      <c r="E640" s="2" t="s">
        <v>1049</v>
      </c>
      <c r="F640" s="2" t="s">
        <v>27</v>
      </c>
      <c r="G640" s="8" t="str">
        <f>IFERROR(__xludf.DUMMYFUNCTION("REGEXEXTRACT(B640, ""-([^-\s]+)$"")"),"L")</f>
        <v>L</v>
      </c>
      <c r="H640" s="2" t="s">
        <v>484</v>
      </c>
      <c r="I640" s="8" t="str">
        <f t="shared" si="1"/>
        <v>46 in</v>
      </c>
      <c r="J640" s="9" t="s">
        <v>1056</v>
      </c>
    </row>
    <row r="641">
      <c r="A641" s="2">
        <v>4.3479442E7</v>
      </c>
      <c r="B641" s="15" t="s">
        <v>897</v>
      </c>
      <c r="C641" s="2">
        <v>3099.0</v>
      </c>
      <c r="D641" s="7" t="s">
        <v>20</v>
      </c>
      <c r="E641" s="2" t="s">
        <v>1049</v>
      </c>
      <c r="F641" s="2" t="s">
        <v>27</v>
      </c>
      <c r="G641" s="8" t="str">
        <f>IFERROR(__xludf.DUMMYFUNCTION("REGEXEXTRACT(B641, ""-([^-\s]+)$"")"),"XL")</f>
        <v>XL</v>
      </c>
      <c r="H641" s="2" t="s">
        <v>484</v>
      </c>
      <c r="I641" s="8" t="str">
        <f t="shared" si="1"/>
        <v>48 in</v>
      </c>
      <c r="J641" s="9" t="s">
        <v>1056</v>
      </c>
    </row>
    <row r="642">
      <c r="A642" s="2">
        <v>4.4159396E7</v>
      </c>
      <c r="B642" s="14" t="s">
        <v>224</v>
      </c>
      <c r="C642" s="2">
        <v>2199.0</v>
      </c>
      <c r="D642" s="7" t="s">
        <v>20</v>
      </c>
      <c r="E642" s="1" t="s">
        <v>24</v>
      </c>
      <c r="F642" s="2" t="s">
        <v>27</v>
      </c>
      <c r="G642" s="8" t="str">
        <f>IFERROR(__xludf.DUMMYFUNCTION("REGEXEXTRACT(B642, ""-([^-\s]+)$"")"),"S")</f>
        <v>S</v>
      </c>
      <c r="H642" s="2" t="s">
        <v>710</v>
      </c>
      <c r="I642" s="8" t="str">
        <f t="shared" si="1"/>
        <v>42 in</v>
      </c>
      <c r="J642" s="9" t="s">
        <v>1057</v>
      </c>
    </row>
    <row r="643">
      <c r="A643" s="2">
        <v>4.4159396E7</v>
      </c>
      <c r="B643" s="15" t="s">
        <v>225</v>
      </c>
      <c r="C643" s="2">
        <v>2199.0</v>
      </c>
      <c r="D643" s="7" t="s">
        <v>20</v>
      </c>
      <c r="E643" s="1" t="s">
        <v>24</v>
      </c>
      <c r="F643" s="2" t="s">
        <v>27</v>
      </c>
      <c r="G643" s="8" t="str">
        <f>IFERROR(__xludf.DUMMYFUNCTION("REGEXEXTRACT(B643, ""-([^-\s]+)$"")"),"M")</f>
        <v>M</v>
      </c>
      <c r="H643" s="2" t="s">
        <v>710</v>
      </c>
      <c r="I643" s="8" t="str">
        <f t="shared" si="1"/>
        <v>44 in</v>
      </c>
      <c r="J643" s="9" t="s">
        <v>1057</v>
      </c>
    </row>
    <row r="644">
      <c r="A644" s="2">
        <v>4.4159396E7</v>
      </c>
      <c r="B644" s="15" t="s">
        <v>227</v>
      </c>
      <c r="C644" s="2">
        <v>2199.0</v>
      </c>
      <c r="D644" s="7" t="s">
        <v>20</v>
      </c>
      <c r="E644" s="1" t="s">
        <v>24</v>
      </c>
      <c r="F644" s="2" t="s">
        <v>27</v>
      </c>
      <c r="G644" s="8" t="str">
        <f>IFERROR(__xludf.DUMMYFUNCTION("REGEXEXTRACT(B644, ""-([^-\s]+)$"")"),"L")</f>
        <v>L</v>
      </c>
      <c r="H644" s="2" t="s">
        <v>710</v>
      </c>
      <c r="I644" s="8" t="str">
        <f t="shared" si="1"/>
        <v>46 in</v>
      </c>
      <c r="J644" s="9" t="s">
        <v>1057</v>
      </c>
    </row>
    <row r="645">
      <c r="A645" s="2">
        <v>4.4159396E7</v>
      </c>
      <c r="B645" s="15" t="s">
        <v>229</v>
      </c>
      <c r="C645" s="2">
        <v>2199.0</v>
      </c>
      <c r="D645" s="7" t="s">
        <v>20</v>
      </c>
      <c r="E645" s="1" t="s">
        <v>24</v>
      </c>
      <c r="F645" s="2" t="s">
        <v>27</v>
      </c>
      <c r="G645" s="8" t="str">
        <f>IFERROR(__xludf.DUMMYFUNCTION("REGEXEXTRACT(B645, ""-([^-\s]+)$"")"),"XL")</f>
        <v>XL</v>
      </c>
      <c r="H645" s="2" t="s">
        <v>710</v>
      </c>
      <c r="I645" s="8" t="str">
        <f t="shared" si="1"/>
        <v>48 in</v>
      </c>
      <c r="J645" s="9" t="s">
        <v>1057</v>
      </c>
    </row>
    <row r="646">
      <c r="A646" s="2">
        <v>4.4159387E7</v>
      </c>
      <c r="B646" s="15" t="s">
        <v>230</v>
      </c>
      <c r="C646" s="2">
        <v>2199.0</v>
      </c>
      <c r="D646" s="7" t="s">
        <v>20</v>
      </c>
      <c r="E646" s="1" t="s">
        <v>24</v>
      </c>
      <c r="F646" s="2" t="s">
        <v>27</v>
      </c>
      <c r="G646" s="8" t="str">
        <f>IFERROR(__xludf.DUMMYFUNCTION("REGEXEXTRACT(B646, ""-([^-\s]+)$"")"),"S")</f>
        <v>S</v>
      </c>
      <c r="H646" s="2" t="s">
        <v>985</v>
      </c>
      <c r="I646" s="8" t="str">
        <f t="shared" si="1"/>
        <v>42 in</v>
      </c>
      <c r="J646" s="9" t="s">
        <v>1058</v>
      </c>
    </row>
    <row r="647">
      <c r="A647" s="2">
        <v>4.4159387E7</v>
      </c>
      <c r="B647" s="15" t="s">
        <v>232</v>
      </c>
      <c r="C647" s="2">
        <v>2199.0</v>
      </c>
      <c r="D647" s="7" t="s">
        <v>20</v>
      </c>
      <c r="E647" s="1" t="s">
        <v>24</v>
      </c>
      <c r="F647" s="2" t="s">
        <v>27</v>
      </c>
      <c r="G647" s="8" t="str">
        <f>IFERROR(__xludf.DUMMYFUNCTION("REGEXEXTRACT(B647, ""-([^-\s]+)$"")"),"M")</f>
        <v>M</v>
      </c>
      <c r="H647" s="2" t="s">
        <v>985</v>
      </c>
      <c r="I647" s="8" t="str">
        <f t="shared" si="1"/>
        <v>44 in</v>
      </c>
      <c r="J647" s="9" t="s">
        <v>1058</v>
      </c>
    </row>
    <row r="648">
      <c r="A648" s="2">
        <v>4.4159387E7</v>
      </c>
      <c r="B648" s="15" t="s">
        <v>234</v>
      </c>
      <c r="C648" s="2">
        <v>2199.0</v>
      </c>
      <c r="D648" s="7" t="s">
        <v>20</v>
      </c>
      <c r="E648" s="1" t="s">
        <v>24</v>
      </c>
      <c r="F648" s="2" t="s">
        <v>27</v>
      </c>
      <c r="G648" s="8" t="str">
        <f>IFERROR(__xludf.DUMMYFUNCTION("REGEXEXTRACT(B648, ""-([^-\s]+)$"")"),"L")</f>
        <v>L</v>
      </c>
      <c r="H648" s="2" t="s">
        <v>985</v>
      </c>
      <c r="I648" s="8" t="str">
        <f t="shared" si="1"/>
        <v>46 in</v>
      </c>
      <c r="J648" s="9" t="s">
        <v>1058</v>
      </c>
    </row>
    <row r="649">
      <c r="A649" s="2">
        <v>4.4159387E7</v>
      </c>
      <c r="B649" s="15" t="s">
        <v>235</v>
      </c>
      <c r="C649" s="2">
        <v>2199.0</v>
      </c>
      <c r="D649" s="7" t="s">
        <v>20</v>
      </c>
      <c r="E649" s="1" t="s">
        <v>24</v>
      </c>
      <c r="F649" s="2" t="s">
        <v>27</v>
      </c>
      <c r="G649" s="8" t="str">
        <f>IFERROR(__xludf.DUMMYFUNCTION("REGEXEXTRACT(B649, ""-([^-\s]+)$"")"),"XL")</f>
        <v>XL</v>
      </c>
      <c r="H649" s="2" t="s">
        <v>985</v>
      </c>
      <c r="I649" s="8" t="str">
        <f t="shared" si="1"/>
        <v>48 in</v>
      </c>
      <c r="J649" s="9" t="s">
        <v>1058</v>
      </c>
    </row>
    <row r="650">
      <c r="A650" s="2">
        <v>4.4159388E7</v>
      </c>
      <c r="B650" s="15" t="s">
        <v>237</v>
      </c>
      <c r="C650" s="2">
        <v>2199.0</v>
      </c>
      <c r="D650" s="7" t="s">
        <v>20</v>
      </c>
      <c r="E650" s="1" t="s">
        <v>24</v>
      </c>
      <c r="F650" s="2" t="s">
        <v>27</v>
      </c>
      <c r="G650" s="8" t="str">
        <f>IFERROR(__xludf.DUMMYFUNCTION("REGEXEXTRACT(B650, ""-([^-\s]+)$"")"),"S")</f>
        <v>S</v>
      </c>
      <c r="H650" s="2" t="s">
        <v>710</v>
      </c>
      <c r="I650" s="8" t="str">
        <f t="shared" si="1"/>
        <v>42 in</v>
      </c>
      <c r="J650" s="9" t="s">
        <v>1059</v>
      </c>
    </row>
    <row r="651">
      <c r="A651" s="2">
        <v>4.4159388E7</v>
      </c>
      <c r="B651" s="15" t="s">
        <v>239</v>
      </c>
      <c r="C651" s="2">
        <v>2199.0</v>
      </c>
      <c r="D651" s="7" t="s">
        <v>20</v>
      </c>
      <c r="E651" s="1" t="s">
        <v>24</v>
      </c>
      <c r="F651" s="2" t="s">
        <v>27</v>
      </c>
      <c r="G651" s="8" t="str">
        <f>IFERROR(__xludf.DUMMYFUNCTION("REGEXEXTRACT(B651, ""-([^-\s]+)$"")"),"M")</f>
        <v>M</v>
      </c>
      <c r="H651" s="2" t="s">
        <v>710</v>
      </c>
      <c r="I651" s="8" t="str">
        <f t="shared" si="1"/>
        <v>44 in</v>
      </c>
      <c r="J651" s="9" t="s">
        <v>1059</v>
      </c>
    </row>
    <row r="652">
      <c r="A652" s="2">
        <v>4.4159388E7</v>
      </c>
      <c r="B652" s="15" t="s">
        <v>241</v>
      </c>
      <c r="C652" s="2">
        <v>2199.0</v>
      </c>
      <c r="D652" s="7" t="s">
        <v>20</v>
      </c>
      <c r="E652" s="1" t="s">
        <v>24</v>
      </c>
      <c r="F652" s="2" t="s">
        <v>27</v>
      </c>
      <c r="G652" s="8" t="str">
        <f>IFERROR(__xludf.DUMMYFUNCTION("REGEXEXTRACT(B652, ""-([^-\s]+)$"")"),"L")</f>
        <v>L</v>
      </c>
      <c r="H652" s="2" t="s">
        <v>710</v>
      </c>
      <c r="I652" s="8" t="str">
        <f t="shared" si="1"/>
        <v>46 in</v>
      </c>
      <c r="J652" s="9" t="s">
        <v>1059</v>
      </c>
    </row>
    <row r="653">
      <c r="A653" s="2">
        <v>4.4159388E7</v>
      </c>
      <c r="B653" s="15" t="s">
        <v>242</v>
      </c>
      <c r="C653" s="2">
        <v>2199.0</v>
      </c>
      <c r="D653" s="7" t="s">
        <v>20</v>
      </c>
      <c r="E653" s="1" t="s">
        <v>24</v>
      </c>
      <c r="F653" s="2" t="s">
        <v>27</v>
      </c>
      <c r="G653" s="8" t="str">
        <f>IFERROR(__xludf.DUMMYFUNCTION("REGEXEXTRACT(B653, ""-([^-\s]+)$"")"),"XL")</f>
        <v>XL</v>
      </c>
      <c r="H653" s="2" t="s">
        <v>710</v>
      </c>
      <c r="I653" s="8" t="str">
        <f t="shared" si="1"/>
        <v>48 in</v>
      </c>
      <c r="J653" s="9" t="s">
        <v>1059</v>
      </c>
    </row>
    <row r="654">
      <c r="A654" s="2">
        <v>4.4159386E7</v>
      </c>
      <c r="B654" s="15" t="s">
        <v>244</v>
      </c>
      <c r="C654" s="2">
        <v>2199.0</v>
      </c>
      <c r="D654" s="7" t="s">
        <v>20</v>
      </c>
      <c r="E654" s="1" t="s">
        <v>24</v>
      </c>
      <c r="F654" s="2" t="s">
        <v>27</v>
      </c>
      <c r="G654" s="8" t="str">
        <f>IFERROR(__xludf.DUMMYFUNCTION("REGEXEXTRACT(B654, ""-([^-\s]+)$"")"),"S")</f>
        <v>S</v>
      </c>
      <c r="H654" s="2" t="s">
        <v>710</v>
      </c>
      <c r="I654" s="8" t="str">
        <f t="shared" si="1"/>
        <v>42 in</v>
      </c>
      <c r="J654" s="9" t="s">
        <v>1060</v>
      </c>
    </row>
    <row r="655">
      <c r="A655" s="2">
        <v>4.4159386E7</v>
      </c>
      <c r="B655" s="15" t="s">
        <v>246</v>
      </c>
      <c r="C655" s="2">
        <v>2199.0</v>
      </c>
      <c r="D655" s="7" t="s">
        <v>20</v>
      </c>
      <c r="E655" s="1" t="s">
        <v>24</v>
      </c>
      <c r="F655" s="2" t="s">
        <v>27</v>
      </c>
      <c r="G655" s="8" t="str">
        <f>IFERROR(__xludf.DUMMYFUNCTION("REGEXEXTRACT(B655, ""-([^-\s]+)$"")"),"M")</f>
        <v>M</v>
      </c>
      <c r="H655" s="2" t="s">
        <v>710</v>
      </c>
      <c r="I655" s="8" t="str">
        <f t="shared" si="1"/>
        <v>44 in</v>
      </c>
      <c r="J655" s="9" t="s">
        <v>1060</v>
      </c>
    </row>
    <row r="656">
      <c r="A656" s="2">
        <v>4.4159386E7</v>
      </c>
      <c r="B656" s="15" t="s">
        <v>248</v>
      </c>
      <c r="C656" s="2">
        <v>2199.0</v>
      </c>
      <c r="D656" s="7" t="s">
        <v>20</v>
      </c>
      <c r="E656" s="1" t="s">
        <v>24</v>
      </c>
      <c r="F656" s="2" t="s">
        <v>27</v>
      </c>
      <c r="G656" s="8" t="str">
        <f>IFERROR(__xludf.DUMMYFUNCTION("REGEXEXTRACT(B656, ""-([^-\s]+)$"")"),"L")</f>
        <v>L</v>
      </c>
      <c r="H656" s="2" t="s">
        <v>710</v>
      </c>
      <c r="I656" s="8" t="str">
        <f t="shared" si="1"/>
        <v>46 in</v>
      </c>
      <c r="J656" s="9" t="s">
        <v>1060</v>
      </c>
    </row>
    <row r="657">
      <c r="A657" s="2">
        <v>4.4159386E7</v>
      </c>
      <c r="B657" s="15" t="s">
        <v>249</v>
      </c>
      <c r="C657" s="2">
        <v>2199.0</v>
      </c>
      <c r="D657" s="7" t="s">
        <v>20</v>
      </c>
      <c r="E657" s="1" t="s">
        <v>24</v>
      </c>
      <c r="F657" s="2" t="s">
        <v>27</v>
      </c>
      <c r="G657" s="8" t="str">
        <f>IFERROR(__xludf.DUMMYFUNCTION("REGEXEXTRACT(B657, ""-([^-\s]+)$"")"),"XL")</f>
        <v>XL</v>
      </c>
      <c r="H657" s="2" t="s">
        <v>710</v>
      </c>
      <c r="I657" s="8" t="str">
        <f t="shared" si="1"/>
        <v>48 in</v>
      </c>
      <c r="J657" s="9" t="s">
        <v>1060</v>
      </c>
    </row>
    <row r="658">
      <c r="A658" s="2">
        <v>4.4159398E7</v>
      </c>
      <c r="B658" s="15" t="s">
        <v>251</v>
      </c>
      <c r="C658" s="2">
        <v>2199.0</v>
      </c>
      <c r="D658" s="7" t="s">
        <v>20</v>
      </c>
      <c r="E658" s="1" t="s">
        <v>24</v>
      </c>
      <c r="F658" s="2" t="s">
        <v>27</v>
      </c>
      <c r="G658" s="8" t="str">
        <f>IFERROR(__xludf.DUMMYFUNCTION("REGEXEXTRACT(B658, ""-([^-\s]+)$"")"),"S")</f>
        <v>S</v>
      </c>
      <c r="H658" s="2" t="s">
        <v>710</v>
      </c>
      <c r="I658" s="8" t="str">
        <f t="shared" si="1"/>
        <v>42 in</v>
      </c>
      <c r="J658" s="9" t="s">
        <v>1061</v>
      </c>
    </row>
    <row r="659">
      <c r="A659" s="2">
        <v>4.4159398E7</v>
      </c>
      <c r="B659" s="15" t="s">
        <v>253</v>
      </c>
      <c r="C659" s="2">
        <v>2199.0</v>
      </c>
      <c r="D659" s="7" t="s">
        <v>20</v>
      </c>
      <c r="E659" s="1" t="s">
        <v>24</v>
      </c>
      <c r="F659" s="2" t="s">
        <v>27</v>
      </c>
      <c r="G659" s="8" t="str">
        <f>IFERROR(__xludf.DUMMYFUNCTION("REGEXEXTRACT(B659, ""-([^-\s]+)$"")"),"M")</f>
        <v>M</v>
      </c>
      <c r="H659" s="2" t="s">
        <v>710</v>
      </c>
      <c r="I659" s="8" t="str">
        <f t="shared" si="1"/>
        <v>44 in</v>
      </c>
      <c r="J659" s="9" t="s">
        <v>1061</v>
      </c>
    </row>
    <row r="660">
      <c r="A660" s="2">
        <v>4.4159398E7</v>
      </c>
      <c r="B660" s="15" t="s">
        <v>255</v>
      </c>
      <c r="C660" s="2">
        <v>2199.0</v>
      </c>
      <c r="D660" s="7" t="s">
        <v>20</v>
      </c>
      <c r="E660" s="1" t="s">
        <v>24</v>
      </c>
      <c r="F660" s="2" t="s">
        <v>27</v>
      </c>
      <c r="G660" s="8" t="str">
        <f>IFERROR(__xludf.DUMMYFUNCTION("REGEXEXTRACT(B660, ""-([^-\s]+)$"")"),"L")</f>
        <v>L</v>
      </c>
      <c r="H660" s="2" t="s">
        <v>710</v>
      </c>
      <c r="I660" s="8" t="str">
        <f t="shared" si="1"/>
        <v>46 in</v>
      </c>
      <c r="J660" s="9" t="s">
        <v>1061</v>
      </c>
    </row>
    <row r="661">
      <c r="A661" s="2">
        <v>4.4159398E7</v>
      </c>
      <c r="B661" s="15" t="s">
        <v>256</v>
      </c>
      <c r="C661" s="2">
        <v>2199.0</v>
      </c>
      <c r="D661" s="7" t="s">
        <v>20</v>
      </c>
      <c r="E661" s="1" t="s">
        <v>24</v>
      </c>
      <c r="F661" s="2" t="s">
        <v>27</v>
      </c>
      <c r="G661" s="8" t="str">
        <f>IFERROR(__xludf.DUMMYFUNCTION("REGEXEXTRACT(B661, ""-([^-\s]+)$"")"),"XL")</f>
        <v>XL</v>
      </c>
      <c r="H661" s="2" t="s">
        <v>710</v>
      </c>
      <c r="I661" s="8" t="str">
        <f t="shared" si="1"/>
        <v>48 in</v>
      </c>
      <c r="J661" s="9" t="s">
        <v>1061</v>
      </c>
    </row>
    <row r="662">
      <c r="A662" s="2">
        <v>4.4159406E7</v>
      </c>
      <c r="B662" s="15" t="s">
        <v>257</v>
      </c>
      <c r="C662" s="2">
        <v>2199.0</v>
      </c>
      <c r="D662" s="7" t="s">
        <v>20</v>
      </c>
      <c r="E662" s="1" t="s">
        <v>24</v>
      </c>
      <c r="F662" s="2" t="s">
        <v>27</v>
      </c>
      <c r="G662" s="8" t="str">
        <f>IFERROR(__xludf.DUMMYFUNCTION("REGEXEXTRACT(B662, ""-([^-\s]+)$"")"),"S")</f>
        <v>S</v>
      </c>
      <c r="H662" s="2" t="s">
        <v>985</v>
      </c>
      <c r="I662" s="8" t="str">
        <f t="shared" si="1"/>
        <v>42 in</v>
      </c>
      <c r="J662" s="9" t="s">
        <v>1062</v>
      </c>
    </row>
    <row r="663">
      <c r="A663" s="2">
        <v>4.4159406E7</v>
      </c>
      <c r="B663" s="15" t="s">
        <v>259</v>
      </c>
      <c r="C663" s="2">
        <v>2199.0</v>
      </c>
      <c r="D663" s="7" t="s">
        <v>20</v>
      </c>
      <c r="E663" s="1" t="s">
        <v>24</v>
      </c>
      <c r="F663" s="2" t="s">
        <v>27</v>
      </c>
      <c r="G663" s="8" t="str">
        <f>IFERROR(__xludf.DUMMYFUNCTION("REGEXEXTRACT(B663, ""-([^-\s]+)$"")"),"M")</f>
        <v>M</v>
      </c>
      <c r="H663" s="2" t="s">
        <v>985</v>
      </c>
      <c r="I663" s="8" t="str">
        <f t="shared" si="1"/>
        <v>44 in</v>
      </c>
      <c r="J663" s="9" t="s">
        <v>1062</v>
      </c>
    </row>
    <row r="664">
      <c r="A664" s="2">
        <v>4.4159406E7</v>
      </c>
      <c r="B664" s="15" t="s">
        <v>260</v>
      </c>
      <c r="C664" s="2">
        <v>2199.0</v>
      </c>
      <c r="D664" s="7" t="s">
        <v>20</v>
      </c>
      <c r="E664" s="1" t="s">
        <v>24</v>
      </c>
      <c r="F664" s="2" t="s">
        <v>27</v>
      </c>
      <c r="G664" s="8" t="str">
        <f>IFERROR(__xludf.DUMMYFUNCTION("REGEXEXTRACT(B664, ""-([^-\s]+)$"")"),"L")</f>
        <v>L</v>
      </c>
      <c r="H664" s="2" t="s">
        <v>985</v>
      </c>
      <c r="I664" s="8" t="str">
        <f t="shared" si="1"/>
        <v>46 in</v>
      </c>
      <c r="J664" s="9" t="s">
        <v>1062</v>
      </c>
    </row>
    <row r="665">
      <c r="A665" s="2">
        <v>4.4159406E7</v>
      </c>
      <c r="B665" s="15" t="s">
        <v>262</v>
      </c>
      <c r="C665" s="2">
        <v>2199.0</v>
      </c>
      <c r="D665" s="7" t="s">
        <v>20</v>
      </c>
      <c r="E665" s="1" t="s">
        <v>24</v>
      </c>
      <c r="F665" s="2" t="s">
        <v>27</v>
      </c>
      <c r="G665" s="8" t="str">
        <f>IFERROR(__xludf.DUMMYFUNCTION("REGEXEXTRACT(B665, ""-([^-\s]+)$"")"),"XL")</f>
        <v>XL</v>
      </c>
      <c r="H665" s="2" t="s">
        <v>985</v>
      </c>
      <c r="I665" s="8" t="str">
        <f t="shared" si="1"/>
        <v>48 in</v>
      </c>
      <c r="J665" s="9" t="s">
        <v>1062</v>
      </c>
    </row>
    <row r="666">
      <c r="A666" s="2">
        <v>4.4159397E7</v>
      </c>
      <c r="B666" s="15" t="s">
        <v>263</v>
      </c>
      <c r="C666" s="2">
        <v>2199.0</v>
      </c>
      <c r="D666" s="7" t="s">
        <v>20</v>
      </c>
      <c r="E666" s="1" t="s">
        <v>24</v>
      </c>
      <c r="F666" s="2" t="s">
        <v>27</v>
      </c>
      <c r="G666" s="8" t="str">
        <f>IFERROR(__xludf.DUMMYFUNCTION("REGEXEXTRACT(B666, ""-([^-\s]+)$"")"),"S")</f>
        <v>S</v>
      </c>
      <c r="H666" s="2" t="s">
        <v>189</v>
      </c>
      <c r="I666" s="8" t="str">
        <f t="shared" si="1"/>
        <v>42 in</v>
      </c>
      <c r="J666" s="9" t="s">
        <v>1063</v>
      </c>
    </row>
    <row r="667">
      <c r="A667" s="2">
        <v>4.4159397E7</v>
      </c>
      <c r="B667" s="15" t="s">
        <v>265</v>
      </c>
      <c r="C667" s="2">
        <v>2199.0</v>
      </c>
      <c r="D667" s="7" t="s">
        <v>20</v>
      </c>
      <c r="E667" s="1" t="s">
        <v>24</v>
      </c>
      <c r="F667" s="2" t="s">
        <v>27</v>
      </c>
      <c r="G667" s="8" t="str">
        <f>IFERROR(__xludf.DUMMYFUNCTION("REGEXEXTRACT(B667, ""-([^-\s]+)$"")"),"M")</f>
        <v>M</v>
      </c>
      <c r="H667" s="2" t="s">
        <v>189</v>
      </c>
      <c r="I667" s="8" t="str">
        <f t="shared" si="1"/>
        <v>44 in</v>
      </c>
      <c r="J667" s="9" t="s">
        <v>1063</v>
      </c>
    </row>
    <row r="668">
      <c r="A668" s="2">
        <v>4.4159397E7</v>
      </c>
      <c r="B668" s="15" t="s">
        <v>267</v>
      </c>
      <c r="C668" s="2">
        <v>2199.0</v>
      </c>
      <c r="D668" s="7" t="s">
        <v>20</v>
      </c>
      <c r="E668" s="1" t="s">
        <v>24</v>
      </c>
      <c r="F668" s="2" t="s">
        <v>27</v>
      </c>
      <c r="G668" s="8" t="str">
        <f>IFERROR(__xludf.DUMMYFUNCTION("REGEXEXTRACT(B668, ""-([^-\s]+)$"")"),"L")</f>
        <v>L</v>
      </c>
      <c r="H668" s="2" t="s">
        <v>189</v>
      </c>
      <c r="I668" s="8" t="str">
        <f t="shared" si="1"/>
        <v>46 in</v>
      </c>
      <c r="J668" s="9" t="s">
        <v>1063</v>
      </c>
    </row>
    <row r="669">
      <c r="A669" s="2">
        <v>4.4159397E7</v>
      </c>
      <c r="B669" s="15" t="s">
        <v>268</v>
      </c>
      <c r="C669" s="2">
        <v>2199.0</v>
      </c>
      <c r="D669" s="7" t="s">
        <v>20</v>
      </c>
      <c r="E669" s="1" t="s">
        <v>24</v>
      </c>
      <c r="F669" s="2" t="s">
        <v>27</v>
      </c>
      <c r="G669" s="8" t="str">
        <f>IFERROR(__xludf.DUMMYFUNCTION("REGEXEXTRACT(B669, ""-([^-\s]+)$"")"),"XL")</f>
        <v>XL</v>
      </c>
      <c r="H669" s="2" t="s">
        <v>189</v>
      </c>
      <c r="I669" s="8" t="str">
        <f t="shared" si="1"/>
        <v>48 in</v>
      </c>
      <c r="J669" s="9" t="s">
        <v>1063</v>
      </c>
    </row>
    <row r="670">
      <c r="A670" s="2">
        <v>4.4159407E7</v>
      </c>
      <c r="B670" s="15" t="s">
        <v>270</v>
      </c>
      <c r="C670" s="2">
        <v>2199.0</v>
      </c>
      <c r="D670" s="7" t="s">
        <v>20</v>
      </c>
      <c r="E670" s="1" t="s">
        <v>24</v>
      </c>
      <c r="F670" s="2" t="s">
        <v>27</v>
      </c>
      <c r="G670" s="8" t="str">
        <f>IFERROR(__xludf.DUMMYFUNCTION("REGEXEXTRACT(B670, ""-([^-\s]+)$"")"),"S")</f>
        <v>S</v>
      </c>
      <c r="H670" s="2" t="s">
        <v>710</v>
      </c>
      <c r="I670" s="8" t="str">
        <f t="shared" si="1"/>
        <v>42 in</v>
      </c>
      <c r="J670" s="9" t="s">
        <v>1064</v>
      </c>
    </row>
    <row r="671">
      <c r="A671" s="2">
        <v>4.4159407E7</v>
      </c>
      <c r="B671" s="15" t="s">
        <v>272</v>
      </c>
      <c r="C671" s="2">
        <v>2199.0</v>
      </c>
      <c r="D671" s="7" t="s">
        <v>20</v>
      </c>
      <c r="E671" s="1" t="s">
        <v>24</v>
      </c>
      <c r="F671" s="2" t="s">
        <v>27</v>
      </c>
      <c r="G671" s="8" t="str">
        <f>IFERROR(__xludf.DUMMYFUNCTION("REGEXEXTRACT(B671, ""-([^-\s]+)$"")"),"M")</f>
        <v>M</v>
      </c>
      <c r="H671" s="2" t="s">
        <v>710</v>
      </c>
      <c r="I671" s="8" t="str">
        <f t="shared" si="1"/>
        <v>44 in</v>
      </c>
      <c r="J671" s="9" t="s">
        <v>1064</v>
      </c>
    </row>
    <row r="672">
      <c r="A672" s="2">
        <v>4.4159407E7</v>
      </c>
      <c r="B672" s="15" t="s">
        <v>274</v>
      </c>
      <c r="C672" s="2">
        <v>2199.0</v>
      </c>
      <c r="D672" s="7" t="s">
        <v>20</v>
      </c>
      <c r="E672" s="1" t="s">
        <v>24</v>
      </c>
      <c r="F672" s="2" t="s">
        <v>27</v>
      </c>
      <c r="G672" s="8" t="str">
        <f>IFERROR(__xludf.DUMMYFUNCTION("REGEXEXTRACT(B672, ""-([^-\s]+)$"")"),"L")</f>
        <v>L</v>
      </c>
      <c r="H672" s="2" t="s">
        <v>710</v>
      </c>
      <c r="I672" s="8" t="str">
        <f t="shared" si="1"/>
        <v>46 in</v>
      </c>
      <c r="J672" s="9" t="s">
        <v>1064</v>
      </c>
    </row>
    <row r="673">
      <c r="A673" s="2">
        <v>4.4159407E7</v>
      </c>
      <c r="B673" s="15" t="s">
        <v>276</v>
      </c>
      <c r="C673" s="2">
        <v>2199.0</v>
      </c>
      <c r="D673" s="7" t="s">
        <v>20</v>
      </c>
      <c r="E673" s="1" t="s">
        <v>24</v>
      </c>
      <c r="F673" s="2" t="s">
        <v>27</v>
      </c>
      <c r="G673" s="8" t="str">
        <f>IFERROR(__xludf.DUMMYFUNCTION("REGEXEXTRACT(B673, ""-([^-\s]+)$"")"),"XL")</f>
        <v>XL</v>
      </c>
      <c r="H673" s="2" t="s">
        <v>710</v>
      </c>
      <c r="I673" s="8" t="str">
        <f t="shared" si="1"/>
        <v>48 in</v>
      </c>
      <c r="J673" s="9" t="s">
        <v>1064</v>
      </c>
    </row>
    <row r="674">
      <c r="A674" s="2">
        <v>4.41594E7</v>
      </c>
      <c r="B674" s="15" t="s">
        <v>279</v>
      </c>
      <c r="C674" s="2">
        <v>2199.0</v>
      </c>
      <c r="D674" s="7" t="s">
        <v>20</v>
      </c>
      <c r="E674" s="1" t="s">
        <v>24</v>
      </c>
      <c r="F674" s="2" t="s">
        <v>27</v>
      </c>
      <c r="G674" s="8" t="str">
        <f>IFERROR(__xludf.DUMMYFUNCTION("REGEXEXTRACT(B674, ""-([^-\s]+)$"")"),"S")</f>
        <v>S</v>
      </c>
      <c r="H674" s="2" t="s">
        <v>710</v>
      </c>
      <c r="I674" s="8" t="str">
        <f t="shared" si="1"/>
        <v>42 in</v>
      </c>
      <c r="J674" s="9" t="s">
        <v>1065</v>
      </c>
    </row>
    <row r="675">
      <c r="A675" s="2">
        <v>4.41594E7</v>
      </c>
      <c r="B675" s="15" t="s">
        <v>281</v>
      </c>
      <c r="C675" s="2">
        <v>2199.0</v>
      </c>
      <c r="D675" s="7" t="s">
        <v>20</v>
      </c>
      <c r="E675" s="1" t="s">
        <v>24</v>
      </c>
      <c r="F675" s="2" t="s">
        <v>27</v>
      </c>
      <c r="G675" s="8" t="str">
        <f>IFERROR(__xludf.DUMMYFUNCTION("REGEXEXTRACT(B675, ""-([^-\s]+)$"")"),"M")</f>
        <v>M</v>
      </c>
      <c r="H675" s="2" t="s">
        <v>710</v>
      </c>
      <c r="I675" s="8" t="str">
        <f t="shared" si="1"/>
        <v>44 in</v>
      </c>
      <c r="J675" s="9" t="s">
        <v>1065</v>
      </c>
    </row>
    <row r="676">
      <c r="A676" s="2">
        <v>4.41594E7</v>
      </c>
      <c r="B676" s="15" t="s">
        <v>284</v>
      </c>
      <c r="C676" s="2">
        <v>2199.0</v>
      </c>
      <c r="D676" s="7" t="s">
        <v>20</v>
      </c>
      <c r="E676" s="1" t="s">
        <v>24</v>
      </c>
      <c r="F676" s="2" t="s">
        <v>27</v>
      </c>
      <c r="G676" s="8" t="str">
        <f>IFERROR(__xludf.DUMMYFUNCTION("REGEXEXTRACT(B676, ""-([^-\s]+)$"")"),"L")</f>
        <v>L</v>
      </c>
      <c r="H676" s="2" t="s">
        <v>710</v>
      </c>
      <c r="I676" s="8" t="str">
        <f t="shared" si="1"/>
        <v>46 in</v>
      </c>
      <c r="J676" s="9" t="s">
        <v>1065</v>
      </c>
    </row>
    <row r="677">
      <c r="A677" s="2">
        <v>4.41594E7</v>
      </c>
      <c r="B677" s="15" t="s">
        <v>286</v>
      </c>
      <c r="C677" s="2">
        <v>2199.0</v>
      </c>
      <c r="D677" s="7" t="s">
        <v>20</v>
      </c>
      <c r="E677" s="1" t="s">
        <v>24</v>
      </c>
      <c r="F677" s="2" t="s">
        <v>27</v>
      </c>
      <c r="G677" s="8" t="str">
        <f>IFERROR(__xludf.DUMMYFUNCTION("REGEXEXTRACT(B677, ""-([^-\s]+)$"")"),"XL")</f>
        <v>XL</v>
      </c>
      <c r="H677" s="2" t="s">
        <v>710</v>
      </c>
      <c r="I677" s="8" t="str">
        <f t="shared" si="1"/>
        <v>48 in</v>
      </c>
      <c r="J677" s="9" t="s">
        <v>1065</v>
      </c>
    </row>
    <row r="678">
      <c r="A678" s="2">
        <v>4.4159392E7</v>
      </c>
      <c r="B678" s="15" t="s">
        <v>287</v>
      </c>
      <c r="C678" s="2">
        <v>2199.0</v>
      </c>
      <c r="D678" s="7" t="s">
        <v>20</v>
      </c>
      <c r="E678" s="1" t="s">
        <v>24</v>
      </c>
      <c r="F678" s="2" t="s">
        <v>27</v>
      </c>
      <c r="G678" s="8" t="str">
        <f>IFERROR(__xludf.DUMMYFUNCTION("REGEXEXTRACT(B678, ""-([^-\s]+)$"")"),"S")</f>
        <v>S</v>
      </c>
      <c r="H678" s="2" t="s">
        <v>278</v>
      </c>
      <c r="I678" s="8" t="str">
        <f t="shared" si="1"/>
        <v>42 in</v>
      </c>
      <c r="J678" s="9" t="s">
        <v>1066</v>
      </c>
    </row>
    <row r="679">
      <c r="A679" s="2">
        <v>4.4159392E7</v>
      </c>
      <c r="B679" s="15" t="s">
        <v>288</v>
      </c>
      <c r="C679" s="2">
        <v>2199.0</v>
      </c>
      <c r="D679" s="7" t="s">
        <v>20</v>
      </c>
      <c r="E679" s="1" t="s">
        <v>24</v>
      </c>
      <c r="F679" s="2" t="s">
        <v>27</v>
      </c>
      <c r="G679" s="8" t="str">
        <f>IFERROR(__xludf.DUMMYFUNCTION("REGEXEXTRACT(B679, ""-([^-\s]+)$"")"),"M")</f>
        <v>M</v>
      </c>
      <c r="H679" s="2" t="s">
        <v>278</v>
      </c>
      <c r="I679" s="8" t="str">
        <f t="shared" si="1"/>
        <v>44 in</v>
      </c>
      <c r="J679" s="9" t="s">
        <v>1066</v>
      </c>
    </row>
    <row r="680">
      <c r="A680" s="2">
        <v>4.4159392E7</v>
      </c>
      <c r="B680" s="15" t="s">
        <v>289</v>
      </c>
      <c r="C680" s="2">
        <v>2199.0</v>
      </c>
      <c r="D680" s="7" t="s">
        <v>20</v>
      </c>
      <c r="E680" s="1" t="s">
        <v>24</v>
      </c>
      <c r="F680" s="2" t="s">
        <v>27</v>
      </c>
      <c r="G680" s="8" t="str">
        <f>IFERROR(__xludf.DUMMYFUNCTION("REGEXEXTRACT(B680, ""-([^-\s]+)$"")"),"L")</f>
        <v>L</v>
      </c>
      <c r="H680" s="2" t="s">
        <v>278</v>
      </c>
      <c r="I680" s="8" t="str">
        <f t="shared" si="1"/>
        <v>46 in</v>
      </c>
      <c r="J680" s="9" t="s">
        <v>1066</v>
      </c>
    </row>
    <row r="681">
      <c r="A681" s="2">
        <v>4.4159392E7</v>
      </c>
      <c r="B681" s="15" t="s">
        <v>290</v>
      </c>
      <c r="C681" s="2">
        <v>2199.0</v>
      </c>
      <c r="D681" s="7" t="s">
        <v>20</v>
      </c>
      <c r="E681" s="1" t="s">
        <v>24</v>
      </c>
      <c r="F681" s="2" t="s">
        <v>27</v>
      </c>
      <c r="G681" s="8" t="str">
        <f>IFERROR(__xludf.DUMMYFUNCTION("REGEXEXTRACT(B681, ""-([^-\s]+)$"")"),"XL")</f>
        <v>XL</v>
      </c>
      <c r="H681" s="2" t="s">
        <v>278</v>
      </c>
      <c r="I681" s="8" t="str">
        <f t="shared" si="1"/>
        <v>48 in</v>
      </c>
      <c r="J681" s="9" t="s">
        <v>1066</v>
      </c>
    </row>
    <row r="682">
      <c r="A682" s="2">
        <v>4.4159393E7</v>
      </c>
      <c r="B682" s="15" t="s">
        <v>291</v>
      </c>
      <c r="C682" s="2">
        <v>2199.0</v>
      </c>
      <c r="D682" s="7" t="s">
        <v>20</v>
      </c>
      <c r="E682" s="1" t="s">
        <v>24</v>
      </c>
      <c r="F682" s="2" t="s">
        <v>27</v>
      </c>
      <c r="G682" s="8" t="str">
        <f>IFERROR(__xludf.DUMMYFUNCTION("REGEXEXTRACT(B682, ""-([^-\s]+)$"")"),"S")</f>
        <v>S</v>
      </c>
      <c r="H682" s="2" t="s">
        <v>484</v>
      </c>
      <c r="I682" s="8" t="str">
        <f t="shared" si="1"/>
        <v>42 in</v>
      </c>
      <c r="J682" s="9" t="s">
        <v>1067</v>
      </c>
    </row>
    <row r="683">
      <c r="A683" s="2">
        <v>4.4159393E7</v>
      </c>
      <c r="B683" s="15" t="s">
        <v>293</v>
      </c>
      <c r="C683" s="2">
        <v>2199.0</v>
      </c>
      <c r="D683" s="7" t="s">
        <v>20</v>
      </c>
      <c r="E683" s="1" t="s">
        <v>24</v>
      </c>
      <c r="F683" s="2" t="s">
        <v>27</v>
      </c>
      <c r="G683" s="8" t="str">
        <f>IFERROR(__xludf.DUMMYFUNCTION("REGEXEXTRACT(B683, ""-([^-\s]+)$"")"),"M")</f>
        <v>M</v>
      </c>
      <c r="H683" s="2" t="s">
        <v>484</v>
      </c>
      <c r="I683" s="8" t="str">
        <f t="shared" si="1"/>
        <v>44 in</v>
      </c>
      <c r="J683" s="9" t="s">
        <v>1067</v>
      </c>
    </row>
    <row r="684">
      <c r="A684" s="2">
        <v>4.4159393E7</v>
      </c>
      <c r="B684" s="15" t="s">
        <v>295</v>
      </c>
      <c r="C684" s="2">
        <v>2199.0</v>
      </c>
      <c r="D684" s="7" t="s">
        <v>20</v>
      </c>
      <c r="E684" s="1" t="s">
        <v>24</v>
      </c>
      <c r="F684" s="2" t="s">
        <v>27</v>
      </c>
      <c r="G684" s="8" t="str">
        <f>IFERROR(__xludf.DUMMYFUNCTION("REGEXEXTRACT(B684, ""-([^-\s]+)$"")"),"L")</f>
        <v>L</v>
      </c>
      <c r="H684" s="2" t="s">
        <v>484</v>
      </c>
      <c r="I684" s="8" t="str">
        <f t="shared" si="1"/>
        <v>46 in</v>
      </c>
      <c r="J684" s="9" t="s">
        <v>1067</v>
      </c>
    </row>
    <row r="685">
      <c r="A685" s="2">
        <v>4.4159393E7</v>
      </c>
      <c r="B685" s="15" t="s">
        <v>297</v>
      </c>
      <c r="C685" s="2">
        <v>2199.0</v>
      </c>
      <c r="D685" s="7" t="s">
        <v>20</v>
      </c>
      <c r="E685" s="1" t="s">
        <v>24</v>
      </c>
      <c r="F685" s="2" t="s">
        <v>27</v>
      </c>
      <c r="G685" s="8" t="str">
        <f>IFERROR(__xludf.DUMMYFUNCTION("REGEXEXTRACT(B685, ""-([^-\s]+)$"")"),"XL")</f>
        <v>XL</v>
      </c>
      <c r="H685" s="2" t="s">
        <v>484</v>
      </c>
      <c r="I685" s="8" t="str">
        <f t="shared" si="1"/>
        <v>48 in</v>
      </c>
      <c r="J685" s="9" t="s">
        <v>1067</v>
      </c>
    </row>
    <row r="686">
      <c r="A686" s="2">
        <v>4.4159405E7</v>
      </c>
      <c r="B686" s="15" t="s">
        <v>299</v>
      </c>
      <c r="C686" s="2">
        <v>2199.0</v>
      </c>
      <c r="D686" s="7" t="s">
        <v>20</v>
      </c>
      <c r="E686" s="1" t="s">
        <v>24</v>
      </c>
      <c r="F686" s="2" t="s">
        <v>27</v>
      </c>
      <c r="G686" s="8" t="str">
        <f>IFERROR(__xludf.DUMMYFUNCTION("REGEXEXTRACT(B686, ""-([^-\s]+)$"")"),"S")</f>
        <v>S</v>
      </c>
      <c r="H686" s="2" t="s">
        <v>710</v>
      </c>
      <c r="I686" s="8" t="str">
        <f t="shared" si="1"/>
        <v>42 in</v>
      </c>
      <c r="J686" s="9" t="s">
        <v>1068</v>
      </c>
    </row>
    <row r="687">
      <c r="A687" s="2">
        <v>4.4159405E7</v>
      </c>
      <c r="B687" s="15" t="s">
        <v>301</v>
      </c>
      <c r="C687" s="2">
        <v>2199.0</v>
      </c>
      <c r="D687" s="7" t="s">
        <v>20</v>
      </c>
      <c r="E687" s="1" t="s">
        <v>24</v>
      </c>
      <c r="F687" s="2" t="s">
        <v>27</v>
      </c>
      <c r="G687" s="8" t="str">
        <f>IFERROR(__xludf.DUMMYFUNCTION("REGEXEXTRACT(B687, ""-([^-\s]+)$"")"),"M")</f>
        <v>M</v>
      </c>
      <c r="H687" s="2" t="s">
        <v>710</v>
      </c>
      <c r="I687" s="8" t="str">
        <f t="shared" si="1"/>
        <v>44 in</v>
      </c>
      <c r="J687" s="9" t="s">
        <v>1068</v>
      </c>
    </row>
    <row r="688">
      <c r="A688" s="2">
        <v>4.4159405E7</v>
      </c>
      <c r="B688" s="15" t="s">
        <v>303</v>
      </c>
      <c r="C688" s="2">
        <v>2199.0</v>
      </c>
      <c r="D688" s="7" t="s">
        <v>20</v>
      </c>
      <c r="E688" s="1" t="s">
        <v>24</v>
      </c>
      <c r="F688" s="2" t="s">
        <v>27</v>
      </c>
      <c r="G688" s="8" t="str">
        <f>IFERROR(__xludf.DUMMYFUNCTION("REGEXEXTRACT(B688, ""-([^-\s]+)$"")"),"L")</f>
        <v>L</v>
      </c>
      <c r="H688" s="2" t="s">
        <v>710</v>
      </c>
      <c r="I688" s="8" t="str">
        <f t="shared" si="1"/>
        <v>46 in</v>
      </c>
      <c r="J688" s="9" t="s">
        <v>1068</v>
      </c>
    </row>
    <row r="689">
      <c r="A689" s="2">
        <v>4.4159405E7</v>
      </c>
      <c r="B689" s="15" t="s">
        <v>305</v>
      </c>
      <c r="C689" s="2">
        <v>2199.0</v>
      </c>
      <c r="D689" s="7" t="s">
        <v>20</v>
      </c>
      <c r="E689" s="1" t="s">
        <v>24</v>
      </c>
      <c r="F689" s="2" t="s">
        <v>27</v>
      </c>
      <c r="G689" s="8" t="str">
        <f>IFERROR(__xludf.DUMMYFUNCTION("REGEXEXTRACT(B689, ""-([^-\s]+)$"")"),"XL")</f>
        <v>XL</v>
      </c>
      <c r="H689" s="2" t="s">
        <v>710</v>
      </c>
      <c r="I689" s="8" t="str">
        <f t="shared" si="1"/>
        <v>48 in</v>
      </c>
      <c r="J689" s="9" t="s">
        <v>1068</v>
      </c>
    </row>
    <row r="690">
      <c r="A690" s="2">
        <v>4.4159395E7</v>
      </c>
      <c r="B690" s="15" t="s">
        <v>307</v>
      </c>
      <c r="C690" s="2">
        <v>2199.0</v>
      </c>
      <c r="D690" s="7" t="s">
        <v>20</v>
      </c>
      <c r="E690" s="1" t="s">
        <v>24</v>
      </c>
      <c r="F690" s="2" t="s">
        <v>27</v>
      </c>
      <c r="G690" s="8" t="str">
        <f>IFERROR(__xludf.DUMMYFUNCTION("REGEXEXTRACT(B690, ""-([^-\s]+)$"")"),"S")</f>
        <v>S</v>
      </c>
      <c r="H690" s="2" t="s">
        <v>710</v>
      </c>
      <c r="I690" s="8" t="str">
        <f t="shared" si="1"/>
        <v>42 in</v>
      </c>
      <c r="J690" s="9" t="s">
        <v>1069</v>
      </c>
    </row>
    <row r="691">
      <c r="A691" s="2">
        <v>4.4159395E7</v>
      </c>
      <c r="B691" s="15" t="s">
        <v>310</v>
      </c>
      <c r="C691" s="2">
        <v>2199.0</v>
      </c>
      <c r="D691" s="7" t="s">
        <v>20</v>
      </c>
      <c r="E691" s="1" t="s">
        <v>24</v>
      </c>
      <c r="F691" s="2" t="s">
        <v>27</v>
      </c>
      <c r="G691" s="8" t="str">
        <f>IFERROR(__xludf.DUMMYFUNCTION("REGEXEXTRACT(B691, ""-([^-\s]+)$"")"),"M")</f>
        <v>M</v>
      </c>
      <c r="H691" s="2" t="s">
        <v>710</v>
      </c>
      <c r="I691" s="8" t="str">
        <f t="shared" si="1"/>
        <v>44 in</v>
      </c>
      <c r="J691" s="9" t="s">
        <v>1069</v>
      </c>
    </row>
    <row r="692">
      <c r="A692" s="2">
        <v>4.4159395E7</v>
      </c>
      <c r="B692" s="15" t="s">
        <v>313</v>
      </c>
      <c r="C692" s="2">
        <v>2199.0</v>
      </c>
      <c r="D692" s="7" t="s">
        <v>20</v>
      </c>
      <c r="E692" s="1" t="s">
        <v>24</v>
      </c>
      <c r="F692" s="2" t="s">
        <v>27</v>
      </c>
      <c r="G692" s="8" t="str">
        <f>IFERROR(__xludf.DUMMYFUNCTION("REGEXEXTRACT(B692, ""-([^-\s]+)$"")"),"L")</f>
        <v>L</v>
      </c>
      <c r="H692" s="2" t="s">
        <v>710</v>
      </c>
      <c r="I692" s="8" t="str">
        <f t="shared" si="1"/>
        <v>46 in</v>
      </c>
      <c r="J692" s="9" t="s">
        <v>1069</v>
      </c>
    </row>
    <row r="693">
      <c r="A693" s="2">
        <v>4.4159395E7</v>
      </c>
      <c r="B693" s="15" t="s">
        <v>316</v>
      </c>
      <c r="C693" s="2">
        <v>2199.0</v>
      </c>
      <c r="D693" s="7" t="s">
        <v>20</v>
      </c>
      <c r="E693" s="1" t="s">
        <v>24</v>
      </c>
      <c r="F693" s="2" t="s">
        <v>27</v>
      </c>
      <c r="G693" s="8" t="str">
        <f>IFERROR(__xludf.DUMMYFUNCTION("REGEXEXTRACT(B693, ""-([^-\s]+)$"")"),"XL")</f>
        <v>XL</v>
      </c>
      <c r="H693" s="2" t="s">
        <v>710</v>
      </c>
      <c r="I693" s="8" t="str">
        <f t="shared" si="1"/>
        <v>48 in</v>
      </c>
      <c r="J693" s="9" t="s">
        <v>1069</v>
      </c>
    </row>
    <row r="694">
      <c r="A694" s="2">
        <v>4.4159408E7</v>
      </c>
      <c r="B694" s="15" t="s">
        <v>319</v>
      </c>
      <c r="C694" s="2">
        <v>2199.0</v>
      </c>
      <c r="D694" s="7" t="s">
        <v>20</v>
      </c>
      <c r="E694" s="1" t="s">
        <v>24</v>
      </c>
      <c r="F694" s="2" t="s">
        <v>27</v>
      </c>
      <c r="G694" s="8" t="str">
        <f>IFERROR(__xludf.DUMMYFUNCTION("REGEXEXTRACT(B694, ""-([^-\s]+)$"")"),"S")</f>
        <v>S</v>
      </c>
      <c r="H694" s="2" t="s">
        <v>710</v>
      </c>
      <c r="I694" s="8" t="str">
        <f t="shared" si="1"/>
        <v>42 in</v>
      </c>
      <c r="J694" s="9" t="s">
        <v>1070</v>
      </c>
    </row>
    <row r="695">
      <c r="A695" s="2">
        <v>4.4159408E7</v>
      </c>
      <c r="B695" s="15" t="s">
        <v>320</v>
      </c>
      <c r="C695" s="2">
        <v>2199.0</v>
      </c>
      <c r="D695" s="7" t="s">
        <v>20</v>
      </c>
      <c r="E695" s="1" t="s">
        <v>24</v>
      </c>
      <c r="F695" s="2" t="s">
        <v>27</v>
      </c>
      <c r="G695" s="8" t="str">
        <f>IFERROR(__xludf.DUMMYFUNCTION("REGEXEXTRACT(B695, ""-([^-\s]+)$"")"),"M")</f>
        <v>M</v>
      </c>
      <c r="H695" s="2" t="s">
        <v>710</v>
      </c>
      <c r="I695" s="8" t="str">
        <f t="shared" si="1"/>
        <v>44 in</v>
      </c>
      <c r="J695" s="9" t="s">
        <v>1070</v>
      </c>
    </row>
    <row r="696">
      <c r="A696" s="2">
        <v>4.4159408E7</v>
      </c>
      <c r="B696" s="15" t="s">
        <v>321</v>
      </c>
      <c r="C696" s="2">
        <v>2199.0</v>
      </c>
      <c r="D696" s="7" t="s">
        <v>20</v>
      </c>
      <c r="E696" s="1" t="s">
        <v>24</v>
      </c>
      <c r="F696" s="2" t="s">
        <v>27</v>
      </c>
      <c r="G696" s="8" t="str">
        <f>IFERROR(__xludf.DUMMYFUNCTION("REGEXEXTRACT(B696, ""-([^-\s]+)$"")"),"L")</f>
        <v>L</v>
      </c>
      <c r="H696" s="2" t="s">
        <v>710</v>
      </c>
      <c r="I696" s="8" t="str">
        <f t="shared" si="1"/>
        <v>46 in</v>
      </c>
      <c r="J696" s="9" t="s">
        <v>1070</v>
      </c>
    </row>
    <row r="697">
      <c r="A697" s="2">
        <v>4.4159408E7</v>
      </c>
      <c r="B697" s="15" t="s">
        <v>322</v>
      </c>
      <c r="C697" s="2">
        <v>2199.0</v>
      </c>
      <c r="D697" s="7" t="s">
        <v>20</v>
      </c>
      <c r="E697" s="1" t="s">
        <v>24</v>
      </c>
      <c r="F697" s="2" t="s">
        <v>27</v>
      </c>
      <c r="G697" s="8" t="str">
        <f>IFERROR(__xludf.DUMMYFUNCTION("REGEXEXTRACT(B697, ""-([^-\s]+)$"")"),"XL")</f>
        <v>XL</v>
      </c>
      <c r="H697" s="2" t="s">
        <v>710</v>
      </c>
      <c r="I697" s="8" t="str">
        <f t="shared" si="1"/>
        <v>48 in</v>
      </c>
      <c r="J697" s="9" t="s">
        <v>1070</v>
      </c>
    </row>
    <row r="698">
      <c r="A698" s="2">
        <v>4.415939E7</v>
      </c>
      <c r="B698" s="15" t="s">
        <v>323</v>
      </c>
      <c r="C698" s="2">
        <v>2199.0</v>
      </c>
      <c r="D698" s="7" t="s">
        <v>20</v>
      </c>
      <c r="E698" s="1" t="s">
        <v>24</v>
      </c>
      <c r="F698" s="2" t="s">
        <v>27</v>
      </c>
      <c r="G698" s="8" t="str">
        <f>IFERROR(__xludf.DUMMYFUNCTION("REGEXEXTRACT(B698, ""-([^-\s]+)$"")"),"S")</f>
        <v>S</v>
      </c>
      <c r="H698" s="2" t="s">
        <v>345</v>
      </c>
      <c r="I698" s="8" t="str">
        <f t="shared" si="1"/>
        <v>42 in</v>
      </c>
      <c r="J698" s="9" t="s">
        <v>1071</v>
      </c>
    </row>
    <row r="699">
      <c r="A699" s="2">
        <v>4.415939E7</v>
      </c>
      <c r="B699" s="15" t="s">
        <v>325</v>
      </c>
      <c r="C699" s="2">
        <v>2199.0</v>
      </c>
      <c r="D699" s="7" t="s">
        <v>20</v>
      </c>
      <c r="E699" s="1" t="s">
        <v>24</v>
      </c>
      <c r="F699" s="2" t="s">
        <v>27</v>
      </c>
      <c r="G699" s="8" t="str">
        <f>IFERROR(__xludf.DUMMYFUNCTION("REGEXEXTRACT(B699, ""-([^-\s]+)$"")"),"M")</f>
        <v>M</v>
      </c>
      <c r="H699" s="2" t="s">
        <v>345</v>
      </c>
      <c r="I699" s="8" t="str">
        <f t="shared" si="1"/>
        <v>44 in</v>
      </c>
      <c r="J699" s="9" t="s">
        <v>1071</v>
      </c>
    </row>
    <row r="700">
      <c r="A700" s="2">
        <v>4.415939E7</v>
      </c>
      <c r="B700" s="15" t="s">
        <v>327</v>
      </c>
      <c r="C700" s="2">
        <v>2199.0</v>
      </c>
      <c r="D700" s="7" t="s">
        <v>20</v>
      </c>
      <c r="E700" s="1" t="s">
        <v>24</v>
      </c>
      <c r="F700" s="2" t="s">
        <v>27</v>
      </c>
      <c r="G700" s="8" t="str">
        <f>IFERROR(__xludf.DUMMYFUNCTION("REGEXEXTRACT(B700, ""-([^-\s]+)$"")"),"L")</f>
        <v>L</v>
      </c>
      <c r="H700" s="2" t="s">
        <v>345</v>
      </c>
      <c r="I700" s="8" t="str">
        <f t="shared" si="1"/>
        <v>46 in</v>
      </c>
      <c r="J700" s="9" t="s">
        <v>1071</v>
      </c>
    </row>
    <row r="701">
      <c r="A701" s="2">
        <v>4.415939E7</v>
      </c>
      <c r="B701" s="15" t="s">
        <v>329</v>
      </c>
      <c r="C701" s="2">
        <v>2199.0</v>
      </c>
      <c r="D701" s="7" t="s">
        <v>20</v>
      </c>
      <c r="E701" s="1" t="s">
        <v>24</v>
      </c>
      <c r="F701" s="2" t="s">
        <v>27</v>
      </c>
      <c r="G701" s="8" t="str">
        <f>IFERROR(__xludf.DUMMYFUNCTION("REGEXEXTRACT(B701, ""-([^-\s]+)$"")"),"XL")</f>
        <v>XL</v>
      </c>
      <c r="H701" s="2" t="s">
        <v>345</v>
      </c>
      <c r="I701" s="8" t="str">
        <f t="shared" si="1"/>
        <v>48 in</v>
      </c>
      <c r="J701" s="9" t="s">
        <v>1071</v>
      </c>
    </row>
    <row r="702">
      <c r="A702" s="2">
        <v>4.4159394E7</v>
      </c>
      <c r="B702" s="15" t="s">
        <v>331</v>
      </c>
      <c r="C702" s="2">
        <v>2199.0</v>
      </c>
      <c r="D702" s="7" t="s">
        <v>20</v>
      </c>
      <c r="E702" s="1" t="s">
        <v>24</v>
      </c>
      <c r="F702" s="2" t="s">
        <v>27</v>
      </c>
      <c r="G702" s="8" t="str">
        <f>IFERROR(__xludf.DUMMYFUNCTION("REGEXEXTRACT(B702, ""-([^-\s]+)$"")"),"S")</f>
        <v>S</v>
      </c>
      <c r="H702" s="2" t="s">
        <v>710</v>
      </c>
      <c r="I702" s="8" t="str">
        <f t="shared" si="1"/>
        <v>42 in</v>
      </c>
      <c r="J702" s="9" t="s">
        <v>1072</v>
      </c>
    </row>
    <row r="703">
      <c r="A703" s="2">
        <v>4.4159394E7</v>
      </c>
      <c r="B703" s="15" t="s">
        <v>332</v>
      </c>
      <c r="C703" s="2">
        <v>2199.0</v>
      </c>
      <c r="D703" s="7" t="s">
        <v>20</v>
      </c>
      <c r="E703" s="1" t="s">
        <v>24</v>
      </c>
      <c r="F703" s="2" t="s">
        <v>27</v>
      </c>
      <c r="G703" s="8" t="str">
        <f>IFERROR(__xludf.DUMMYFUNCTION("REGEXEXTRACT(B703, ""-([^-\s]+)$"")"),"M")</f>
        <v>M</v>
      </c>
      <c r="H703" s="2" t="s">
        <v>710</v>
      </c>
      <c r="I703" s="8" t="str">
        <f t="shared" si="1"/>
        <v>44 in</v>
      </c>
      <c r="J703" s="9" t="s">
        <v>1072</v>
      </c>
    </row>
    <row r="704">
      <c r="A704" s="2">
        <v>4.4159394E7</v>
      </c>
      <c r="B704" s="15" t="s">
        <v>333</v>
      </c>
      <c r="C704" s="2">
        <v>2199.0</v>
      </c>
      <c r="D704" s="7" t="s">
        <v>20</v>
      </c>
      <c r="E704" s="1" t="s">
        <v>24</v>
      </c>
      <c r="F704" s="2" t="s">
        <v>27</v>
      </c>
      <c r="G704" s="8" t="str">
        <f>IFERROR(__xludf.DUMMYFUNCTION("REGEXEXTRACT(B704, ""-([^-\s]+)$"")"),"L")</f>
        <v>L</v>
      </c>
      <c r="H704" s="2" t="s">
        <v>710</v>
      </c>
      <c r="I704" s="8" t="str">
        <f t="shared" si="1"/>
        <v>46 in</v>
      </c>
      <c r="J704" s="9" t="s">
        <v>1072</v>
      </c>
    </row>
    <row r="705">
      <c r="A705" s="2">
        <v>4.4159394E7</v>
      </c>
      <c r="B705" s="14" t="s">
        <v>334</v>
      </c>
      <c r="C705" s="2">
        <v>2199.0</v>
      </c>
      <c r="D705" s="7" t="s">
        <v>20</v>
      </c>
      <c r="E705" s="1" t="s">
        <v>24</v>
      </c>
      <c r="F705" s="2" t="s">
        <v>27</v>
      </c>
      <c r="G705" s="8" t="str">
        <f>IFERROR(__xludf.DUMMYFUNCTION("REGEXEXTRACT(B705, ""-([^-\s]+)$"")"),"XL")</f>
        <v>XL</v>
      </c>
      <c r="H705" s="2" t="s">
        <v>710</v>
      </c>
      <c r="I705" s="8" t="str">
        <f t="shared" si="1"/>
        <v>48 in</v>
      </c>
      <c r="J705" s="9" t="s">
        <v>1072</v>
      </c>
    </row>
    <row r="706">
      <c r="A706" s="2">
        <v>4.4159389E7</v>
      </c>
      <c r="B706" s="14" t="s">
        <v>336</v>
      </c>
      <c r="C706" s="2">
        <v>2199.0</v>
      </c>
      <c r="D706" s="7" t="s">
        <v>20</v>
      </c>
      <c r="E706" s="1" t="s">
        <v>24</v>
      </c>
      <c r="F706" s="2" t="s">
        <v>27</v>
      </c>
      <c r="G706" s="8" t="str">
        <f>IFERROR(__xludf.DUMMYFUNCTION("REGEXEXTRACT(B706, ""-([^-\s]+)$"")"),"S")</f>
        <v>S</v>
      </c>
      <c r="H706" s="2" t="s">
        <v>710</v>
      </c>
      <c r="I706" s="8" t="str">
        <f t="shared" si="1"/>
        <v>42 in</v>
      </c>
      <c r="J706" s="9" t="s">
        <v>1073</v>
      </c>
    </row>
    <row r="707">
      <c r="A707" s="2">
        <v>4.4159389E7</v>
      </c>
      <c r="B707" s="14" t="s">
        <v>338</v>
      </c>
      <c r="C707" s="2">
        <v>2199.0</v>
      </c>
      <c r="D707" s="7" t="s">
        <v>20</v>
      </c>
      <c r="E707" s="1" t="s">
        <v>24</v>
      </c>
      <c r="F707" s="2" t="s">
        <v>27</v>
      </c>
      <c r="G707" s="8" t="str">
        <f>IFERROR(__xludf.DUMMYFUNCTION("REGEXEXTRACT(B707, ""-([^-\s]+)$"")"),"M")</f>
        <v>M</v>
      </c>
      <c r="H707" s="2" t="s">
        <v>710</v>
      </c>
      <c r="I707" s="8" t="str">
        <f t="shared" si="1"/>
        <v>44 in</v>
      </c>
      <c r="J707" s="9" t="s">
        <v>1073</v>
      </c>
    </row>
    <row r="708">
      <c r="A708" s="2">
        <v>4.4159389E7</v>
      </c>
      <c r="B708" s="14" t="s">
        <v>340</v>
      </c>
      <c r="C708" s="2">
        <v>2199.0</v>
      </c>
      <c r="D708" s="7" t="s">
        <v>20</v>
      </c>
      <c r="E708" s="1" t="s">
        <v>24</v>
      </c>
      <c r="F708" s="2" t="s">
        <v>27</v>
      </c>
      <c r="G708" s="8" t="str">
        <f>IFERROR(__xludf.DUMMYFUNCTION("REGEXEXTRACT(B708, ""-([^-\s]+)$"")"),"L")</f>
        <v>L</v>
      </c>
      <c r="H708" s="2" t="s">
        <v>710</v>
      </c>
      <c r="I708" s="8" t="str">
        <f t="shared" si="1"/>
        <v>46 in</v>
      </c>
      <c r="J708" s="9" t="s">
        <v>1073</v>
      </c>
    </row>
    <row r="709">
      <c r="A709" s="2">
        <v>4.4159389E7</v>
      </c>
      <c r="B709" s="14" t="s">
        <v>342</v>
      </c>
      <c r="C709" s="2">
        <v>2199.0</v>
      </c>
      <c r="D709" s="7" t="s">
        <v>20</v>
      </c>
      <c r="E709" s="1" t="s">
        <v>24</v>
      </c>
      <c r="F709" s="2" t="s">
        <v>27</v>
      </c>
      <c r="G709" s="8" t="str">
        <f>IFERROR(__xludf.DUMMYFUNCTION("REGEXEXTRACT(B709, ""-([^-\s]+)$"")"),"XL")</f>
        <v>XL</v>
      </c>
      <c r="H709" s="2" t="s">
        <v>710</v>
      </c>
      <c r="I709" s="8" t="str">
        <f t="shared" si="1"/>
        <v>48 in</v>
      </c>
      <c r="J709" s="9" t="s">
        <v>1073</v>
      </c>
    </row>
    <row r="710">
      <c r="A710" s="2">
        <v>4.4159399E7</v>
      </c>
      <c r="B710" s="15" t="s">
        <v>344</v>
      </c>
      <c r="C710" s="2">
        <v>2199.0</v>
      </c>
      <c r="D710" s="7" t="s">
        <v>20</v>
      </c>
      <c r="E710" s="1" t="s">
        <v>24</v>
      </c>
      <c r="F710" s="2" t="s">
        <v>27</v>
      </c>
      <c r="G710" s="8" t="str">
        <f>IFERROR(__xludf.DUMMYFUNCTION("REGEXEXTRACT(B710, ""-([^-\s]+)$"")"),"S")</f>
        <v>S</v>
      </c>
      <c r="H710" s="2" t="s">
        <v>189</v>
      </c>
      <c r="I710" s="8" t="str">
        <f t="shared" si="1"/>
        <v>42 in</v>
      </c>
      <c r="J710" s="9" t="s">
        <v>1074</v>
      </c>
    </row>
    <row r="711">
      <c r="A711" s="2">
        <v>4.4159399E7</v>
      </c>
      <c r="B711" s="15" t="s">
        <v>346</v>
      </c>
      <c r="C711" s="2">
        <v>2199.0</v>
      </c>
      <c r="D711" s="7" t="s">
        <v>20</v>
      </c>
      <c r="E711" s="1" t="s">
        <v>24</v>
      </c>
      <c r="F711" s="2" t="s">
        <v>27</v>
      </c>
      <c r="G711" s="8" t="str">
        <f>IFERROR(__xludf.DUMMYFUNCTION("REGEXEXTRACT(B711, ""-([^-\s]+)$"")"),"M")</f>
        <v>M</v>
      </c>
      <c r="H711" s="2" t="s">
        <v>189</v>
      </c>
      <c r="I711" s="8" t="str">
        <f t="shared" si="1"/>
        <v>44 in</v>
      </c>
      <c r="J711" s="9" t="s">
        <v>1074</v>
      </c>
    </row>
    <row r="712">
      <c r="A712" s="2">
        <v>4.4159399E7</v>
      </c>
      <c r="B712" s="15" t="s">
        <v>348</v>
      </c>
      <c r="C712" s="2">
        <v>2199.0</v>
      </c>
      <c r="D712" s="7" t="s">
        <v>20</v>
      </c>
      <c r="E712" s="1" t="s">
        <v>24</v>
      </c>
      <c r="F712" s="2" t="s">
        <v>27</v>
      </c>
      <c r="G712" s="8" t="str">
        <f>IFERROR(__xludf.DUMMYFUNCTION("REGEXEXTRACT(B712, ""-([^-\s]+)$"")"),"L")</f>
        <v>L</v>
      </c>
      <c r="H712" s="2" t="s">
        <v>189</v>
      </c>
      <c r="I712" s="8" t="str">
        <f t="shared" si="1"/>
        <v>46 in</v>
      </c>
      <c r="J712" s="9" t="s">
        <v>1074</v>
      </c>
    </row>
    <row r="713">
      <c r="A713" s="2">
        <v>4.4159399E7</v>
      </c>
      <c r="B713" s="15" t="s">
        <v>351</v>
      </c>
      <c r="C713" s="2">
        <v>2199.0</v>
      </c>
      <c r="D713" s="7" t="s">
        <v>20</v>
      </c>
      <c r="E713" s="1" t="s">
        <v>24</v>
      </c>
      <c r="F713" s="2" t="s">
        <v>27</v>
      </c>
      <c r="G713" s="8" t="str">
        <f>IFERROR(__xludf.DUMMYFUNCTION("REGEXEXTRACT(B713, ""-([^-\s]+)$"")"),"XL")</f>
        <v>XL</v>
      </c>
      <c r="H713" s="2" t="s">
        <v>189</v>
      </c>
      <c r="I713" s="8" t="str">
        <f t="shared" si="1"/>
        <v>48 in</v>
      </c>
      <c r="J713" s="9" t="s">
        <v>1074</v>
      </c>
    </row>
    <row r="714">
      <c r="A714" s="2">
        <v>4.4159391E7</v>
      </c>
      <c r="B714" s="15" t="s">
        <v>353</v>
      </c>
      <c r="C714" s="2">
        <v>2199.0</v>
      </c>
      <c r="D714" s="7" t="s">
        <v>20</v>
      </c>
      <c r="E714" s="1" t="s">
        <v>24</v>
      </c>
      <c r="F714" s="2" t="s">
        <v>27</v>
      </c>
      <c r="G714" s="8" t="str">
        <f>IFERROR(__xludf.DUMMYFUNCTION("REGEXEXTRACT(B714, ""-([^-\s]+)$"")"),"S")</f>
        <v>S</v>
      </c>
      <c r="H714" s="2" t="s">
        <v>710</v>
      </c>
      <c r="I714" s="8" t="str">
        <f t="shared" si="1"/>
        <v>42 in</v>
      </c>
      <c r="J714" s="9" t="s">
        <v>1075</v>
      </c>
    </row>
    <row r="715">
      <c r="A715" s="2">
        <v>4.4159391E7</v>
      </c>
      <c r="B715" s="15" t="s">
        <v>354</v>
      </c>
      <c r="C715" s="2">
        <v>2199.0</v>
      </c>
      <c r="D715" s="7" t="s">
        <v>20</v>
      </c>
      <c r="E715" s="1" t="s">
        <v>24</v>
      </c>
      <c r="F715" s="2" t="s">
        <v>27</v>
      </c>
      <c r="G715" s="8" t="str">
        <f>IFERROR(__xludf.DUMMYFUNCTION("REGEXEXTRACT(B715, ""-([^-\s]+)$"")"),"M")</f>
        <v>M</v>
      </c>
      <c r="H715" s="2" t="s">
        <v>710</v>
      </c>
      <c r="I715" s="8" t="str">
        <f t="shared" si="1"/>
        <v>44 in</v>
      </c>
      <c r="J715" s="9" t="s">
        <v>1075</v>
      </c>
    </row>
    <row r="716">
      <c r="A716" s="2">
        <v>4.4159391E7</v>
      </c>
      <c r="B716" s="15" t="s">
        <v>355</v>
      </c>
      <c r="C716" s="2">
        <v>2199.0</v>
      </c>
      <c r="D716" s="7" t="s">
        <v>20</v>
      </c>
      <c r="E716" s="1" t="s">
        <v>24</v>
      </c>
      <c r="F716" s="2" t="s">
        <v>27</v>
      </c>
      <c r="G716" s="8" t="str">
        <f>IFERROR(__xludf.DUMMYFUNCTION("REGEXEXTRACT(B716, ""-([^-\s]+)$"")"),"L")</f>
        <v>L</v>
      </c>
      <c r="H716" s="2" t="s">
        <v>710</v>
      </c>
      <c r="I716" s="8" t="str">
        <f t="shared" si="1"/>
        <v>46 in</v>
      </c>
      <c r="J716" s="9" t="s">
        <v>1075</v>
      </c>
    </row>
    <row r="717">
      <c r="A717" s="2">
        <v>4.4159391E7</v>
      </c>
      <c r="B717" s="15" t="s">
        <v>356</v>
      </c>
      <c r="C717" s="2">
        <v>2199.0</v>
      </c>
      <c r="D717" s="7" t="s">
        <v>20</v>
      </c>
      <c r="E717" s="1" t="s">
        <v>24</v>
      </c>
      <c r="F717" s="2" t="s">
        <v>27</v>
      </c>
      <c r="G717" s="8" t="str">
        <f>IFERROR(__xludf.DUMMYFUNCTION("REGEXEXTRACT(B717, ""-([^-\s]+)$"")"),"XL")</f>
        <v>XL</v>
      </c>
      <c r="H717" s="2" t="s">
        <v>710</v>
      </c>
      <c r="I717" s="8" t="str">
        <f t="shared" si="1"/>
        <v>48 in</v>
      </c>
      <c r="J717" s="9" t="s">
        <v>1075</v>
      </c>
    </row>
    <row r="718">
      <c r="A718" s="2">
        <v>4.4159403E7</v>
      </c>
      <c r="B718" s="15" t="s">
        <v>357</v>
      </c>
      <c r="C718" s="2">
        <v>2199.0</v>
      </c>
      <c r="D718" s="7" t="s">
        <v>20</v>
      </c>
      <c r="E718" s="1" t="s">
        <v>24</v>
      </c>
      <c r="F718" s="2" t="s">
        <v>27</v>
      </c>
      <c r="G718" s="8" t="str">
        <f>IFERROR(__xludf.DUMMYFUNCTION("REGEXEXTRACT(B718, ""-([^-\s]+)$"")"),"S")</f>
        <v>S</v>
      </c>
      <c r="H718" s="2" t="s">
        <v>710</v>
      </c>
      <c r="I718" s="8" t="str">
        <f t="shared" si="1"/>
        <v>42 in</v>
      </c>
      <c r="J718" s="9" t="s">
        <v>1076</v>
      </c>
    </row>
    <row r="719">
      <c r="A719" s="2">
        <v>4.4159403E7</v>
      </c>
      <c r="B719" s="15" t="s">
        <v>358</v>
      </c>
      <c r="C719" s="2">
        <v>2199.0</v>
      </c>
      <c r="D719" s="7" t="s">
        <v>20</v>
      </c>
      <c r="E719" s="1" t="s">
        <v>24</v>
      </c>
      <c r="F719" s="2" t="s">
        <v>27</v>
      </c>
      <c r="G719" s="8" t="str">
        <f>IFERROR(__xludf.DUMMYFUNCTION("REGEXEXTRACT(B719, ""-([^-\s]+)$"")"),"M")</f>
        <v>M</v>
      </c>
      <c r="H719" s="2" t="s">
        <v>710</v>
      </c>
      <c r="I719" s="8" t="str">
        <f t="shared" si="1"/>
        <v>44 in</v>
      </c>
      <c r="J719" s="9" t="s">
        <v>1076</v>
      </c>
    </row>
    <row r="720">
      <c r="A720" s="2">
        <v>4.4159403E7</v>
      </c>
      <c r="B720" s="15" t="s">
        <v>360</v>
      </c>
      <c r="C720" s="2">
        <v>2199.0</v>
      </c>
      <c r="D720" s="7" t="s">
        <v>20</v>
      </c>
      <c r="E720" s="1" t="s">
        <v>24</v>
      </c>
      <c r="F720" s="2" t="s">
        <v>27</v>
      </c>
      <c r="G720" s="8" t="str">
        <f>IFERROR(__xludf.DUMMYFUNCTION("REGEXEXTRACT(B720, ""-([^-\s]+)$"")"),"L")</f>
        <v>L</v>
      </c>
      <c r="H720" s="2" t="s">
        <v>710</v>
      </c>
      <c r="I720" s="8" t="str">
        <f t="shared" si="1"/>
        <v>46 in</v>
      </c>
      <c r="J720" s="9" t="s">
        <v>1076</v>
      </c>
    </row>
    <row r="721">
      <c r="A721" s="2">
        <v>4.4159403E7</v>
      </c>
      <c r="B721" s="15" t="s">
        <v>363</v>
      </c>
      <c r="C721" s="2">
        <v>2199.0</v>
      </c>
      <c r="D721" s="7" t="s">
        <v>20</v>
      </c>
      <c r="E721" s="1" t="s">
        <v>24</v>
      </c>
      <c r="F721" s="2" t="s">
        <v>27</v>
      </c>
      <c r="G721" s="8" t="str">
        <f>IFERROR(__xludf.DUMMYFUNCTION("REGEXEXTRACT(B721, ""-([^-\s]+)$"")"),"XL")</f>
        <v>XL</v>
      </c>
      <c r="H721" s="2" t="s">
        <v>710</v>
      </c>
      <c r="I721" s="8" t="str">
        <f t="shared" si="1"/>
        <v>48 in</v>
      </c>
      <c r="J721" s="9" t="s">
        <v>1076</v>
      </c>
    </row>
    <row r="722">
      <c r="A722" s="2">
        <v>4.4974273E7</v>
      </c>
      <c r="B722" s="14" t="s">
        <v>364</v>
      </c>
      <c r="C722" s="2">
        <v>1799.0</v>
      </c>
      <c r="D722" s="7" t="s">
        <v>20</v>
      </c>
      <c r="E722" s="2" t="s">
        <v>1077</v>
      </c>
      <c r="F722" s="2" t="s">
        <v>27</v>
      </c>
      <c r="G722" s="8" t="str">
        <f>IFERROR(__xludf.DUMMYFUNCTION("REGEXEXTRACT(B722, ""-([^-\s]+)$"")"),"S")</f>
        <v>S</v>
      </c>
      <c r="H722" s="2" t="s">
        <v>980</v>
      </c>
      <c r="I722" s="8" t="str">
        <f t="shared" ref="I722:I753" si="2">IF(G722="S", "28 -30 in", IF(G722="M", "30-32 in", IF(G722="L", "32-34 in", IF(G722="XL", "34-36 in", ""))))</f>
        <v>28 -30 in</v>
      </c>
      <c r="J722" s="9" t="s">
        <v>1078</v>
      </c>
    </row>
    <row r="723">
      <c r="A723" s="2">
        <v>4.4974273E7</v>
      </c>
      <c r="B723" s="14" t="s">
        <v>365</v>
      </c>
      <c r="C723" s="2">
        <v>1799.0</v>
      </c>
      <c r="D723" s="7" t="s">
        <v>20</v>
      </c>
      <c r="E723" s="2" t="s">
        <v>1077</v>
      </c>
      <c r="F723" s="2" t="s">
        <v>27</v>
      </c>
      <c r="G723" s="8" t="str">
        <f>IFERROR(__xludf.DUMMYFUNCTION("REGEXEXTRACT(B723, ""-([^-\s]+)$"")"),"M")</f>
        <v>M</v>
      </c>
      <c r="H723" s="2" t="s">
        <v>980</v>
      </c>
      <c r="I723" s="8" t="str">
        <f t="shared" si="2"/>
        <v>30-32 in</v>
      </c>
      <c r="J723" s="9" t="s">
        <v>1078</v>
      </c>
    </row>
    <row r="724">
      <c r="A724" s="2">
        <v>4.4974273E7</v>
      </c>
      <c r="B724" s="14" t="s">
        <v>366</v>
      </c>
      <c r="C724" s="2">
        <v>1799.0</v>
      </c>
      <c r="D724" s="7" t="s">
        <v>20</v>
      </c>
      <c r="E724" s="2" t="s">
        <v>1077</v>
      </c>
      <c r="F724" s="2" t="s">
        <v>27</v>
      </c>
      <c r="G724" s="8" t="str">
        <f>IFERROR(__xludf.DUMMYFUNCTION("REGEXEXTRACT(B724, ""-([^-\s]+)$"")"),"L")</f>
        <v>L</v>
      </c>
      <c r="H724" s="2" t="s">
        <v>980</v>
      </c>
      <c r="I724" s="8" t="str">
        <f t="shared" si="2"/>
        <v>32-34 in</v>
      </c>
      <c r="J724" s="9" t="s">
        <v>1078</v>
      </c>
    </row>
    <row r="725">
      <c r="A725" s="2">
        <v>4.4974273E7</v>
      </c>
      <c r="B725" s="14" t="s">
        <v>367</v>
      </c>
      <c r="C725" s="2">
        <v>1799.0</v>
      </c>
      <c r="D725" s="7" t="s">
        <v>20</v>
      </c>
      <c r="E725" s="2" t="s">
        <v>1077</v>
      </c>
      <c r="F725" s="2" t="s">
        <v>27</v>
      </c>
      <c r="G725" s="8" t="str">
        <f>IFERROR(__xludf.DUMMYFUNCTION("REGEXEXTRACT(B725, ""-([^-\s]+)$"")"),"XL")</f>
        <v>XL</v>
      </c>
      <c r="H725" s="2" t="s">
        <v>980</v>
      </c>
      <c r="I725" s="8" t="str">
        <f t="shared" si="2"/>
        <v>34-36 in</v>
      </c>
      <c r="J725" s="9" t="s">
        <v>1078</v>
      </c>
    </row>
    <row r="726">
      <c r="A726" s="2">
        <v>4.5614817E7</v>
      </c>
      <c r="B726" s="2" t="s">
        <v>368</v>
      </c>
      <c r="C726" s="2">
        <v>1799.0</v>
      </c>
      <c r="D726" s="7" t="s">
        <v>20</v>
      </c>
      <c r="E726" s="2" t="s">
        <v>1077</v>
      </c>
      <c r="F726" s="2" t="s">
        <v>27</v>
      </c>
      <c r="G726" s="8" t="str">
        <f>IFERROR(__xludf.DUMMYFUNCTION("REGEXEXTRACT(B726, ""-([^-\s]+)$"")"),"S")</f>
        <v>S</v>
      </c>
      <c r="H726" s="2" t="s">
        <v>950</v>
      </c>
      <c r="I726" s="8" t="str">
        <f t="shared" si="2"/>
        <v>28 -30 in</v>
      </c>
      <c r="J726" s="9" t="s">
        <v>1079</v>
      </c>
    </row>
    <row r="727">
      <c r="A727" s="2">
        <v>4.5614817E7</v>
      </c>
      <c r="B727" s="2" t="s">
        <v>369</v>
      </c>
      <c r="C727" s="2">
        <v>1799.0</v>
      </c>
      <c r="D727" s="7" t="s">
        <v>20</v>
      </c>
      <c r="E727" s="2" t="s">
        <v>1077</v>
      </c>
      <c r="F727" s="2" t="s">
        <v>27</v>
      </c>
      <c r="G727" s="8" t="str">
        <f>IFERROR(__xludf.DUMMYFUNCTION("REGEXEXTRACT(B727, ""-([^-\s]+)$"")"),"M")</f>
        <v>M</v>
      </c>
      <c r="H727" s="2" t="s">
        <v>950</v>
      </c>
      <c r="I727" s="8" t="str">
        <f t="shared" si="2"/>
        <v>30-32 in</v>
      </c>
      <c r="J727" s="9" t="s">
        <v>1079</v>
      </c>
    </row>
    <row r="728">
      <c r="A728" s="2">
        <v>4.5614817E7</v>
      </c>
      <c r="B728" s="2" t="s">
        <v>371</v>
      </c>
      <c r="C728" s="2">
        <v>1799.0</v>
      </c>
      <c r="D728" s="7" t="s">
        <v>20</v>
      </c>
      <c r="E728" s="2" t="s">
        <v>1077</v>
      </c>
      <c r="F728" s="2" t="s">
        <v>27</v>
      </c>
      <c r="G728" s="8" t="str">
        <f>IFERROR(__xludf.DUMMYFUNCTION("REGEXEXTRACT(B728, ""-([^-\s]+)$"")"),"L")</f>
        <v>L</v>
      </c>
      <c r="H728" s="2" t="s">
        <v>950</v>
      </c>
      <c r="I728" s="8" t="str">
        <f t="shared" si="2"/>
        <v>32-34 in</v>
      </c>
      <c r="J728" s="9" t="s">
        <v>1079</v>
      </c>
    </row>
    <row r="729">
      <c r="A729" s="2">
        <v>4.5614817E7</v>
      </c>
      <c r="B729" s="2" t="s">
        <v>374</v>
      </c>
      <c r="C729" s="2">
        <v>1799.0</v>
      </c>
      <c r="D729" s="7" t="s">
        <v>20</v>
      </c>
      <c r="E729" s="2" t="s">
        <v>1077</v>
      </c>
      <c r="F729" s="2" t="s">
        <v>27</v>
      </c>
      <c r="G729" s="8" t="str">
        <f>IFERROR(__xludf.DUMMYFUNCTION("REGEXEXTRACT(B729, ""-([^-\s]+)$"")"),"XL")</f>
        <v>XL</v>
      </c>
      <c r="H729" s="2" t="s">
        <v>950</v>
      </c>
      <c r="I729" s="8" t="str">
        <f t="shared" si="2"/>
        <v>34-36 in</v>
      </c>
      <c r="J729" s="9" t="s">
        <v>1079</v>
      </c>
    </row>
    <row r="730">
      <c r="A730" s="2">
        <v>4.5614816E7</v>
      </c>
      <c r="B730" s="2" t="s">
        <v>376</v>
      </c>
      <c r="C730" s="2">
        <v>1799.0</v>
      </c>
      <c r="D730" s="7" t="s">
        <v>20</v>
      </c>
      <c r="E730" s="2" t="s">
        <v>1077</v>
      </c>
      <c r="F730" s="2" t="s">
        <v>27</v>
      </c>
      <c r="G730" s="8" t="str">
        <f>IFERROR(__xludf.DUMMYFUNCTION("REGEXEXTRACT(B730, ""-([^-\s]+)$"")"),"S")</f>
        <v>S</v>
      </c>
      <c r="H730" s="2" t="s">
        <v>950</v>
      </c>
      <c r="I730" s="8" t="str">
        <f t="shared" si="2"/>
        <v>28 -30 in</v>
      </c>
      <c r="J730" s="9" t="s">
        <v>1080</v>
      </c>
    </row>
    <row r="731">
      <c r="A731" s="2">
        <v>4.5614816E7</v>
      </c>
      <c r="B731" s="2" t="s">
        <v>379</v>
      </c>
      <c r="C731" s="2">
        <v>1799.0</v>
      </c>
      <c r="D731" s="7" t="s">
        <v>20</v>
      </c>
      <c r="E731" s="2" t="s">
        <v>1077</v>
      </c>
      <c r="F731" s="2" t="s">
        <v>27</v>
      </c>
      <c r="G731" s="8" t="str">
        <f>IFERROR(__xludf.DUMMYFUNCTION("REGEXEXTRACT(B731, ""-([^-\s]+)$"")"),"M")</f>
        <v>M</v>
      </c>
      <c r="H731" s="2" t="s">
        <v>950</v>
      </c>
      <c r="I731" s="8" t="str">
        <f t="shared" si="2"/>
        <v>30-32 in</v>
      </c>
      <c r="J731" s="9" t="s">
        <v>1080</v>
      </c>
    </row>
    <row r="732">
      <c r="A732" s="2">
        <v>4.5614816E7</v>
      </c>
      <c r="B732" s="2" t="s">
        <v>382</v>
      </c>
      <c r="C732" s="2">
        <v>1799.0</v>
      </c>
      <c r="D732" s="7" t="s">
        <v>20</v>
      </c>
      <c r="E732" s="2" t="s">
        <v>1077</v>
      </c>
      <c r="F732" s="2" t="s">
        <v>27</v>
      </c>
      <c r="G732" s="8" t="str">
        <f>IFERROR(__xludf.DUMMYFUNCTION("REGEXEXTRACT(B732, ""-([^-\s]+)$"")"),"L")</f>
        <v>L</v>
      </c>
      <c r="H732" s="2" t="s">
        <v>950</v>
      </c>
      <c r="I732" s="8" t="str">
        <f t="shared" si="2"/>
        <v>32-34 in</v>
      </c>
      <c r="J732" s="9" t="s">
        <v>1080</v>
      </c>
    </row>
    <row r="733">
      <c r="A733" s="2">
        <v>4.5614816E7</v>
      </c>
      <c r="B733" s="2" t="s">
        <v>385</v>
      </c>
      <c r="C733" s="2">
        <v>1799.0</v>
      </c>
      <c r="D733" s="7" t="s">
        <v>20</v>
      </c>
      <c r="E733" s="2" t="s">
        <v>1077</v>
      </c>
      <c r="F733" s="2" t="s">
        <v>27</v>
      </c>
      <c r="G733" s="8" t="str">
        <f>IFERROR(__xludf.DUMMYFUNCTION("REGEXEXTRACT(B733, ""-([^-\s]+)$"")"),"XL")</f>
        <v>XL</v>
      </c>
      <c r="H733" s="2" t="s">
        <v>950</v>
      </c>
      <c r="I733" s="8" t="str">
        <f t="shared" si="2"/>
        <v>34-36 in</v>
      </c>
      <c r="J733" s="9" t="s">
        <v>1080</v>
      </c>
    </row>
    <row r="734">
      <c r="A734" s="2">
        <v>4.561482E7</v>
      </c>
      <c r="B734" s="2" t="s">
        <v>404</v>
      </c>
      <c r="C734" s="2">
        <v>1799.0</v>
      </c>
      <c r="D734" s="7" t="s">
        <v>20</v>
      </c>
      <c r="E734" s="2" t="s">
        <v>1077</v>
      </c>
      <c r="F734" s="2" t="s">
        <v>27</v>
      </c>
      <c r="G734" s="8" t="str">
        <f>IFERROR(__xludf.DUMMYFUNCTION("REGEXEXTRACT(B734, ""-([^-\s]+)$"")"),"S")</f>
        <v>S</v>
      </c>
      <c r="H734" s="2" t="s">
        <v>484</v>
      </c>
      <c r="I734" s="8" t="str">
        <f t="shared" si="2"/>
        <v>28 -30 in</v>
      </c>
      <c r="J734" s="9" t="s">
        <v>1081</v>
      </c>
    </row>
    <row r="735">
      <c r="A735" s="2">
        <v>4.561482E7</v>
      </c>
      <c r="B735" s="2" t="s">
        <v>407</v>
      </c>
      <c r="C735" s="2">
        <v>1799.0</v>
      </c>
      <c r="D735" s="7" t="s">
        <v>20</v>
      </c>
      <c r="E735" s="2" t="s">
        <v>1077</v>
      </c>
      <c r="F735" s="2" t="s">
        <v>27</v>
      </c>
      <c r="G735" s="8" t="str">
        <f>IFERROR(__xludf.DUMMYFUNCTION("REGEXEXTRACT(B735, ""-([^-\s]+)$"")"),"M")</f>
        <v>M</v>
      </c>
      <c r="H735" s="2" t="s">
        <v>484</v>
      </c>
      <c r="I735" s="8" t="str">
        <f t="shared" si="2"/>
        <v>30-32 in</v>
      </c>
      <c r="J735" s="9" t="s">
        <v>1081</v>
      </c>
    </row>
    <row r="736">
      <c r="A736" s="2">
        <v>4.561482E7</v>
      </c>
      <c r="B736" s="2" t="s">
        <v>410</v>
      </c>
      <c r="C736" s="2">
        <v>1799.0</v>
      </c>
      <c r="D736" s="7" t="s">
        <v>20</v>
      </c>
      <c r="E736" s="2" t="s">
        <v>1077</v>
      </c>
      <c r="F736" s="2" t="s">
        <v>27</v>
      </c>
      <c r="G736" s="8" t="str">
        <f>IFERROR(__xludf.DUMMYFUNCTION("REGEXEXTRACT(B736, ""-([^-\s]+)$"")"),"L")</f>
        <v>L</v>
      </c>
      <c r="H736" s="2" t="s">
        <v>484</v>
      </c>
      <c r="I736" s="8" t="str">
        <f t="shared" si="2"/>
        <v>32-34 in</v>
      </c>
      <c r="J736" s="9" t="s">
        <v>1081</v>
      </c>
    </row>
    <row r="737">
      <c r="A737" s="2">
        <v>4.561482E7</v>
      </c>
      <c r="B737" s="2" t="s">
        <v>414</v>
      </c>
      <c r="C737" s="2">
        <v>1799.0</v>
      </c>
      <c r="D737" s="7" t="s">
        <v>20</v>
      </c>
      <c r="E737" s="2" t="s">
        <v>1077</v>
      </c>
      <c r="F737" s="2" t="s">
        <v>27</v>
      </c>
      <c r="G737" s="8" t="str">
        <f>IFERROR(__xludf.DUMMYFUNCTION("REGEXEXTRACT(B737, ""-([^-\s]+)$"")"),"XL")</f>
        <v>XL</v>
      </c>
      <c r="H737" s="2" t="s">
        <v>484</v>
      </c>
      <c r="I737" s="8" t="str">
        <f t="shared" si="2"/>
        <v>34-36 in</v>
      </c>
      <c r="J737" s="9" t="s">
        <v>1081</v>
      </c>
    </row>
    <row r="738">
      <c r="A738" s="2">
        <v>4.5614821E7</v>
      </c>
      <c r="B738" s="2" t="s">
        <v>416</v>
      </c>
      <c r="C738" s="2">
        <v>1799.0</v>
      </c>
      <c r="D738" s="7" t="s">
        <v>20</v>
      </c>
      <c r="E738" s="2" t="s">
        <v>1077</v>
      </c>
      <c r="F738" s="2" t="s">
        <v>27</v>
      </c>
      <c r="G738" s="8" t="str">
        <f>IFERROR(__xludf.DUMMYFUNCTION("REGEXEXTRACT(B738, ""-([^-\s]+)$"")"),"S")</f>
        <v>S</v>
      </c>
      <c r="H738" s="2" t="s">
        <v>950</v>
      </c>
      <c r="I738" s="8" t="str">
        <f t="shared" si="2"/>
        <v>28 -30 in</v>
      </c>
      <c r="J738" s="9" t="s">
        <v>1082</v>
      </c>
    </row>
    <row r="739">
      <c r="A739" s="2">
        <v>4.5614821E7</v>
      </c>
      <c r="B739" s="2" t="s">
        <v>419</v>
      </c>
      <c r="C739" s="2">
        <v>1799.0</v>
      </c>
      <c r="D739" s="7" t="s">
        <v>20</v>
      </c>
      <c r="E739" s="2" t="s">
        <v>1077</v>
      </c>
      <c r="F739" s="2" t="s">
        <v>27</v>
      </c>
      <c r="G739" s="8" t="str">
        <f>IFERROR(__xludf.DUMMYFUNCTION("REGEXEXTRACT(B739, ""-([^-\s]+)$"")"),"M")</f>
        <v>M</v>
      </c>
      <c r="H739" s="2" t="s">
        <v>950</v>
      </c>
      <c r="I739" s="8" t="str">
        <f t="shared" si="2"/>
        <v>30-32 in</v>
      </c>
      <c r="J739" s="9" t="s">
        <v>1082</v>
      </c>
    </row>
    <row r="740">
      <c r="A740" s="2">
        <v>4.5614821E7</v>
      </c>
      <c r="B740" s="2" t="s">
        <v>423</v>
      </c>
      <c r="C740" s="2">
        <v>1799.0</v>
      </c>
      <c r="D740" s="7" t="s">
        <v>20</v>
      </c>
      <c r="E740" s="2" t="s">
        <v>1077</v>
      </c>
      <c r="F740" s="2" t="s">
        <v>27</v>
      </c>
      <c r="G740" s="8" t="str">
        <f>IFERROR(__xludf.DUMMYFUNCTION("REGEXEXTRACT(B740, ""-([^-\s]+)$"")"),"L")</f>
        <v>L</v>
      </c>
      <c r="H740" s="2" t="s">
        <v>950</v>
      </c>
      <c r="I740" s="8" t="str">
        <f t="shared" si="2"/>
        <v>32-34 in</v>
      </c>
      <c r="J740" s="9" t="s">
        <v>1082</v>
      </c>
    </row>
    <row r="741">
      <c r="A741" s="2">
        <v>4.5614821E7</v>
      </c>
      <c r="B741" s="2" t="s">
        <v>425</v>
      </c>
      <c r="C741" s="2">
        <v>1799.0</v>
      </c>
      <c r="D741" s="7" t="s">
        <v>20</v>
      </c>
      <c r="E741" s="2" t="s">
        <v>1077</v>
      </c>
      <c r="F741" s="2" t="s">
        <v>27</v>
      </c>
      <c r="G741" s="8" t="str">
        <f>IFERROR(__xludf.DUMMYFUNCTION("REGEXEXTRACT(B741, ""-([^-\s]+)$"")"),"XL")</f>
        <v>XL</v>
      </c>
      <c r="H741" s="2" t="s">
        <v>950</v>
      </c>
      <c r="I741" s="8" t="str">
        <f t="shared" si="2"/>
        <v>34-36 in</v>
      </c>
      <c r="J741" s="9" t="s">
        <v>1082</v>
      </c>
    </row>
    <row r="742">
      <c r="A742" s="2">
        <v>4.5614818E7</v>
      </c>
      <c r="B742" s="2" t="s">
        <v>426</v>
      </c>
      <c r="C742" s="2">
        <v>1799.0</v>
      </c>
      <c r="D742" s="7" t="s">
        <v>20</v>
      </c>
      <c r="E742" s="2" t="s">
        <v>1077</v>
      </c>
      <c r="F742" s="2" t="s">
        <v>27</v>
      </c>
      <c r="G742" s="8" t="str">
        <f>IFERROR(__xludf.DUMMYFUNCTION("REGEXEXTRACT(B742, ""-([^-\s]+)$"")"),"S")</f>
        <v>S</v>
      </c>
      <c r="H742" s="2" t="s">
        <v>950</v>
      </c>
      <c r="I742" s="8" t="str">
        <f t="shared" si="2"/>
        <v>28 -30 in</v>
      </c>
      <c r="J742" s="9" t="s">
        <v>1083</v>
      </c>
    </row>
    <row r="743">
      <c r="A743" s="2">
        <v>4.5614818E7</v>
      </c>
      <c r="B743" s="2" t="s">
        <v>427</v>
      </c>
      <c r="C743" s="2">
        <v>1799.0</v>
      </c>
      <c r="D743" s="7" t="s">
        <v>20</v>
      </c>
      <c r="E743" s="2" t="s">
        <v>1077</v>
      </c>
      <c r="F743" s="2" t="s">
        <v>27</v>
      </c>
      <c r="G743" s="8" t="str">
        <f>IFERROR(__xludf.DUMMYFUNCTION("REGEXEXTRACT(B743, ""-([^-\s]+)$"")"),"M")</f>
        <v>M</v>
      </c>
      <c r="H743" s="2" t="s">
        <v>950</v>
      </c>
      <c r="I743" s="8" t="str">
        <f t="shared" si="2"/>
        <v>30-32 in</v>
      </c>
      <c r="J743" s="9" t="s">
        <v>1083</v>
      </c>
    </row>
    <row r="744">
      <c r="A744" s="2">
        <v>4.5614818E7</v>
      </c>
      <c r="B744" s="2" t="s">
        <v>429</v>
      </c>
      <c r="C744" s="2">
        <v>1799.0</v>
      </c>
      <c r="D744" s="7" t="s">
        <v>20</v>
      </c>
      <c r="E744" s="2" t="s">
        <v>1077</v>
      </c>
      <c r="F744" s="2" t="s">
        <v>27</v>
      </c>
      <c r="G744" s="8" t="str">
        <f>IFERROR(__xludf.DUMMYFUNCTION("REGEXEXTRACT(B744, ""-([^-\s]+)$"")"),"L")</f>
        <v>L</v>
      </c>
      <c r="H744" s="2" t="s">
        <v>950</v>
      </c>
      <c r="I744" s="8" t="str">
        <f t="shared" si="2"/>
        <v>32-34 in</v>
      </c>
      <c r="J744" s="9" t="s">
        <v>1083</v>
      </c>
    </row>
    <row r="745">
      <c r="A745" s="2">
        <v>4.5614818E7</v>
      </c>
      <c r="B745" s="2" t="s">
        <v>431</v>
      </c>
      <c r="C745" s="2">
        <v>1799.0</v>
      </c>
      <c r="D745" s="7" t="s">
        <v>20</v>
      </c>
      <c r="E745" s="2" t="s">
        <v>1077</v>
      </c>
      <c r="F745" s="2" t="s">
        <v>27</v>
      </c>
      <c r="G745" s="8" t="str">
        <f>IFERROR(__xludf.DUMMYFUNCTION("REGEXEXTRACT(B745, ""-([^-\s]+)$"")"),"XL")</f>
        <v>XL</v>
      </c>
      <c r="H745" s="2" t="s">
        <v>950</v>
      </c>
      <c r="I745" s="8" t="str">
        <f t="shared" si="2"/>
        <v>34-36 in</v>
      </c>
      <c r="J745" s="9" t="s">
        <v>1083</v>
      </c>
    </row>
    <row r="746">
      <c r="A746" s="2">
        <v>4.5614819E7</v>
      </c>
      <c r="B746" s="2" t="s">
        <v>433</v>
      </c>
      <c r="C746" s="2">
        <v>1799.0</v>
      </c>
      <c r="D746" s="7" t="s">
        <v>20</v>
      </c>
      <c r="E746" s="2" t="s">
        <v>1077</v>
      </c>
      <c r="F746" s="2" t="s">
        <v>27</v>
      </c>
      <c r="G746" s="8" t="str">
        <f>IFERROR(__xludf.DUMMYFUNCTION("REGEXEXTRACT(B746, ""-([^-\s]+)$"")"),"S")</f>
        <v>S</v>
      </c>
      <c r="H746" s="2" t="s">
        <v>484</v>
      </c>
      <c r="I746" s="8" t="str">
        <f t="shared" si="2"/>
        <v>28 -30 in</v>
      </c>
      <c r="J746" s="9" t="s">
        <v>1084</v>
      </c>
    </row>
    <row r="747">
      <c r="A747" s="2">
        <v>4.5614819E7</v>
      </c>
      <c r="B747" s="2" t="s">
        <v>435</v>
      </c>
      <c r="C747" s="2">
        <v>1799.0</v>
      </c>
      <c r="D747" s="7" t="s">
        <v>20</v>
      </c>
      <c r="E747" s="2" t="s">
        <v>1077</v>
      </c>
      <c r="F747" s="2" t="s">
        <v>27</v>
      </c>
      <c r="G747" s="8" t="str">
        <f>IFERROR(__xludf.DUMMYFUNCTION("REGEXEXTRACT(B747, ""-([^-\s]+)$"")"),"M")</f>
        <v>M</v>
      </c>
      <c r="H747" s="2" t="s">
        <v>484</v>
      </c>
      <c r="I747" s="8" t="str">
        <f t="shared" si="2"/>
        <v>30-32 in</v>
      </c>
      <c r="J747" s="9" t="s">
        <v>1084</v>
      </c>
    </row>
    <row r="748">
      <c r="A748" s="2">
        <v>4.5614819E7</v>
      </c>
      <c r="B748" s="2" t="s">
        <v>437</v>
      </c>
      <c r="C748" s="2">
        <v>1799.0</v>
      </c>
      <c r="D748" s="7" t="s">
        <v>20</v>
      </c>
      <c r="E748" s="2" t="s">
        <v>1077</v>
      </c>
      <c r="F748" s="2" t="s">
        <v>27</v>
      </c>
      <c r="G748" s="8" t="str">
        <f>IFERROR(__xludf.DUMMYFUNCTION("REGEXEXTRACT(B748, ""-([^-\s]+)$"")"),"L")</f>
        <v>L</v>
      </c>
      <c r="H748" s="2" t="s">
        <v>484</v>
      </c>
      <c r="I748" s="8" t="str">
        <f t="shared" si="2"/>
        <v>32-34 in</v>
      </c>
      <c r="J748" s="9" t="s">
        <v>1084</v>
      </c>
    </row>
    <row r="749">
      <c r="A749" s="2">
        <v>4.5614819E7</v>
      </c>
      <c r="B749" s="2" t="s">
        <v>439</v>
      </c>
      <c r="C749" s="2">
        <v>1799.0</v>
      </c>
      <c r="D749" s="7" t="s">
        <v>20</v>
      </c>
      <c r="E749" s="2" t="s">
        <v>1077</v>
      </c>
      <c r="F749" s="2" t="s">
        <v>27</v>
      </c>
      <c r="G749" s="8" t="str">
        <f>IFERROR(__xludf.DUMMYFUNCTION("REGEXEXTRACT(B749, ""-([^-\s]+)$"")"),"XL")</f>
        <v>XL</v>
      </c>
      <c r="H749" s="2" t="s">
        <v>484</v>
      </c>
      <c r="I749" s="8" t="str">
        <f t="shared" si="2"/>
        <v>34-36 in</v>
      </c>
      <c r="J749" s="9" t="s">
        <v>1084</v>
      </c>
    </row>
    <row r="750">
      <c r="A750" s="2">
        <v>4.5614822E7</v>
      </c>
      <c r="B750" s="2" t="s">
        <v>441</v>
      </c>
      <c r="C750" s="2">
        <v>1799.0</v>
      </c>
      <c r="D750" s="7" t="s">
        <v>20</v>
      </c>
      <c r="E750" s="2" t="s">
        <v>1077</v>
      </c>
      <c r="F750" s="2" t="s">
        <v>27</v>
      </c>
      <c r="G750" s="8" t="str">
        <f>IFERROR(__xludf.DUMMYFUNCTION("REGEXEXTRACT(B750, ""-([^-\s]+)$"")"),"S")</f>
        <v>S</v>
      </c>
      <c r="H750" s="2" t="s">
        <v>980</v>
      </c>
      <c r="I750" s="8" t="str">
        <f t="shared" si="2"/>
        <v>28 -30 in</v>
      </c>
      <c r="J750" s="9" t="s">
        <v>1085</v>
      </c>
    </row>
    <row r="751">
      <c r="A751" s="2">
        <v>4.5614822E7</v>
      </c>
      <c r="B751" s="2" t="s">
        <v>443</v>
      </c>
      <c r="C751" s="2">
        <v>1799.0</v>
      </c>
      <c r="D751" s="7" t="s">
        <v>20</v>
      </c>
      <c r="E751" s="2" t="s">
        <v>1077</v>
      </c>
      <c r="F751" s="2" t="s">
        <v>27</v>
      </c>
      <c r="G751" s="8" t="str">
        <f>IFERROR(__xludf.DUMMYFUNCTION("REGEXEXTRACT(B751, ""-([^-\s]+)$"")"),"M")</f>
        <v>M</v>
      </c>
      <c r="H751" s="2" t="s">
        <v>980</v>
      </c>
      <c r="I751" s="8" t="str">
        <f t="shared" si="2"/>
        <v>30-32 in</v>
      </c>
      <c r="J751" s="9" t="s">
        <v>1085</v>
      </c>
    </row>
    <row r="752">
      <c r="A752" s="2">
        <v>4.5614822E7</v>
      </c>
      <c r="B752" s="2" t="s">
        <v>445</v>
      </c>
      <c r="C752" s="2">
        <v>1799.0</v>
      </c>
      <c r="D752" s="7" t="s">
        <v>20</v>
      </c>
      <c r="E752" s="2" t="s">
        <v>1077</v>
      </c>
      <c r="F752" s="2" t="s">
        <v>27</v>
      </c>
      <c r="G752" s="8" t="str">
        <f>IFERROR(__xludf.DUMMYFUNCTION("REGEXEXTRACT(B752, ""-([^-\s]+)$"")"),"L")</f>
        <v>L</v>
      </c>
      <c r="H752" s="2" t="s">
        <v>980</v>
      </c>
      <c r="I752" s="8" t="str">
        <f t="shared" si="2"/>
        <v>32-34 in</v>
      </c>
      <c r="J752" s="9" t="s">
        <v>1085</v>
      </c>
    </row>
    <row r="753">
      <c r="A753" s="2">
        <v>4.5614822E7</v>
      </c>
      <c r="B753" s="2" t="s">
        <v>454</v>
      </c>
      <c r="C753" s="2">
        <v>1799.0</v>
      </c>
      <c r="D753" s="7" t="s">
        <v>20</v>
      </c>
      <c r="E753" s="2" t="s">
        <v>1077</v>
      </c>
      <c r="F753" s="2" t="s">
        <v>27</v>
      </c>
      <c r="G753" s="8" t="str">
        <f>IFERROR(__xludf.DUMMYFUNCTION("REGEXEXTRACT(B753, ""-([^-\s]+)$"")"),"XL")</f>
        <v>XL</v>
      </c>
      <c r="H753" s="2" t="s">
        <v>980</v>
      </c>
      <c r="I753" s="8" t="str">
        <f t="shared" si="2"/>
        <v>34-36 in</v>
      </c>
      <c r="J753" s="9" t="s">
        <v>1085</v>
      </c>
    </row>
    <row r="754">
      <c r="B754" s="2" t="s">
        <v>456</v>
      </c>
      <c r="C754" s="2">
        <v>1440.0</v>
      </c>
      <c r="D754" s="20" t="s">
        <v>1086</v>
      </c>
      <c r="E754" s="2" t="s">
        <v>1087</v>
      </c>
      <c r="F754" s="2" t="s">
        <v>27</v>
      </c>
      <c r="G754" s="8" t="str">
        <f>IFERROR(__xludf.DUMMYFUNCTION("REGEXEXTRACT(B754, ""-([^-\s]+)$"")"),"S")</f>
        <v>S</v>
      </c>
      <c r="H754" s="2" t="s">
        <v>484</v>
      </c>
      <c r="I754" s="8" t="str">
        <f t="shared" ref="I754:I841" si="3">IF(G754="S", "42 in", IF(G754="M", "44 in", IF(G754="L", "46 in", IF(G754="XL", "48 in", ""))))</f>
        <v>42 in</v>
      </c>
      <c r="J754" s="9" t="s">
        <v>1088</v>
      </c>
    </row>
    <row r="755">
      <c r="B755" s="2" t="s">
        <v>458</v>
      </c>
      <c r="C755" s="2">
        <v>1440.0</v>
      </c>
      <c r="D755" s="20" t="s">
        <v>1086</v>
      </c>
      <c r="E755" s="2" t="s">
        <v>1087</v>
      </c>
      <c r="F755" s="2" t="s">
        <v>27</v>
      </c>
      <c r="G755" s="8" t="str">
        <f>IFERROR(__xludf.DUMMYFUNCTION("REGEXEXTRACT(B755, ""-([^-\s]+)$"")"),"M")</f>
        <v>M</v>
      </c>
      <c r="H755" s="2" t="s">
        <v>484</v>
      </c>
      <c r="I755" s="8" t="str">
        <f t="shared" si="3"/>
        <v>44 in</v>
      </c>
      <c r="J755" s="9" t="s">
        <v>1088</v>
      </c>
    </row>
    <row r="756">
      <c r="B756" s="2" t="s">
        <v>459</v>
      </c>
      <c r="C756" s="2">
        <v>1440.0</v>
      </c>
      <c r="D756" s="20" t="s">
        <v>1086</v>
      </c>
      <c r="E756" s="2" t="s">
        <v>1087</v>
      </c>
      <c r="F756" s="2" t="s">
        <v>27</v>
      </c>
      <c r="G756" s="8" t="str">
        <f>IFERROR(__xludf.DUMMYFUNCTION("REGEXEXTRACT(B756, ""-([^-\s]+)$"")"),"L")</f>
        <v>L</v>
      </c>
      <c r="H756" s="2" t="s">
        <v>484</v>
      </c>
      <c r="I756" s="8" t="str">
        <f t="shared" si="3"/>
        <v>46 in</v>
      </c>
      <c r="J756" s="9" t="s">
        <v>1088</v>
      </c>
    </row>
    <row r="757">
      <c r="B757" s="2" t="s">
        <v>461</v>
      </c>
      <c r="C757" s="2">
        <v>1440.0</v>
      </c>
      <c r="D757" s="20" t="s">
        <v>1086</v>
      </c>
      <c r="E757" s="2" t="s">
        <v>1087</v>
      </c>
      <c r="F757" s="2" t="s">
        <v>27</v>
      </c>
      <c r="G757" s="8" t="str">
        <f>IFERROR(__xludf.DUMMYFUNCTION("REGEXEXTRACT(B757, ""-([^-\s]+)$"")"),"XL")</f>
        <v>XL</v>
      </c>
      <c r="H757" s="2" t="s">
        <v>484</v>
      </c>
      <c r="I757" s="8" t="str">
        <f t="shared" si="3"/>
        <v>48 in</v>
      </c>
      <c r="J757" s="9" t="s">
        <v>1088</v>
      </c>
    </row>
    <row r="758">
      <c r="B758" s="2" t="s">
        <v>462</v>
      </c>
      <c r="C758" s="2">
        <v>1440.0</v>
      </c>
      <c r="D758" s="20" t="s">
        <v>1086</v>
      </c>
      <c r="E758" s="2" t="s">
        <v>1087</v>
      </c>
      <c r="F758" s="2" t="s">
        <v>27</v>
      </c>
      <c r="G758" s="8" t="str">
        <f>IFERROR(__xludf.DUMMYFUNCTION("REGEXEXTRACT(B758, ""-([^-\s]+)$"")"),"S")</f>
        <v>S</v>
      </c>
      <c r="H758" s="2" t="s">
        <v>484</v>
      </c>
      <c r="I758" s="8" t="str">
        <f t="shared" si="3"/>
        <v>42 in</v>
      </c>
      <c r="J758" s="9" t="s">
        <v>1089</v>
      </c>
    </row>
    <row r="759">
      <c r="B759" s="2" t="s">
        <v>464</v>
      </c>
      <c r="C759" s="2">
        <v>1440.0</v>
      </c>
      <c r="D759" s="20" t="s">
        <v>1086</v>
      </c>
      <c r="E759" s="2" t="s">
        <v>1087</v>
      </c>
      <c r="F759" s="2" t="s">
        <v>27</v>
      </c>
      <c r="G759" s="8" t="str">
        <f>IFERROR(__xludf.DUMMYFUNCTION("REGEXEXTRACT(B759, ""-([^-\s]+)$"")"),"M")</f>
        <v>M</v>
      </c>
      <c r="H759" s="2" t="s">
        <v>484</v>
      </c>
      <c r="I759" s="8" t="str">
        <f t="shared" si="3"/>
        <v>44 in</v>
      </c>
      <c r="J759" s="9" t="s">
        <v>1089</v>
      </c>
    </row>
    <row r="760">
      <c r="B760" s="2" t="s">
        <v>466</v>
      </c>
      <c r="C760" s="2">
        <v>1440.0</v>
      </c>
      <c r="D760" s="20" t="s">
        <v>1086</v>
      </c>
      <c r="E760" s="2" t="s">
        <v>1087</v>
      </c>
      <c r="F760" s="2" t="s">
        <v>27</v>
      </c>
      <c r="G760" s="8" t="str">
        <f>IFERROR(__xludf.DUMMYFUNCTION("REGEXEXTRACT(B760, ""-([^-\s]+)$"")"),"L")</f>
        <v>L</v>
      </c>
      <c r="H760" s="2" t="s">
        <v>484</v>
      </c>
      <c r="I760" s="8" t="str">
        <f t="shared" si="3"/>
        <v>46 in</v>
      </c>
      <c r="J760" s="9" t="s">
        <v>1089</v>
      </c>
    </row>
    <row r="761">
      <c r="B761" s="2" t="s">
        <v>468</v>
      </c>
      <c r="C761" s="2">
        <v>1440.0</v>
      </c>
      <c r="D761" s="20" t="s">
        <v>1086</v>
      </c>
      <c r="E761" s="2" t="s">
        <v>1087</v>
      </c>
      <c r="F761" s="2" t="s">
        <v>27</v>
      </c>
      <c r="G761" s="8" t="str">
        <f>IFERROR(__xludf.DUMMYFUNCTION("REGEXEXTRACT(B761, ""-([^-\s]+)$"")"),"XL")</f>
        <v>XL</v>
      </c>
      <c r="H761" s="2" t="s">
        <v>484</v>
      </c>
      <c r="I761" s="8" t="str">
        <f t="shared" si="3"/>
        <v>48 in</v>
      </c>
      <c r="J761" s="9" t="s">
        <v>1089</v>
      </c>
    </row>
    <row r="762">
      <c r="B762" s="2" t="s">
        <v>469</v>
      </c>
      <c r="C762" s="2">
        <v>1440.0</v>
      </c>
      <c r="D762" s="20" t="s">
        <v>1086</v>
      </c>
      <c r="E762" s="2" t="s">
        <v>1087</v>
      </c>
      <c r="F762" s="2" t="s">
        <v>27</v>
      </c>
      <c r="G762" s="8" t="str">
        <f>IFERROR(__xludf.DUMMYFUNCTION("REGEXEXTRACT(B762, ""-([^-\s]+)$"")"),"S")</f>
        <v>S</v>
      </c>
      <c r="H762" s="2" t="s">
        <v>484</v>
      </c>
      <c r="I762" s="8" t="str">
        <f t="shared" si="3"/>
        <v>42 in</v>
      </c>
      <c r="J762" s="9" t="s">
        <v>1090</v>
      </c>
    </row>
    <row r="763">
      <c r="B763" s="2" t="s">
        <v>471</v>
      </c>
      <c r="C763" s="2">
        <v>1440.0</v>
      </c>
      <c r="D763" s="20" t="s">
        <v>1086</v>
      </c>
      <c r="E763" s="2" t="s">
        <v>1087</v>
      </c>
      <c r="F763" s="2" t="s">
        <v>27</v>
      </c>
      <c r="G763" s="8" t="str">
        <f>IFERROR(__xludf.DUMMYFUNCTION("REGEXEXTRACT(B763, ""-([^-\s]+)$"")"),"M")</f>
        <v>M</v>
      </c>
      <c r="H763" s="2" t="s">
        <v>484</v>
      </c>
      <c r="I763" s="8" t="str">
        <f t="shared" si="3"/>
        <v>44 in</v>
      </c>
      <c r="J763" s="9" t="s">
        <v>1090</v>
      </c>
    </row>
    <row r="764">
      <c r="B764" s="2" t="s">
        <v>473</v>
      </c>
      <c r="C764" s="2">
        <v>1440.0</v>
      </c>
      <c r="D764" s="20" t="s">
        <v>1086</v>
      </c>
      <c r="E764" s="2" t="s">
        <v>1087</v>
      </c>
      <c r="F764" s="2" t="s">
        <v>27</v>
      </c>
      <c r="G764" s="8" t="str">
        <f>IFERROR(__xludf.DUMMYFUNCTION("REGEXEXTRACT(B764, ""-([^-\s]+)$"")"),"L")</f>
        <v>L</v>
      </c>
      <c r="H764" s="2" t="s">
        <v>484</v>
      </c>
      <c r="I764" s="8" t="str">
        <f t="shared" si="3"/>
        <v>46 in</v>
      </c>
      <c r="J764" s="9" t="s">
        <v>1090</v>
      </c>
    </row>
    <row r="765">
      <c r="B765" s="2" t="s">
        <v>474</v>
      </c>
      <c r="C765" s="2">
        <v>1440.0</v>
      </c>
      <c r="D765" s="20" t="s">
        <v>1086</v>
      </c>
      <c r="E765" s="2" t="s">
        <v>1087</v>
      </c>
      <c r="F765" s="2" t="s">
        <v>27</v>
      </c>
      <c r="G765" s="8" t="str">
        <f>IFERROR(__xludf.DUMMYFUNCTION("REGEXEXTRACT(B765, ""-([^-\s]+)$"")"),"XL")</f>
        <v>XL</v>
      </c>
      <c r="H765" s="2" t="s">
        <v>484</v>
      </c>
      <c r="I765" s="8" t="str">
        <f t="shared" si="3"/>
        <v>48 in</v>
      </c>
      <c r="J765" s="9" t="s">
        <v>1090</v>
      </c>
    </row>
    <row r="766">
      <c r="B766" s="2" t="s">
        <v>475</v>
      </c>
      <c r="C766" s="2">
        <v>1440.0</v>
      </c>
      <c r="D766" s="20" t="s">
        <v>1086</v>
      </c>
      <c r="E766" s="2" t="s">
        <v>1087</v>
      </c>
      <c r="F766" s="2" t="s">
        <v>27</v>
      </c>
      <c r="G766" s="8" t="str">
        <f>IFERROR(__xludf.DUMMYFUNCTION("REGEXEXTRACT(B766, ""-([^-\s]+)$"")"),"S")</f>
        <v>S</v>
      </c>
      <c r="H766" s="2" t="s">
        <v>484</v>
      </c>
      <c r="I766" s="8" t="str">
        <f t="shared" si="3"/>
        <v>42 in</v>
      </c>
      <c r="J766" s="9" t="s">
        <v>1091</v>
      </c>
    </row>
    <row r="767">
      <c r="B767" s="2" t="s">
        <v>476</v>
      </c>
      <c r="C767" s="2">
        <v>1440.0</v>
      </c>
      <c r="D767" s="20" t="s">
        <v>1086</v>
      </c>
      <c r="E767" s="2" t="s">
        <v>1087</v>
      </c>
      <c r="F767" s="2" t="s">
        <v>27</v>
      </c>
      <c r="G767" s="8" t="str">
        <f>IFERROR(__xludf.DUMMYFUNCTION("REGEXEXTRACT(B767, ""-([^-\s]+)$"")"),"M")</f>
        <v>M</v>
      </c>
      <c r="H767" s="2" t="s">
        <v>484</v>
      </c>
      <c r="I767" s="8" t="str">
        <f t="shared" si="3"/>
        <v>44 in</v>
      </c>
      <c r="J767" s="9" t="s">
        <v>1091</v>
      </c>
    </row>
    <row r="768">
      <c r="B768" s="2" t="s">
        <v>477</v>
      </c>
      <c r="C768" s="2">
        <v>1440.0</v>
      </c>
      <c r="D768" s="20" t="s">
        <v>1086</v>
      </c>
      <c r="E768" s="2" t="s">
        <v>1087</v>
      </c>
      <c r="F768" s="2" t="s">
        <v>27</v>
      </c>
      <c r="G768" s="8" t="str">
        <f>IFERROR(__xludf.DUMMYFUNCTION("REGEXEXTRACT(B768, ""-([^-\s]+)$"")"),"L")</f>
        <v>L</v>
      </c>
      <c r="H768" s="2" t="s">
        <v>484</v>
      </c>
      <c r="I768" s="8" t="str">
        <f t="shared" si="3"/>
        <v>46 in</v>
      </c>
      <c r="J768" s="9" t="s">
        <v>1091</v>
      </c>
    </row>
    <row r="769">
      <c r="B769" s="2" t="s">
        <v>478</v>
      </c>
      <c r="C769" s="2">
        <v>1440.0</v>
      </c>
      <c r="D769" s="20" t="s">
        <v>1086</v>
      </c>
      <c r="E769" s="2" t="s">
        <v>1087</v>
      </c>
      <c r="F769" s="2" t="s">
        <v>27</v>
      </c>
      <c r="G769" s="8" t="str">
        <f>IFERROR(__xludf.DUMMYFUNCTION("REGEXEXTRACT(B769, ""-([^-\s]+)$"")"),"XL")</f>
        <v>XL</v>
      </c>
      <c r="H769" s="2" t="s">
        <v>484</v>
      </c>
      <c r="I769" s="8" t="str">
        <f t="shared" si="3"/>
        <v>48 in</v>
      </c>
      <c r="J769" s="9" t="s">
        <v>1091</v>
      </c>
    </row>
    <row r="770">
      <c r="B770" s="2" t="s">
        <v>479</v>
      </c>
      <c r="C770" s="2">
        <v>1440.0</v>
      </c>
      <c r="D770" s="20" t="s">
        <v>1086</v>
      </c>
      <c r="E770" s="2" t="s">
        <v>1087</v>
      </c>
      <c r="F770" s="2" t="s">
        <v>27</v>
      </c>
      <c r="G770" s="8" t="str">
        <f>IFERROR(__xludf.DUMMYFUNCTION("REGEXEXTRACT(B770, ""-([^-\s]+)$"")"),"S")</f>
        <v>S</v>
      </c>
      <c r="H770" s="2" t="s">
        <v>484</v>
      </c>
      <c r="I770" s="8" t="str">
        <f t="shared" si="3"/>
        <v>42 in</v>
      </c>
      <c r="J770" s="9" t="s">
        <v>1092</v>
      </c>
    </row>
    <row r="771">
      <c r="B771" s="2" t="s">
        <v>480</v>
      </c>
      <c r="C771" s="2">
        <v>1440.0</v>
      </c>
      <c r="D771" s="20" t="s">
        <v>1086</v>
      </c>
      <c r="E771" s="2" t="s">
        <v>1087</v>
      </c>
      <c r="F771" s="2" t="s">
        <v>27</v>
      </c>
      <c r="G771" s="8" t="str">
        <f>IFERROR(__xludf.DUMMYFUNCTION("REGEXEXTRACT(B771, ""-([^-\s]+)$"")"),"M")</f>
        <v>M</v>
      </c>
      <c r="H771" s="2" t="s">
        <v>484</v>
      </c>
      <c r="I771" s="8" t="str">
        <f t="shared" si="3"/>
        <v>44 in</v>
      </c>
      <c r="J771" s="9" t="s">
        <v>1092</v>
      </c>
    </row>
    <row r="772">
      <c r="B772" s="2" t="s">
        <v>481</v>
      </c>
      <c r="C772" s="2">
        <v>1440.0</v>
      </c>
      <c r="D772" s="20" t="s">
        <v>1086</v>
      </c>
      <c r="E772" s="2" t="s">
        <v>1087</v>
      </c>
      <c r="F772" s="2" t="s">
        <v>27</v>
      </c>
      <c r="G772" s="8" t="str">
        <f>IFERROR(__xludf.DUMMYFUNCTION("REGEXEXTRACT(B772, ""-([^-\s]+)$"")"),"L")</f>
        <v>L</v>
      </c>
      <c r="H772" s="2" t="s">
        <v>484</v>
      </c>
      <c r="I772" s="8" t="str">
        <f t="shared" si="3"/>
        <v>46 in</v>
      </c>
      <c r="J772" s="9" t="s">
        <v>1092</v>
      </c>
    </row>
    <row r="773">
      <c r="B773" s="2" t="s">
        <v>483</v>
      </c>
      <c r="C773" s="2">
        <v>1440.0</v>
      </c>
      <c r="D773" s="20" t="s">
        <v>1086</v>
      </c>
      <c r="E773" s="2" t="s">
        <v>1087</v>
      </c>
      <c r="F773" s="2" t="s">
        <v>27</v>
      </c>
      <c r="G773" s="8" t="str">
        <f>IFERROR(__xludf.DUMMYFUNCTION("REGEXEXTRACT(B773, ""-([^-\s]+)$"")"),"XL")</f>
        <v>XL</v>
      </c>
      <c r="H773" s="2" t="s">
        <v>484</v>
      </c>
      <c r="I773" s="8" t="str">
        <f t="shared" si="3"/>
        <v>48 in</v>
      </c>
      <c r="J773" s="9" t="s">
        <v>1092</v>
      </c>
    </row>
    <row r="774">
      <c r="B774" s="2" t="s">
        <v>486</v>
      </c>
      <c r="C774" s="2">
        <v>1440.0</v>
      </c>
      <c r="D774" s="20" t="s">
        <v>1086</v>
      </c>
      <c r="E774" s="2" t="s">
        <v>1087</v>
      </c>
      <c r="F774" s="2" t="s">
        <v>27</v>
      </c>
      <c r="G774" s="8" t="str">
        <f>IFERROR(__xludf.DUMMYFUNCTION("REGEXEXTRACT(B774, ""-([^-\s]+)$"")"),"S")</f>
        <v>S</v>
      </c>
      <c r="H774" s="2" t="s">
        <v>484</v>
      </c>
      <c r="I774" s="8" t="str">
        <f t="shared" si="3"/>
        <v>42 in</v>
      </c>
      <c r="J774" s="9" t="s">
        <v>1093</v>
      </c>
    </row>
    <row r="775">
      <c r="B775" s="2" t="s">
        <v>488</v>
      </c>
      <c r="C775" s="2">
        <v>1440.0</v>
      </c>
      <c r="D775" s="20" t="s">
        <v>1086</v>
      </c>
      <c r="E775" s="2" t="s">
        <v>1087</v>
      </c>
      <c r="F775" s="2" t="s">
        <v>27</v>
      </c>
      <c r="G775" s="8" t="str">
        <f>IFERROR(__xludf.DUMMYFUNCTION("REGEXEXTRACT(B775, ""-([^-\s]+)$"")"),"M")</f>
        <v>M</v>
      </c>
      <c r="H775" s="2" t="s">
        <v>484</v>
      </c>
      <c r="I775" s="8" t="str">
        <f t="shared" si="3"/>
        <v>44 in</v>
      </c>
      <c r="J775" s="9" t="s">
        <v>1093</v>
      </c>
    </row>
    <row r="776">
      <c r="B776" s="2" t="s">
        <v>489</v>
      </c>
      <c r="C776" s="2">
        <v>1440.0</v>
      </c>
      <c r="D776" s="20" t="s">
        <v>1086</v>
      </c>
      <c r="E776" s="2" t="s">
        <v>1087</v>
      </c>
      <c r="F776" s="2" t="s">
        <v>27</v>
      </c>
      <c r="G776" s="8" t="str">
        <f>IFERROR(__xludf.DUMMYFUNCTION("REGEXEXTRACT(B776, ""-([^-\s]+)$"")"),"L")</f>
        <v>L</v>
      </c>
      <c r="H776" s="2" t="s">
        <v>484</v>
      </c>
      <c r="I776" s="8" t="str">
        <f t="shared" si="3"/>
        <v>46 in</v>
      </c>
      <c r="J776" s="9" t="s">
        <v>1093</v>
      </c>
    </row>
    <row r="777">
      <c r="B777" s="2" t="s">
        <v>492</v>
      </c>
      <c r="C777" s="2">
        <v>1440.0</v>
      </c>
      <c r="D777" s="20" t="s">
        <v>1086</v>
      </c>
      <c r="E777" s="2" t="s">
        <v>1087</v>
      </c>
      <c r="F777" s="2" t="s">
        <v>27</v>
      </c>
      <c r="G777" s="8" t="str">
        <f>IFERROR(__xludf.DUMMYFUNCTION("REGEXEXTRACT(B777, ""-([^-\s]+)$"")"),"XL")</f>
        <v>XL</v>
      </c>
      <c r="H777" s="2" t="s">
        <v>484</v>
      </c>
      <c r="I777" s="8" t="str">
        <f t="shared" si="3"/>
        <v>48 in</v>
      </c>
      <c r="J777" s="9" t="s">
        <v>1093</v>
      </c>
    </row>
    <row r="778">
      <c r="B778" s="2" t="s">
        <v>494</v>
      </c>
      <c r="C778" s="2">
        <v>1440.0</v>
      </c>
      <c r="D778" s="20" t="s">
        <v>1086</v>
      </c>
      <c r="E778" s="2" t="s">
        <v>1087</v>
      </c>
      <c r="F778" s="2" t="s">
        <v>27</v>
      </c>
      <c r="G778" s="8" t="str">
        <f>IFERROR(__xludf.DUMMYFUNCTION("REGEXEXTRACT(B778, ""-([^-\s]+)$"")"),"S")</f>
        <v>S</v>
      </c>
      <c r="H778" s="2" t="s">
        <v>484</v>
      </c>
      <c r="I778" s="8" t="str">
        <f t="shared" si="3"/>
        <v>42 in</v>
      </c>
      <c r="J778" s="9" t="s">
        <v>1094</v>
      </c>
    </row>
    <row r="779">
      <c r="B779" s="2" t="s">
        <v>495</v>
      </c>
      <c r="C779" s="2">
        <v>1440.0</v>
      </c>
      <c r="D779" s="20" t="s">
        <v>1086</v>
      </c>
      <c r="E779" s="2" t="s">
        <v>1087</v>
      </c>
      <c r="F779" s="2" t="s">
        <v>27</v>
      </c>
      <c r="G779" s="8" t="str">
        <f>IFERROR(__xludf.DUMMYFUNCTION("REGEXEXTRACT(B779, ""-([^-\s]+)$"")"),"M")</f>
        <v>M</v>
      </c>
      <c r="H779" s="2" t="s">
        <v>484</v>
      </c>
      <c r="I779" s="8" t="str">
        <f t="shared" si="3"/>
        <v>44 in</v>
      </c>
      <c r="J779" s="9" t="s">
        <v>1094</v>
      </c>
    </row>
    <row r="780">
      <c r="B780" s="2" t="s">
        <v>497</v>
      </c>
      <c r="C780" s="2">
        <v>1440.0</v>
      </c>
      <c r="D780" s="20" t="s">
        <v>1086</v>
      </c>
      <c r="E780" s="2" t="s">
        <v>1087</v>
      </c>
      <c r="F780" s="2" t="s">
        <v>27</v>
      </c>
      <c r="G780" s="8" t="str">
        <f>IFERROR(__xludf.DUMMYFUNCTION("REGEXEXTRACT(B780, ""-([^-\s]+)$"")"),"L")</f>
        <v>L</v>
      </c>
      <c r="H780" s="2" t="s">
        <v>484</v>
      </c>
      <c r="I780" s="8" t="str">
        <f t="shared" si="3"/>
        <v>46 in</v>
      </c>
      <c r="J780" s="9" t="s">
        <v>1094</v>
      </c>
    </row>
    <row r="781">
      <c r="B781" s="2" t="s">
        <v>499</v>
      </c>
      <c r="C781" s="2">
        <v>1440.0</v>
      </c>
      <c r="D781" s="20" t="s">
        <v>1086</v>
      </c>
      <c r="E781" s="2" t="s">
        <v>1087</v>
      </c>
      <c r="F781" s="2" t="s">
        <v>27</v>
      </c>
      <c r="G781" s="8" t="str">
        <f>IFERROR(__xludf.DUMMYFUNCTION("REGEXEXTRACT(B781, ""-([^-\s]+)$"")"),"XL")</f>
        <v>XL</v>
      </c>
      <c r="H781" s="2" t="s">
        <v>484</v>
      </c>
      <c r="I781" s="8" t="str">
        <f t="shared" si="3"/>
        <v>48 in</v>
      </c>
      <c r="J781" s="9" t="s">
        <v>1094</v>
      </c>
    </row>
    <row r="782">
      <c r="A782" s="2">
        <v>4.6163829E7</v>
      </c>
      <c r="B782" s="1" t="s">
        <v>500</v>
      </c>
      <c r="C782" s="21">
        <v>2199.0</v>
      </c>
      <c r="D782" s="7" t="s">
        <v>20</v>
      </c>
      <c r="E782" s="1" t="s">
        <v>24</v>
      </c>
      <c r="F782" s="2" t="s">
        <v>27</v>
      </c>
      <c r="G782" s="8" t="str">
        <f>IFERROR(__xludf.DUMMYFUNCTION("REGEXEXTRACT(B782, ""-([^-\s]+)$"")"),"S")</f>
        <v>S</v>
      </c>
      <c r="H782" s="2" t="s">
        <v>1095</v>
      </c>
      <c r="I782" s="8" t="str">
        <f t="shared" si="3"/>
        <v>42 in</v>
      </c>
      <c r="J782" s="2" t="s">
        <v>1096</v>
      </c>
    </row>
    <row r="783">
      <c r="A783" s="2">
        <v>4.6163829E7</v>
      </c>
      <c r="B783" s="1" t="s">
        <v>502</v>
      </c>
      <c r="C783" s="21">
        <v>2199.0</v>
      </c>
      <c r="D783" s="7" t="s">
        <v>20</v>
      </c>
      <c r="E783" s="1" t="s">
        <v>24</v>
      </c>
      <c r="F783" s="2" t="s">
        <v>27</v>
      </c>
      <c r="G783" s="8" t="str">
        <f>IFERROR(__xludf.DUMMYFUNCTION("REGEXEXTRACT(B783, ""-([^-\s]+)$"")"),"M")</f>
        <v>M</v>
      </c>
      <c r="H783" s="2" t="s">
        <v>1095</v>
      </c>
      <c r="I783" s="8" t="str">
        <f t="shared" si="3"/>
        <v>44 in</v>
      </c>
      <c r="J783" s="2" t="s">
        <v>1096</v>
      </c>
    </row>
    <row r="784">
      <c r="A784" s="2">
        <v>4.6163829E7</v>
      </c>
      <c r="B784" s="1" t="s">
        <v>504</v>
      </c>
      <c r="C784" s="21">
        <v>2199.0</v>
      </c>
      <c r="D784" s="7" t="s">
        <v>20</v>
      </c>
      <c r="E784" s="1" t="s">
        <v>24</v>
      </c>
      <c r="F784" s="2" t="s">
        <v>27</v>
      </c>
      <c r="G784" s="8" t="str">
        <f>IFERROR(__xludf.DUMMYFUNCTION("REGEXEXTRACT(B784, ""-([^-\s]+)$"")"),"L")</f>
        <v>L</v>
      </c>
      <c r="H784" s="2" t="s">
        <v>1095</v>
      </c>
      <c r="I784" s="8" t="str">
        <f t="shared" si="3"/>
        <v>46 in</v>
      </c>
      <c r="J784" s="2" t="s">
        <v>1096</v>
      </c>
    </row>
    <row r="785">
      <c r="A785" s="2">
        <v>4.6163829E7</v>
      </c>
      <c r="B785" s="1" t="s">
        <v>505</v>
      </c>
      <c r="C785" s="21">
        <v>2199.0</v>
      </c>
      <c r="D785" s="7" t="s">
        <v>20</v>
      </c>
      <c r="E785" s="1" t="s">
        <v>24</v>
      </c>
      <c r="F785" s="2" t="s">
        <v>27</v>
      </c>
      <c r="G785" s="8" t="str">
        <f>IFERROR(__xludf.DUMMYFUNCTION("REGEXEXTRACT(B785, ""-([^-\s]+)$"")"),"XL")</f>
        <v>XL</v>
      </c>
      <c r="H785" s="2" t="s">
        <v>1095</v>
      </c>
      <c r="I785" s="8" t="str">
        <f t="shared" si="3"/>
        <v>48 in</v>
      </c>
      <c r="J785" s="2" t="s">
        <v>1096</v>
      </c>
    </row>
    <row r="786">
      <c r="A786" s="2">
        <v>4.6175272E7</v>
      </c>
      <c r="B786" s="2" t="s">
        <v>507</v>
      </c>
      <c r="C786" s="21">
        <v>2199.0</v>
      </c>
      <c r="D786" s="7" t="s">
        <v>20</v>
      </c>
      <c r="E786" s="1" t="s">
        <v>24</v>
      </c>
      <c r="F786" s="2" t="s">
        <v>27</v>
      </c>
      <c r="G786" s="8" t="str">
        <f>IFERROR(__xludf.DUMMYFUNCTION("REGEXEXTRACT(B786, ""-([^-\s]+)$"")"),"S")</f>
        <v>S</v>
      </c>
      <c r="H786" s="2" t="s">
        <v>938</v>
      </c>
      <c r="I786" s="8" t="str">
        <f t="shared" si="3"/>
        <v>42 in</v>
      </c>
      <c r="J786" s="2" t="s">
        <v>1097</v>
      </c>
    </row>
    <row r="787">
      <c r="A787" s="2">
        <v>4.6175272E7</v>
      </c>
      <c r="B787" s="2" t="s">
        <v>509</v>
      </c>
      <c r="C787" s="21">
        <v>2199.0</v>
      </c>
      <c r="D787" s="7" t="s">
        <v>20</v>
      </c>
      <c r="E787" s="1" t="s">
        <v>24</v>
      </c>
      <c r="F787" s="2" t="s">
        <v>27</v>
      </c>
      <c r="G787" s="8" t="str">
        <f>IFERROR(__xludf.DUMMYFUNCTION("REGEXEXTRACT(B787, ""-([^-\s]+)$"")"),"M")</f>
        <v>M</v>
      </c>
      <c r="H787" s="2" t="s">
        <v>938</v>
      </c>
      <c r="I787" s="8" t="str">
        <f t="shared" si="3"/>
        <v>44 in</v>
      </c>
      <c r="J787" s="2" t="s">
        <v>1097</v>
      </c>
    </row>
    <row r="788">
      <c r="A788" s="2">
        <v>4.6175272E7</v>
      </c>
      <c r="B788" s="2" t="s">
        <v>511</v>
      </c>
      <c r="C788" s="21">
        <v>2199.0</v>
      </c>
      <c r="D788" s="7" t="s">
        <v>20</v>
      </c>
      <c r="E788" s="1" t="s">
        <v>24</v>
      </c>
      <c r="F788" s="2" t="s">
        <v>27</v>
      </c>
      <c r="G788" s="8" t="str">
        <f>IFERROR(__xludf.DUMMYFUNCTION("REGEXEXTRACT(B788, ""-([^-\s]+)$"")"),"L")</f>
        <v>L</v>
      </c>
      <c r="H788" s="2" t="s">
        <v>938</v>
      </c>
      <c r="I788" s="8" t="str">
        <f t="shared" si="3"/>
        <v>46 in</v>
      </c>
      <c r="J788" s="2" t="s">
        <v>1097</v>
      </c>
    </row>
    <row r="789">
      <c r="A789" s="2">
        <v>4.6175272E7</v>
      </c>
      <c r="B789" s="2" t="s">
        <v>513</v>
      </c>
      <c r="C789" s="21">
        <v>2199.0</v>
      </c>
      <c r="D789" s="7" t="s">
        <v>20</v>
      </c>
      <c r="E789" s="1" t="s">
        <v>24</v>
      </c>
      <c r="F789" s="2" t="s">
        <v>27</v>
      </c>
      <c r="G789" s="8" t="str">
        <f>IFERROR(__xludf.DUMMYFUNCTION("REGEXEXTRACT(B789, ""-([^-\s]+)$"")"),"XL")</f>
        <v>XL</v>
      </c>
      <c r="H789" s="2" t="s">
        <v>938</v>
      </c>
      <c r="I789" s="8" t="str">
        <f t="shared" si="3"/>
        <v>48 in</v>
      </c>
      <c r="J789" s="2" t="s">
        <v>1097</v>
      </c>
    </row>
    <row r="790">
      <c r="A790" s="2">
        <v>4.6176155E7</v>
      </c>
      <c r="B790" s="2" t="s">
        <v>514</v>
      </c>
      <c r="C790" s="21">
        <v>2199.0</v>
      </c>
      <c r="D790" s="7" t="s">
        <v>20</v>
      </c>
      <c r="E790" s="1" t="s">
        <v>24</v>
      </c>
      <c r="F790" s="2" t="s">
        <v>27</v>
      </c>
      <c r="G790" s="8" t="str">
        <f>IFERROR(__xludf.DUMMYFUNCTION("REGEXEXTRACT(B790, ""-([^-\s]+)$"")"),"S")</f>
        <v>S</v>
      </c>
      <c r="H790" s="2" t="s">
        <v>278</v>
      </c>
      <c r="I790" s="8" t="str">
        <f t="shared" si="3"/>
        <v>42 in</v>
      </c>
      <c r="J790" s="2" t="s">
        <v>1098</v>
      </c>
    </row>
    <row r="791">
      <c r="A791" s="2">
        <v>4.6176155E7</v>
      </c>
      <c r="B791" s="2" t="s">
        <v>516</v>
      </c>
      <c r="C791" s="21">
        <v>2199.0</v>
      </c>
      <c r="D791" s="7" t="s">
        <v>20</v>
      </c>
      <c r="E791" s="1" t="s">
        <v>24</v>
      </c>
      <c r="F791" s="2" t="s">
        <v>27</v>
      </c>
      <c r="G791" s="8" t="str">
        <f>IFERROR(__xludf.DUMMYFUNCTION("REGEXEXTRACT(B791, ""-([^-\s]+)$"")"),"M")</f>
        <v>M</v>
      </c>
      <c r="H791" s="2" t="s">
        <v>278</v>
      </c>
      <c r="I791" s="8" t="str">
        <f t="shared" si="3"/>
        <v>44 in</v>
      </c>
      <c r="J791" s="2" t="s">
        <v>1098</v>
      </c>
    </row>
    <row r="792">
      <c r="A792" s="2">
        <v>4.6176155E7</v>
      </c>
      <c r="B792" s="2" t="s">
        <v>517</v>
      </c>
      <c r="C792" s="21">
        <v>2199.0</v>
      </c>
      <c r="D792" s="7" t="s">
        <v>20</v>
      </c>
      <c r="E792" s="1" t="s">
        <v>24</v>
      </c>
      <c r="F792" s="2" t="s">
        <v>27</v>
      </c>
      <c r="G792" s="8" t="str">
        <f>IFERROR(__xludf.DUMMYFUNCTION("REGEXEXTRACT(B792, ""-([^-\s]+)$"")"),"L")</f>
        <v>L</v>
      </c>
      <c r="H792" s="2" t="s">
        <v>278</v>
      </c>
      <c r="I792" s="8" t="str">
        <f t="shared" si="3"/>
        <v>46 in</v>
      </c>
      <c r="J792" s="2" t="s">
        <v>1098</v>
      </c>
    </row>
    <row r="793">
      <c r="A793" s="2">
        <v>4.6176155E7</v>
      </c>
      <c r="B793" s="2" t="s">
        <v>518</v>
      </c>
      <c r="C793" s="21">
        <v>2199.0</v>
      </c>
      <c r="D793" s="7" t="s">
        <v>20</v>
      </c>
      <c r="E793" s="1" t="s">
        <v>24</v>
      </c>
      <c r="F793" s="2" t="s">
        <v>27</v>
      </c>
      <c r="G793" s="8" t="str">
        <f>IFERROR(__xludf.DUMMYFUNCTION("REGEXEXTRACT(B793, ""-([^-\s]+)$"")"),"XL")</f>
        <v>XL</v>
      </c>
      <c r="H793" s="2" t="s">
        <v>278</v>
      </c>
      <c r="I793" s="8" t="str">
        <f t="shared" si="3"/>
        <v>48 in</v>
      </c>
      <c r="J793" s="2" t="s">
        <v>1098</v>
      </c>
    </row>
    <row r="794">
      <c r="A794" s="2">
        <v>4.6174169E7</v>
      </c>
      <c r="B794" s="2" t="s">
        <v>520</v>
      </c>
      <c r="C794" s="21">
        <v>2199.0</v>
      </c>
      <c r="D794" s="7" t="s">
        <v>20</v>
      </c>
      <c r="E794" s="1" t="s">
        <v>24</v>
      </c>
      <c r="F794" s="2" t="s">
        <v>27</v>
      </c>
      <c r="G794" s="8" t="str">
        <f>IFERROR(__xludf.DUMMYFUNCTION("REGEXEXTRACT(B794, ""-([^-\s]+)$"")"),"S")</f>
        <v>S</v>
      </c>
      <c r="H794" s="2" t="s">
        <v>928</v>
      </c>
      <c r="I794" s="8" t="str">
        <f t="shared" si="3"/>
        <v>42 in</v>
      </c>
      <c r="J794" s="2" t="s">
        <v>1099</v>
      </c>
    </row>
    <row r="795">
      <c r="A795" s="2">
        <v>4.6174169E7</v>
      </c>
      <c r="B795" s="2" t="s">
        <v>521</v>
      </c>
      <c r="C795" s="21">
        <v>2199.0</v>
      </c>
      <c r="D795" s="7" t="s">
        <v>20</v>
      </c>
      <c r="E795" s="1" t="s">
        <v>24</v>
      </c>
      <c r="F795" s="2" t="s">
        <v>27</v>
      </c>
      <c r="G795" s="8" t="str">
        <f>IFERROR(__xludf.DUMMYFUNCTION("REGEXEXTRACT(B795, ""-([^-\s]+)$"")"),"M")</f>
        <v>M</v>
      </c>
      <c r="H795" s="2" t="s">
        <v>928</v>
      </c>
      <c r="I795" s="8" t="str">
        <f t="shared" si="3"/>
        <v>44 in</v>
      </c>
      <c r="J795" s="2" t="s">
        <v>1099</v>
      </c>
    </row>
    <row r="796">
      <c r="A796" s="2">
        <v>4.6174169E7</v>
      </c>
      <c r="B796" s="2" t="s">
        <v>523</v>
      </c>
      <c r="C796" s="21">
        <v>2199.0</v>
      </c>
      <c r="D796" s="7" t="s">
        <v>20</v>
      </c>
      <c r="E796" s="1" t="s">
        <v>24</v>
      </c>
      <c r="F796" s="2" t="s">
        <v>27</v>
      </c>
      <c r="G796" s="8" t="str">
        <f>IFERROR(__xludf.DUMMYFUNCTION("REGEXEXTRACT(B796, ""-([^-\s]+)$"")"),"L")</f>
        <v>L</v>
      </c>
      <c r="H796" s="2" t="s">
        <v>928</v>
      </c>
      <c r="I796" s="8" t="str">
        <f t="shared" si="3"/>
        <v>46 in</v>
      </c>
      <c r="J796" s="2" t="s">
        <v>1099</v>
      </c>
    </row>
    <row r="797">
      <c r="A797" s="2">
        <v>4.6174169E7</v>
      </c>
      <c r="B797" s="2" t="s">
        <v>524</v>
      </c>
      <c r="C797" s="21">
        <v>2199.0</v>
      </c>
      <c r="D797" s="7" t="s">
        <v>20</v>
      </c>
      <c r="E797" s="1" t="s">
        <v>24</v>
      </c>
      <c r="F797" s="2" t="s">
        <v>27</v>
      </c>
      <c r="G797" s="8" t="str">
        <f>IFERROR(__xludf.DUMMYFUNCTION("REGEXEXTRACT(B797, ""-([^-\s]+)$"")"),"XL")</f>
        <v>XL</v>
      </c>
      <c r="H797" s="2" t="s">
        <v>928</v>
      </c>
      <c r="I797" s="8" t="str">
        <f t="shared" si="3"/>
        <v>48 in</v>
      </c>
      <c r="J797" s="2" t="s">
        <v>1099</v>
      </c>
    </row>
    <row r="798">
      <c r="A798" s="2">
        <v>4.6163828E7</v>
      </c>
      <c r="B798" s="2" t="s">
        <v>526</v>
      </c>
      <c r="C798" s="21">
        <v>2199.0</v>
      </c>
      <c r="D798" s="7" t="s">
        <v>20</v>
      </c>
      <c r="E798" s="1" t="s">
        <v>24</v>
      </c>
      <c r="F798" s="2" t="s">
        <v>27</v>
      </c>
      <c r="G798" s="8" t="str">
        <f>IFERROR(__xludf.DUMMYFUNCTION("REGEXEXTRACT(B798, ""-([^-\s]+)$"")"),"S")</f>
        <v>S</v>
      </c>
      <c r="H798" s="2" t="s">
        <v>345</v>
      </c>
      <c r="I798" s="8" t="str">
        <f t="shared" si="3"/>
        <v>42 in</v>
      </c>
      <c r="J798" s="2" t="s">
        <v>1100</v>
      </c>
    </row>
    <row r="799">
      <c r="A799" s="2">
        <v>4.6163828E7</v>
      </c>
      <c r="B799" s="2" t="s">
        <v>527</v>
      </c>
      <c r="C799" s="21">
        <v>2199.0</v>
      </c>
      <c r="D799" s="7" t="s">
        <v>20</v>
      </c>
      <c r="E799" s="1" t="s">
        <v>24</v>
      </c>
      <c r="F799" s="2" t="s">
        <v>27</v>
      </c>
      <c r="G799" s="8" t="str">
        <f>IFERROR(__xludf.DUMMYFUNCTION("REGEXEXTRACT(B799, ""-([^-\s]+)$"")"),"M")</f>
        <v>M</v>
      </c>
      <c r="H799" s="2" t="s">
        <v>345</v>
      </c>
      <c r="I799" s="8" t="str">
        <f t="shared" si="3"/>
        <v>44 in</v>
      </c>
      <c r="J799" s="2" t="s">
        <v>1100</v>
      </c>
    </row>
    <row r="800">
      <c r="A800" s="2">
        <v>4.6163828E7</v>
      </c>
      <c r="B800" s="2" t="s">
        <v>529</v>
      </c>
      <c r="C800" s="21">
        <v>2199.0</v>
      </c>
      <c r="D800" s="7" t="s">
        <v>20</v>
      </c>
      <c r="E800" s="1" t="s">
        <v>24</v>
      </c>
      <c r="F800" s="2" t="s">
        <v>27</v>
      </c>
      <c r="G800" s="8" t="str">
        <f>IFERROR(__xludf.DUMMYFUNCTION("REGEXEXTRACT(B800, ""-([^-\s]+)$"")"),"L")</f>
        <v>L</v>
      </c>
      <c r="H800" s="2" t="s">
        <v>345</v>
      </c>
      <c r="I800" s="8" t="str">
        <f t="shared" si="3"/>
        <v>46 in</v>
      </c>
      <c r="J800" s="2" t="s">
        <v>1100</v>
      </c>
    </row>
    <row r="801">
      <c r="A801" s="2">
        <v>4.6163828E7</v>
      </c>
      <c r="B801" s="2" t="s">
        <v>530</v>
      </c>
      <c r="C801" s="21">
        <v>2199.0</v>
      </c>
      <c r="D801" s="7" t="s">
        <v>20</v>
      </c>
      <c r="E801" s="1" t="s">
        <v>24</v>
      </c>
      <c r="F801" s="2" t="s">
        <v>27</v>
      </c>
      <c r="G801" s="8" t="str">
        <f>IFERROR(__xludf.DUMMYFUNCTION("REGEXEXTRACT(B801, ""-([^-\s]+)$"")"),"XL")</f>
        <v>XL</v>
      </c>
      <c r="H801" s="2" t="s">
        <v>345</v>
      </c>
      <c r="I801" s="8" t="str">
        <f t="shared" si="3"/>
        <v>48 in</v>
      </c>
      <c r="J801" s="2" t="s">
        <v>1100</v>
      </c>
    </row>
    <row r="802">
      <c r="A802" s="2">
        <v>4.6163826E7</v>
      </c>
      <c r="B802" s="2" t="s">
        <v>532</v>
      </c>
      <c r="C802" s="21">
        <v>2199.0</v>
      </c>
      <c r="D802" s="7" t="s">
        <v>20</v>
      </c>
      <c r="E802" s="1" t="s">
        <v>24</v>
      </c>
      <c r="F802" s="2" t="s">
        <v>27</v>
      </c>
      <c r="G802" s="8" t="str">
        <f>IFERROR(__xludf.DUMMYFUNCTION("REGEXEXTRACT(B802, ""-([^-\s]+)$"")"),"S")</f>
        <v>S</v>
      </c>
      <c r="H802" s="2" t="s">
        <v>484</v>
      </c>
      <c r="I802" s="8" t="str">
        <f t="shared" si="3"/>
        <v>42 in</v>
      </c>
      <c r="J802" s="2" t="s">
        <v>1101</v>
      </c>
    </row>
    <row r="803">
      <c r="A803" s="2">
        <v>4.6163826E7</v>
      </c>
      <c r="B803" s="2" t="s">
        <v>534</v>
      </c>
      <c r="C803" s="21">
        <v>2199.0</v>
      </c>
      <c r="D803" s="7" t="s">
        <v>20</v>
      </c>
      <c r="E803" s="1" t="s">
        <v>24</v>
      </c>
      <c r="F803" s="2" t="s">
        <v>27</v>
      </c>
      <c r="G803" s="8" t="str">
        <f>IFERROR(__xludf.DUMMYFUNCTION("REGEXEXTRACT(B803, ""-([^-\s]+)$"")"),"M")</f>
        <v>M</v>
      </c>
      <c r="H803" s="2" t="s">
        <v>484</v>
      </c>
      <c r="I803" s="8" t="str">
        <f t="shared" si="3"/>
        <v>44 in</v>
      </c>
      <c r="J803" s="2" t="s">
        <v>1101</v>
      </c>
    </row>
    <row r="804">
      <c r="A804" s="2">
        <v>4.6163826E7</v>
      </c>
      <c r="B804" s="2" t="s">
        <v>535</v>
      </c>
      <c r="C804" s="21">
        <v>2199.0</v>
      </c>
      <c r="D804" s="7" t="s">
        <v>20</v>
      </c>
      <c r="E804" s="1" t="s">
        <v>24</v>
      </c>
      <c r="F804" s="2" t="s">
        <v>27</v>
      </c>
      <c r="G804" s="8" t="str">
        <f>IFERROR(__xludf.DUMMYFUNCTION("REGEXEXTRACT(B804, ""-([^-\s]+)$"")"),"L")</f>
        <v>L</v>
      </c>
      <c r="H804" s="2" t="s">
        <v>484</v>
      </c>
      <c r="I804" s="8" t="str">
        <f t="shared" si="3"/>
        <v>46 in</v>
      </c>
      <c r="J804" s="2" t="s">
        <v>1101</v>
      </c>
    </row>
    <row r="805">
      <c r="A805" s="2">
        <v>4.6163826E7</v>
      </c>
      <c r="B805" s="2" t="s">
        <v>537</v>
      </c>
      <c r="C805" s="21">
        <v>2199.0</v>
      </c>
      <c r="D805" s="7" t="s">
        <v>20</v>
      </c>
      <c r="E805" s="1" t="s">
        <v>24</v>
      </c>
      <c r="F805" s="2" t="s">
        <v>27</v>
      </c>
      <c r="G805" s="8" t="str">
        <f>IFERROR(__xludf.DUMMYFUNCTION("REGEXEXTRACT(B805, ""-([^-\s]+)$"")"),"XL")</f>
        <v>XL</v>
      </c>
      <c r="H805" s="2" t="s">
        <v>484</v>
      </c>
      <c r="I805" s="8" t="str">
        <f t="shared" si="3"/>
        <v>48 in</v>
      </c>
      <c r="J805" s="2" t="s">
        <v>1101</v>
      </c>
    </row>
    <row r="806">
      <c r="A806" s="2">
        <v>4.6163825E7</v>
      </c>
      <c r="B806" s="2" t="s">
        <v>539</v>
      </c>
      <c r="C806" s="21">
        <v>2199.0</v>
      </c>
      <c r="D806" s="7" t="s">
        <v>20</v>
      </c>
      <c r="E806" s="1" t="s">
        <v>24</v>
      </c>
      <c r="F806" s="2" t="s">
        <v>27</v>
      </c>
      <c r="G806" s="8" t="str">
        <f>IFERROR(__xludf.DUMMYFUNCTION("REGEXEXTRACT(B806, ""-([^-\s]+)$"")"),"S")</f>
        <v>S</v>
      </c>
      <c r="H806" s="2" t="s">
        <v>148</v>
      </c>
      <c r="I806" s="8" t="str">
        <f t="shared" si="3"/>
        <v>42 in</v>
      </c>
      <c r="J806" s="2" t="s">
        <v>1102</v>
      </c>
    </row>
    <row r="807">
      <c r="A807" s="2">
        <v>4.6163825E7</v>
      </c>
      <c r="B807" s="2" t="s">
        <v>540</v>
      </c>
      <c r="C807" s="21">
        <v>2199.0</v>
      </c>
      <c r="D807" s="7" t="s">
        <v>20</v>
      </c>
      <c r="E807" s="1" t="s">
        <v>24</v>
      </c>
      <c r="F807" s="2" t="s">
        <v>27</v>
      </c>
      <c r="G807" s="8" t="str">
        <f>IFERROR(__xludf.DUMMYFUNCTION("REGEXEXTRACT(B807, ""-([^-\s]+)$"")"),"M")</f>
        <v>M</v>
      </c>
      <c r="H807" s="2" t="s">
        <v>148</v>
      </c>
      <c r="I807" s="8" t="str">
        <f t="shared" si="3"/>
        <v>44 in</v>
      </c>
      <c r="J807" s="2" t="s">
        <v>1102</v>
      </c>
    </row>
    <row r="808">
      <c r="A808" s="2">
        <v>4.6163825E7</v>
      </c>
      <c r="B808" s="2" t="s">
        <v>541</v>
      </c>
      <c r="C808" s="21">
        <v>2199.0</v>
      </c>
      <c r="D808" s="7" t="s">
        <v>20</v>
      </c>
      <c r="E808" s="1" t="s">
        <v>24</v>
      </c>
      <c r="F808" s="2" t="s">
        <v>27</v>
      </c>
      <c r="G808" s="8" t="str">
        <f>IFERROR(__xludf.DUMMYFUNCTION("REGEXEXTRACT(B808, ""-([^-\s]+)$"")"),"L")</f>
        <v>L</v>
      </c>
      <c r="H808" s="2" t="s">
        <v>148</v>
      </c>
      <c r="I808" s="8" t="str">
        <f t="shared" si="3"/>
        <v>46 in</v>
      </c>
      <c r="J808" s="2" t="s">
        <v>1102</v>
      </c>
    </row>
    <row r="809">
      <c r="A809" s="2">
        <v>4.6163825E7</v>
      </c>
      <c r="B809" s="2" t="s">
        <v>543</v>
      </c>
      <c r="C809" s="21">
        <v>2199.0</v>
      </c>
      <c r="D809" s="7" t="s">
        <v>20</v>
      </c>
      <c r="E809" s="1" t="s">
        <v>24</v>
      </c>
      <c r="F809" s="2" t="s">
        <v>27</v>
      </c>
      <c r="G809" s="8" t="str">
        <f>IFERROR(__xludf.DUMMYFUNCTION("REGEXEXTRACT(B809, ""-([^-\s]+)$"")"),"XL")</f>
        <v>XL</v>
      </c>
      <c r="H809" s="2" t="s">
        <v>148</v>
      </c>
      <c r="I809" s="8" t="str">
        <f t="shared" si="3"/>
        <v>48 in</v>
      </c>
      <c r="J809" s="2" t="s">
        <v>1102</v>
      </c>
    </row>
    <row r="810">
      <c r="A810" s="2">
        <v>4.6175275E7</v>
      </c>
      <c r="B810" s="2" t="s">
        <v>549</v>
      </c>
      <c r="C810" s="21">
        <v>2199.0</v>
      </c>
      <c r="D810" s="7" t="s">
        <v>20</v>
      </c>
      <c r="E810" s="1" t="s">
        <v>24</v>
      </c>
      <c r="F810" s="2" t="s">
        <v>27</v>
      </c>
      <c r="G810" s="8" t="str">
        <f>IFERROR(__xludf.DUMMYFUNCTION("REGEXEXTRACT(B810, ""-([^-\s]+)$"")"),"S")</f>
        <v>S</v>
      </c>
      <c r="H810" s="2" t="s">
        <v>928</v>
      </c>
      <c r="I810" s="8" t="str">
        <f t="shared" si="3"/>
        <v>42 in</v>
      </c>
      <c r="J810" s="2" t="s">
        <v>1103</v>
      </c>
    </row>
    <row r="811">
      <c r="A811" s="2">
        <v>4.6175275E7</v>
      </c>
      <c r="B811" s="2" t="s">
        <v>552</v>
      </c>
      <c r="C811" s="21">
        <v>2199.0</v>
      </c>
      <c r="D811" s="7" t="s">
        <v>20</v>
      </c>
      <c r="E811" s="1" t="s">
        <v>24</v>
      </c>
      <c r="F811" s="2" t="s">
        <v>27</v>
      </c>
      <c r="G811" s="8" t="str">
        <f>IFERROR(__xludf.DUMMYFUNCTION("REGEXEXTRACT(B811, ""-([^-\s]+)$"")"),"M")</f>
        <v>M</v>
      </c>
      <c r="H811" s="2" t="s">
        <v>928</v>
      </c>
      <c r="I811" s="8" t="str">
        <f t="shared" si="3"/>
        <v>44 in</v>
      </c>
      <c r="J811" s="2" t="s">
        <v>1103</v>
      </c>
    </row>
    <row r="812">
      <c r="A812" s="2">
        <v>4.6175275E7</v>
      </c>
      <c r="B812" s="2" t="s">
        <v>554</v>
      </c>
      <c r="C812" s="21">
        <v>2199.0</v>
      </c>
      <c r="D812" s="7" t="s">
        <v>20</v>
      </c>
      <c r="E812" s="1" t="s">
        <v>24</v>
      </c>
      <c r="F812" s="2" t="s">
        <v>27</v>
      </c>
      <c r="G812" s="8" t="str">
        <f>IFERROR(__xludf.DUMMYFUNCTION("REGEXEXTRACT(B812, ""-([^-\s]+)$"")"),"L")</f>
        <v>L</v>
      </c>
      <c r="H812" s="2" t="s">
        <v>928</v>
      </c>
      <c r="I812" s="8" t="str">
        <f t="shared" si="3"/>
        <v>46 in</v>
      </c>
      <c r="J812" s="2" t="s">
        <v>1103</v>
      </c>
    </row>
    <row r="813">
      <c r="A813" s="2">
        <v>4.6175275E7</v>
      </c>
      <c r="B813" s="2" t="s">
        <v>556</v>
      </c>
      <c r="C813" s="21">
        <v>2199.0</v>
      </c>
      <c r="D813" s="7" t="s">
        <v>20</v>
      </c>
      <c r="E813" s="1" t="s">
        <v>24</v>
      </c>
      <c r="F813" s="2" t="s">
        <v>27</v>
      </c>
      <c r="G813" s="8" t="str">
        <f>IFERROR(__xludf.DUMMYFUNCTION("REGEXEXTRACT(B813, ""-([^-\s]+)$"")"),"XL")</f>
        <v>XL</v>
      </c>
      <c r="H813" s="2" t="s">
        <v>928</v>
      </c>
      <c r="I813" s="8" t="str">
        <f t="shared" si="3"/>
        <v>48 in</v>
      </c>
      <c r="J813" s="2" t="s">
        <v>1103</v>
      </c>
    </row>
    <row r="814">
      <c r="A814" s="2">
        <v>4.6175271E7</v>
      </c>
      <c r="B814" s="2" t="s">
        <v>557</v>
      </c>
      <c r="C814" s="21">
        <v>2199.0</v>
      </c>
      <c r="D814" s="7" t="s">
        <v>20</v>
      </c>
      <c r="E814" s="1" t="s">
        <v>24</v>
      </c>
      <c r="F814" s="2" t="s">
        <v>27</v>
      </c>
      <c r="G814" s="8" t="str">
        <f>IFERROR(__xludf.DUMMYFUNCTION("REGEXEXTRACT(B814, ""-([^-\s]+)$"")"),"S")</f>
        <v>S</v>
      </c>
      <c r="H814" s="2" t="s">
        <v>52</v>
      </c>
      <c r="I814" s="8" t="str">
        <f t="shared" si="3"/>
        <v>42 in</v>
      </c>
      <c r="J814" s="2" t="s">
        <v>1104</v>
      </c>
    </row>
    <row r="815">
      <c r="A815" s="2">
        <v>4.6175271E7</v>
      </c>
      <c r="B815" s="2" t="s">
        <v>558</v>
      </c>
      <c r="C815" s="21">
        <v>2199.0</v>
      </c>
      <c r="D815" s="7" t="s">
        <v>20</v>
      </c>
      <c r="E815" s="1" t="s">
        <v>24</v>
      </c>
      <c r="F815" s="2" t="s">
        <v>27</v>
      </c>
      <c r="G815" s="8" t="str">
        <f>IFERROR(__xludf.DUMMYFUNCTION("REGEXEXTRACT(B815, ""-([^-\s]+)$"")"),"M")</f>
        <v>M</v>
      </c>
      <c r="H815" s="2" t="s">
        <v>52</v>
      </c>
      <c r="I815" s="8" t="str">
        <f t="shared" si="3"/>
        <v>44 in</v>
      </c>
      <c r="J815" s="2" t="s">
        <v>1104</v>
      </c>
    </row>
    <row r="816">
      <c r="A816" s="2">
        <v>4.6175271E7</v>
      </c>
      <c r="B816" s="2" t="s">
        <v>560</v>
      </c>
      <c r="C816" s="21">
        <v>2199.0</v>
      </c>
      <c r="D816" s="7" t="s">
        <v>20</v>
      </c>
      <c r="E816" s="1" t="s">
        <v>24</v>
      </c>
      <c r="F816" s="2" t="s">
        <v>27</v>
      </c>
      <c r="G816" s="8" t="str">
        <f>IFERROR(__xludf.DUMMYFUNCTION("REGEXEXTRACT(B816, ""-([^-\s]+)$"")"),"L")</f>
        <v>L</v>
      </c>
      <c r="H816" s="2" t="s">
        <v>52</v>
      </c>
      <c r="I816" s="8" t="str">
        <f t="shared" si="3"/>
        <v>46 in</v>
      </c>
      <c r="J816" s="2" t="s">
        <v>1104</v>
      </c>
    </row>
    <row r="817">
      <c r="A817" s="2">
        <v>4.6175271E7</v>
      </c>
      <c r="B817" s="2" t="s">
        <v>563</v>
      </c>
      <c r="C817" s="21">
        <v>2199.0</v>
      </c>
      <c r="D817" s="7" t="s">
        <v>20</v>
      </c>
      <c r="E817" s="1" t="s">
        <v>24</v>
      </c>
      <c r="F817" s="2" t="s">
        <v>27</v>
      </c>
      <c r="G817" s="8" t="str">
        <f>IFERROR(__xludf.DUMMYFUNCTION("REGEXEXTRACT(B817, ""-([^-\s]+)$"")"),"XL")</f>
        <v>XL</v>
      </c>
      <c r="H817" s="2" t="s">
        <v>52</v>
      </c>
      <c r="I817" s="8" t="str">
        <f t="shared" si="3"/>
        <v>48 in</v>
      </c>
      <c r="J817" s="2" t="s">
        <v>1104</v>
      </c>
    </row>
    <row r="818">
      <c r="A818" s="2">
        <v>4.6175274E7</v>
      </c>
      <c r="B818" s="2" t="s">
        <v>565</v>
      </c>
      <c r="C818" s="21">
        <v>2199.0</v>
      </c>
      <c r="D818" s="7" t="s">
        <v>20</v>
      </c>
      <c r="E818" s="1" t="s">
        <v>24</v>
      </c>
      <c r="F818" s="2" t="s">
        <v>27</v>
      </c>
      <c r="G818" s="8" t="str">
        <f>IFERROR(__xludf.DUMMYFUNCTION("REGEXEXTRACT(B818, ""-([^-\s]+)$"")"),"S")</f>
        <v>S</v>
      </c>
      <c r="H818" s="2" t="s">
        <v>938</v>
      </c>
      <c r="I818" s="8" t="str">
        <f t="shared" si="3"/>
        <v>42 in</v>
      </c>
      <c r="J818" s="2" t="s">
        <v>1105</v>
      </c>
    </row>
    <row r="819">
      <c r="A819" s="2">
        <v>4.6175274E7</v>
      </c>
      <c r="B819" s="2" t="s">
        <v>568</v>
      </c>
      <c r="C819" s="21">
        <v>2199.0</v>
      </c>
      <c r="D819" s="7" t="s">
        <v>20</v>
      </c>
      <c r="E819" s="1" t="s">
        <v>24</v>
      </c>
      <c r="F819" s="2" t="s">
        <v>27</v>
      </c>
      <c r="G819" s="8" t="str">
        <f>IFERROR(__xludf.DUMMYFUNCTION("REGEXEXTRACT(B819, ""-([^-\s]+)$"")"),"M")</f>
        <v>M</v>
      </c>
      <c r="H819" s="2" t="s">
        <v>938</v>
      </c>
      <c r="I819" s="8" t="str">
        <f t="shared" si="3"/>
        <v>44 in</v>
      </c>
      <c r="J819" s="2" t="s">
        <v>1105</v>
      </c>
    </row>
    <row r="820">
      <c r="A820" s="2">
        <v>4.6175274E7</v>
      </c>
      <c r="B820" s="2" t="s">
        <v>569</v>
      </c>
      <c r="C820" s="21">
        <v>2199.0</v>
      </c>
      <c r="D820" s="7" t="s">
        <v>20</v>
      </c>
      <c r="E820" s="1" t="s">
        <v>24</v>
      </c>
      <c r="F820" s="2" t="s">
        <v>27</v>
      </c>
      <c r="G820" s="8" t="str">
        <f>IFERROR(__xludf.DUMMYFUNCTION("REGEXEXTRACT(B820, ""-([^-\s]+)$"")"),"L")</f>
        <v>L</v>
      </c>
      <c r="H820" s="2" t="s">
        <v>938</v>
      </c>
      <c r="I820" s="8" t="str">
        <f t="shared" si="3"/>
        <v>46 in</v>
      </c>
      <c r="J820" s="2" t="s">
        <v>1105</v>
      </c>
    </row>
    <row r="821">
      <c r="A821" s="2">
        <v>4.6175274E7</v>
      </c>
      <c r="B821" s="2" t="s">
        <v>571</v>
      </c>
      <c r="C821" s="21">
        <v>2199.0</v>
      </c>
      <c r="D821" s="7" t="s">
        <v>20</v>
      </c>
      <c r="E821" s="1" t="s">
        <v>24</v>
      </c>
      <c r="F821" s="2" t="s">
        <v>27</v>
      </c>
      <c r="G821" s="8" t="str">
        <f>IFERROR(__xludf.DUMMYFUNCTION("REGEXEXTRACT(B821, ""-([^-\s]+)$"")"),"XL")</f>
        <v>XL</v>
      </c>
      <c r="H821" s="2" t="s">
        <v>938</v>
      </c>
      <c r="I821" s="8" t="str">
        <f t="shared" si="3"/>
        <v>48 in</v>
      </c>
      <c r="J821" s="2" t="s">
        <v>1105</v>
      </c>
    </row>
    <row r="822">
      <c r="A822" s="2">
        <v>4.6175273E7</v>
      </c>
      <c r="B822" s="2" t="s">
        <v>573</v>
      </c>
      <c r="C822" s="21">
        <v>2199.0</v>
      </c>
      <c r="D822" s="7" t="s">
        <v>20</v>
      </c>
      <c r="E822" s="1" t="s">
        <v>24</v>
      </c>
      <c r="F822" s="2" t="s">
        <v>27</v>
      </c>
      <c r="G822" s="8" t="str">
        <f>IFERROR(__xludf.DUMMYFUNCTION("REGEXEXTRACT(B822, ""-([^-\s]+)$"")"),"S")</f>
        <v>S</v>
      </c>
      <c r="H822" s="2" t="s">
        <v>1031</v>
      </c>
      <c r="I822" s="8" t="str">
        <f t="shared" si="3"/>
        <v>42 in</v>
      </c>
      <c r="J822" s="2" t="s">
        <v>1106</v>
      </c>
    </row>
    <row r="823">
      <c r="A823" s="2">
        <v>4.6175273E7</v>
      </c>
      <c r="B823" s="2" t="s">
        <v>576</v>
      </c>
      <c r="C823" s="21">
        <v>2199.0</v>
      </c>
      <c r="D823" s="7" t="s">
        <v>20</v>
      </c>
      <c r="E823" s="1" t="s">
        <v>24</v>
      </c>
      <c r="F823" s="2" t="s">
        <v>27</v>
      </c>
      <c r="G823" s="8" t="str">
        <f>IFERROR(__xludf.DUMMYFUNCTION("REGEXEXTRACT(B823, ""-([^-\s]+)$"")"),"M")</f>
        <v>M</v>
      </c>
      <c r="H823" s="2" t="s">
        <v>1031</v>
      </c>
      <c r="I823" s="8" t="str">
        <f t="shared" si="3"/>
        <v>44 in</v>
      </c>
      <c r="J823" s="2" t="s">
        <v>1106</v>
      </c>
    </row>
    <row r="824">
      <c r="A824" s="2">
        <v>4.6175273E7</v>
      </c>
      <c r="B824" s="2" t="s">
        <v>578</v>
      </c>
      <c r="C824" s="21">
        <v>2199.0</v>
      </c>
      <c r="D824" s="7" t="s">
        <v>20</v>
      </c>
      <c r="E824" s="1" t="s">
        <v>24</v>
      </c>
      <c r="F824" s="2" t="s">
        <v>27</v>
      </c>
      <c r="G824" s="8" t="str">
        <f>IFERROR(__xludf.DUMMYFUNCTION("REGEXEXTRACT(B824, ""-([^-\s]+)$"")"),"L")</f>
        <v>L</v>
      </c>
      <c r="H824" s="2" t="s">
        <v>1031</v>
      </c>
      <c r="I824" s="8" t="str">
        <f t="shared" si="3"/>
        <v>46 in</v>
      </c>
      <c r="J824" s="2" t="s">
        <v>1106</v>
      </c>
    </row>
    <row r="825">
      <c r="A825" s="2">
        <v>4.6175273E7</v>
      </c>
      <c r="B825" s="2" t="s">
        <v>580</v>
      </c>
      <c r="C825" s="21">
        <v>2199.0</v>
      </c>
      <c r="D825" s="7" t="s">
        <v>20</v>
      </c>
      <c r="E825" s="1" t="s">
        <v>24</v>
      </c>
      <c r="F825" s="2" t="s">
        <v>27</v>
      </c>
      <c r="G825" s="8" t="str">
        <f>IFERROR(__xludf.DUMMYFUNCTION("REGEXEXTRACT(B825, ""-([^-\s]+)$"")"),"XL")</f>
        <v>XL</v>
      </c>
      <c r="H825" s="2" t="s">
        <v>1031</v>
      </c>
      <c r="I825" s="8" t="str">
        <f t="shared" si="3"/>
        <v>48 in</v>
      </c>
      <c r="J825" s="2" t="s">
        <v>1106</v>
      </c>
    </row>
    <row r="826">
      <c r="A826" s="2">
        <v>4.6175276E7</v>
      </c>
      <c r="B826" s="2" t="s">
        <v>581</v>
      </c>
      <c r="C826" s="21">
        <v>2199.0</v>
      </c>
      <c r="D826" s="7" t="s">
        <v>20</v>
      </c>
      <c r="E826" s="1" t="s">
        <v>24</v>
      </c>
      <c r="F826" s="2" t="s">
        <v>27</v>
      </c>
      <c r="G826" s="8" t="str">
        <f>IFERROR(__xludf.DUMMYFUNCTION("REGEXEXTRACT(B826, ""-([^-\s]+)$"")"),"S")</f>
        <v>S</v>
      </c>
      <c r="H826" s="2" t="s">
        <v>52</v>
      </c>
      <c r="I826" s="8" t="str">
        <f t="shared" si="3"/>
        <v>42 in</v>
      </c>
      <c r="J826" s="2" t="s">
        <v>1107</v>
      </c>
    </row>
    <row r="827">
      <c r="A827" s="2">
        <v>4.6175276E7</v>
      </c>
      <c r="B827" s="2" t="s">
        <v>582</v>
      </c>
      <c r="C827" s="21">
        <v>2199.0</v>
      </c>
      <c r="D827" s="7" t="s">
        <v>20</v>
      </c>
      <c r="E827" s="1" t="s">
        <v>24</v>
      </c>
      <c r="F827" s="2" t="s">
        <v>27</v>
      </c>
      <c r="G827" s="8" t="str">
        <f>IFERROR(__xludf.DUMMYFUNCTION("REGEXEXTRACT(B827, ""-([^-\s]+)$"")"),"M")</f>
        <v>M</v>
      </c>
      <c r="H827" s="2" t="s">
        <v>52</v>
      </c>
      <c r="I827" s="8" t="str">
        <f t="shared" si="3"/>
        <v>44 in</v>
      </c>
      <c r="J827" s="2" t="s">
        <v>1107</v>
      </c>
    </row>
    <row r="828">
      <c r="A828" s="2">
        <v>4.6175276E7</v>
      </c>
      <c r="B828" s="2" t="s">
        <v>583</v>
      </c>
      <c r="C828" s="21">
        <v>2199.0</v>
      </c>
      <c r="D828" s="7" t="s">
        <v>20</v>
      </c>
      <c r="E828" s="1" t="s">
        <v>24</v>
      </c>
      <c r="F828" s="2" t="s">
        <v>27</v>
      </c>
      <c r="G828" s="8" t="str">
        <f>IFERROR(__xludf.DUMMYFUNCTION("REGEXEXTRACT(B828, ""-([^-\s]+)$"")"),"L")</f>
        <v>L</v>
      </c>
      <c r="H828" s="2" t="s">
        <v>52</v>
      </c>
      <c r="I828" s="8" t="str">
        <f t="shared" si="3"/>
        <v>46 in</v>
      </c>
      <c r="J828" s="2" t="s">
        <v>1107</v>
      </c>
    </row>
    <row r="829">
      <c r="A829" s="2">
        <v>4.6175276E7</v>
      </c>
      <c r="B829" s="2" t="s">
        <v>584</v>
      </c>
      <c r="C829" s="21">
        <v>2199.0</v>
      </c>
      <c r="D829" s="7" t="s">
        <v>20</v>
      </c>
      <c r="E829" s="1" t="s">
        <v>24</v>
      </c>
      <c r="F829" s="2" t="s">
        <v>27</v>
      </c>
      <c r="G829" s="8" t="str">
        <f>IFERROR(__xludf.DUMMYFUNCTION("REGEXEXTRACT(B829, ""-([^-\s]+)$"")"),"XL")</f>
        <v>XL</v>
      </c>
      <c r="H829" s="2" t="s">
        <v>52</v>
      </c>
      <c r="I829" s="8" t="str">
        <f t="shared" si="3"/>
        <v>48 in</v>
      </c>
      <c r="J829" s="2" t="s">
        <v>1107</v>
      </c>
    </row>
    <row r="830">
      <c r="A830" s="2">
        <v>4.6163827E7</v>
      </c>
      <c r="B830" s="2" t="s">
        <v>585</v>
      </c>
      <c r="C830" s="21">
        <v>2199.0</v>
      </c>
      <c r="D830" s="7" t="s">
        <v>20</v>
      </c>
      <c r="E830" s="1" t="s">
        <v>24</v>
      </c>
      <c r="F830" s="2" t="s">
        <v>27</v>
      </c>
      <c r="G830" s="8" t="str">
        <f>IFERROR(__xludf.DUMMYFUNCTION("REGEXEXTRACT(B830, ""-([^-\s]+)$"")"),"S")</f>
        <v>S</v>
      </c>
      <c r="H830" s="2" t="s">
        <v>484</v>
      </c>
      <c r="I830" s="8" t="str">
        <f t="shared" si="3"/>
        <v>42 in</v>
      </c>
      <c r="J830" s="2" t="s">
        <v>1108</v>
      </c>
    </row>
    <row r="831">
      <c r="A831" s="2">
        <v>4.6163827E7</v>
      </c>
      <c r="B831" s="2" t="s">
        <v>586</v>
      </c>
      <c r="C831" s="21">
        <v>2199.0</v>
      </c>
      <c r="D831" s="7" t="s">
        <v>20</v>
      </c>
      <c r="E831" s="1" t="s">
        <v>24</v>
      </c>
      <c r="F831" s="2" t="s">
        <v>27</v>
      </c>
      <c r="G831" s="8" t="str">
        <f>IFERROR(__xludf.DUMMYFUNCTION("REGEXEXTRACT(B831, ""-([^-\s]+)$"")"),"M")</f>
        <v>M</v>
      </c>
      <c r="H831" s="2" t="s">
        <v>484</v>
      </c>
      <c r="I831" s="8" t="str">
        <f t="shared" si="3"/>
        <v>44 in</v>
      </c>
      <c r="J831" s="2" t="s">
        <v>1108</v>
      </c>
    </row>
    <row r="832">
      <c r="A832" s="2">
        <v>4.6163827E7</v>
      </c>
      <c r="B832" s="2" t="s">
        <v>587</v>
      </c>
      <c r="C832" s="21" t="s">
        <v>1109</v>
      </c>
      <c r="D832" s="7" t="s">
        <v>20</v>
      </c>
      <c r="E832" s="1" t="s">
        <v>24</v>
      </c>
      <c r="F832" s="2" t="s">
        <v>27</v>
      </c>
      <c r="G832" s="8" t="str">
        <f>IFERROR(__xludf.DUMMYFUNCTION("REGEXEXTRACT(B832, ""-([^-\s]+)$"")"),"L")</f>
        <v>L</v>
      </c>
      <c r="H832" s="2" t="s">
        <v>484</v>
      </c>
      <c r="I832" s="8" t="str">
        <f t="shared" si="3"/>
        <v>46 in</v>
      </c>
      <c r="J832" s="2" t="s">
        <v>1108</v>
      </c>
    </row>
    <row r="833">
      <c r="A833" s="2">
        <v>4.6163827E7</v>
      </c>
      <c r="B833" s="2" t="s">
        <v>590</v>
      </c>
      <c r="C833" s="21">
        <v>2199.0</v>
      </c>
      <c r="D833" s="7" t="s">
        <v>20</v>
      </c>
      <c r="E833" s="1" t="s">
        <v>24</v>
      </c>
      <c r="F833" s="2" t="s">
        <v>27</v>
      </c>
      <c r="G833" s="8" t="str">
        <f>IFERROR(__xludf.DUMMYFUNCTION("REGEXEXTRACT(B833, ""-([^-\s]+)$"")"),"XL")</f>
        <v>XL</v>
      </c>
      <c r="H833" s="2" t="s">
        <v>484</v>
      </c>
      <c r="I833" s="8" t="str">
        <f t="shared" si="3"/>
        <v>48 in</v>
      </c>
      <c r="J833" s="2" t="s">
        <v>1108</v>
      </c>
    </row>
    <row r="834">
      <c r="A834" s="2">
        <v>4.617417E7</v>
      </c>
      <c r="B834" s="2" t="s">
        <v>592</v>
      </c>
      <c r="C834" s="21">
        <v>2199.0</v>
      </c>
      <c r="D834" s="7" t="s">
        <v>20</v>
      </c>
      <c r="E834" s="1" t="s">
        <v>24</v>
      </c>
      <c r="F834" s="2" t="s">
        <v>27</v>
      </c>
      <c r="G834" s="8" t="str">
        <f>IFERROR(__xludf.DUMMYFUNCTION("REGEXEXTRACT(B834, ""-([^-\s]+)$"")"),"S")</f>
        <v>S</v>
      </c>
      <c r="H834" s="2" t="s">
        <v>484</v>
      </c>
      <c r="I834" s="8" t="str">
        <f t="shared" si="3"/>
        <v>42 in</v>
      </c>
      <c r="J834" s="2" t="s">
        <v>1110</v>
      </c>
    </row>
    <row r="835">
      <c r="A835" s="2">
        <v>4.617417E7</v>
      </c>
      <c r="B835" s="2" t="s">
        <v>594</v>
      </c>
      <c r="C835" s="21">
        <v>2199.0</v>
      </c>
      <c r="D835" s="7" t="s">
        <v>20</v>
      </c>
      <c r="E835" s="1" t="s">
        <v>24</v>
      </c>
      <c r="F835" s="2" t="s">
        <v>27</v>
      </c>
      <c r="G835" s="8" t="str">
        <f>IFERROR(__xludf.DUMMYFUNCTION("REGEXEXTRACT(B835, ""-([^-\s]+)$"")"),"M")</f>
        <v>M</v>
      </c>
      <c r="H835" s="2" t="s">
        <v>484</v>
      </c>
      <c r="I835" s="8" t="str">
        <f t="shared" si="3"/>
        <v>44 in</v>
      </c>
      <c r="J835" s="2" t="s">
        <v>1110</v>
      </c>
    </row>
    <row r="836">
      <c r="A836" s="2">
        <v>4.617417E7</v>
      </c>
      <c r="B836" s="2" t="s">
        <v>596</v>
      </c>
      <c r="C836" s="21">
        <v>2199.0</v>
      </c>
      <c r="D836" s="7" t="s">
        <v>20</v>
      </c>
      <c r="E836" s="1" t="s">
        <v>24</v>
      </c>
      <c r="F836" s="2" t="s">
        <v>27</v>
      </c>
      <c r="G836" s="8" t="str">
        <f>IFERROR(__xludf.DUMMYFUNCTION("REGEXEXTRACT(B836, ""-([^-\s]+)$"")"),"L")</f>
        <v>L</v>
      </c>
      <c r="H836" s="2" t="s">
        <v>484</v>
      </c>
      <c r="I836" s="8" t="str">
        <f t="shared" si="3"/>
        <v>46 in</v>
      </c>
      <c r="J836" s="2" t="s">
        <v>1110</v>
      </c>
    </row>
    <row r="837">
      <c r="A837" s="2">
        <v>4.617417E7</v>
      </c>
      <c r="B837" s="2" t="s">
        <v>599</v>
      </c>
      <c r="C837" s="21">
        <v>2199.0</v>
      </c>
      <c r="D837" s="7" t="s">
        <v>20</v>
      </c>
      <c r="E837" s="1" t="s">
        <v>24</v>
      </c>
      <c r="F837" s="2" t="s">
        <v>27</v>
      </c>
      <c r="G837" s="8" t="str">
        <f>IFERROR(__xludf.DUMMYFUNCTION("REGEXEXTRACT(B837, ""-([^-\s]+)$"")"),"XL")</f>
        <v>XL</v>
      </c>
      <c r="H837" s="2" t="s">
        <v>484</v>
      </c>
      <c r="I837" s="8" t="str">
        <f t="shared" si="3"/>
        <v>48 in</v>
      </c>
      <c r="J837" s="2" t="s">
        <v>1110</v>
      </c>
    </row>
    <row r="838">
      <c r="A838" s="2">
        <v>4.6176414E7</v>
      </c>
      <c r="B838" s="2" t="s">
        <v>601</v>
      </c>
      <c r="C838" s="21">
        <v>2199.0</v>
      </c>
      <c r="D838" s="7" t="s">
        <v>20</v>
      </c>
      <c r="E838" s="2" t="s">
        <v>24</v>
      </c>
      <c r="F838" s="2" t="s">
        <v>27</v>
      </c>
      <c r="G838" s="8" t="str">
        <f>IFERROR(__xludf.DUMMYFUNCTION("REGEXEXTRACT(B838, ""-([^-\s]+)$"")"),"S")</f>
        <v>S</v>
      </c>
      <c r="H838" s="2" t="s">
        <v>484</v>
      </c>
      <c r="I838" s="8" t="str">
        <f t="shared" si="3"/>
        <v>42 in</v>
      </c>
      <c r="J838" s="9" t="s">
        <v>1111</v>
      </c>
    </row>
    <row r="839">
      <c r="A839" s="2">
        <v>4.6176414E7</v>
      </c>
      <c r="B839" s="2" t="s">
        <v>603</v>
      </c>
      <c r="C839" s="21">
        <v>2199.0</v>
      </c>
      <c r="D839" s="7" t="s">
        <v>20</v>
      </c>
      <c r="E839" s="2" t="s">
        <v>24</v>
      </c>
      <c r="F839" s="2" t="s">
        <v>27</v>
      </c>
      <c r="G839" s="8" t="str">
        <f>IFERROR(__xludf.DUMMYFUNCTION("REGEXEXTRACT(B839, ""-([^-\s]+)$"")"),"M")</f>
        <v>M</v>
      </c>
      <c r="H839" s="2" t="s">
        <v>484</v>
      </c>
      <c r="I839" s="8" t="str">
        <f t="shared" si="3"/>
        <v>44 in</v>
      </c>
      <c r="J839" s="9" t="s">
        <v>1111</v>
      </c>
    </row>
    <row r="840">
      <c r="A840" s="2">
        <v>4.6176414E7</v>
      </c>
      <c r="B840" s="2" t="s">
        <v>606</v>
      </c>
      <c r="C840" s="21">
        <v>2199.0</v>
      </c>
      <c r="D840" s="7" t="s">
        <v>20</v>
      </c>
      <c r="E840" s="2" t="s">
        <v>24</v>
      </c>
      <c r="F840" s="2" t="s">
        <v>27</v>
      </c>
      <c r="G840" s="8" t="str">
        <f>IFERROR(__xludf.DUMMYFUNCTION("REGEXEXTRACT(B840, ""-([^-\s]+)$"")"),"L")</f>
        <v>L</v>
      </c>
      <c r="H840" s="2" t="s">
        <v>484</v>
      </c>
      <c r="I840" s="8" t="str">
        <f t="shared" si="3"/>
        <v>46 in</v>
      </c>
      <c r="J840" s="9" t="s">
        <v>1111</v>
      </c>
    </row>
    <row r="841">
      <c r="A841" s="2">
        <v>4.6176414E7</v>
      </c>
      <c r="B841" s="2" t="s">
        <v>607</v>
      </c>
      <c r="C841" s="21">
        <v>2199.0</v>
      </c>
      <c r="D841" s="7" t="s">
        <v>20</v>
      </c>
      <c r="E841" s="2" t="s">
        <v>24</v>
      </c>
      <c r="F841" s="2" t="s">
        <v>27</v>
      </c>
      <c r="G841" s="8" t="str">
        <f>IFERROR(__xludf.DUMMYFUNCTION("REGEXEXTRACT(B841, ""-([^-\s]+)$"")"),"XL")</f>
        <v>XL</v>
      </c>
      <c r="H841" s="2" t="s">
        <v>484</v>
      </c>
      <c r="I841" s="8" t="str">
        <f t="shared" si="3"/>
        <v>48 in</v>
      </c>
      <c r="J841" s="9" t="s">
        <v>1111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13"/>
  </cols>
  <sheetData>
    <row r="1">
      <c r="A1" s="1" t="s">
        <v>1</v>
      </c>
      <c r="B1" s="1" t="s">
        <v>3</v>
      </c>
    </row>
    <row r="2">
      <c r="A2" s="2" t="s">
        <v>6</v>
      </c>
      <c r="B2" s="3">
        <v>0.0</v>
      </c>
    </row>
    <row r="3">
      <c r="A3" s="2" t="s">
        <v>12</v>
      </c>
      <c r="B3" s="3" t="e">
        <v>#NUM!</v>
      </c>
    </row>
    <row r="4">
      <c r="A4" s="2" t="s">
        <v>15</v>
      </c>
      <c r="B4" s="3">
        <v>6.0</v>
      </c>
    </row>
    <row r="5">
      <c r="A5" s="2" t="s">
        <v>16</v>
      </c>
      <c r="B5" s="3">
        <v>5.0</v>
      </c>
    </row>
    <row r="6">
      <c r="A6" s="2" t="s">
        <v>17</v>
      </c>
      <c r="B6" s="3">
        <v>34.0</v>
      </c>
    </row>
    <row r="7">
      <c r="A7" s="2" t="s">
        <v>19</v>
      </c>
      <c r="B7" s="3">
        <v>30.0</v>
      </c>
    </row>
    <row r="8">
      <c r="A8" s="2" t="s">
        <v>21</v>
      </c>
      <c r="B8" s="3">
        <v>0.0</v>
      </c>
    </row>
    <row r="9">
      <c r="A9" s="2" t="s">
        <v>22</v>
      </c>
      <c r="B9" s="3">
        <v>12.0</v>
      </c>
    </row>
    <row r="10">
      <c r="A10" s="2" t="s">
        <v>23</v>
      </c>
      <c r="B10" s="3" t="e">
        <v>#NUM!</v>
      </c>
    </row>
    <row r="11">
      <c r="A11" s="2" t="s">
        <v>26</v>
      </c>
      <c r="B11" s="3">
        <v>0.0</v>
      </c>
    </row>
    <row r="12">
      <c r="A12" s="2" t="s">
        <v>28</v>
      </c>
      <c r="B12" s="3">
        <v>0.0</v>
      </c>
    </row>
    <row r="13">
      <c r="A13" s="2" t="s">
        <v>31</v>
      </c>
      <c r="B13" s="3">
        <v>0.0</v>
      </c>
    </row>
    <row r="14">
      <c r="A14" s="2" t="s">
        <v>32</v>
      </c>
      <c r="B14" s="3" t="e">
        <v>#NUM!</v>
      </c>
    </row>
    <row r="15">
      <c r="A15" s="2" t="s">
        <v>34</v>
      </c>
      <c r="B15" s="3">
        <v>0.0</v>
      </c>
    </row>
    <row r="16">
      <c r="A16" s="2" t="s">
        <v>35</v>
      </c>
      <c r="B16" s="3">
        <v>0.0</v>
      </c>
    </row>
    <row r="17">
      <c r="A17" s="2" t="s">
        <v>37</v>
      </c>
      <c r="B17" s="3">
        <v>0.0</v>
      </c>
    </row>
    <row r="18">
      <c r="A18" s="2" t="s">
        <v>38</v>
      </c>
      <c r="B18" s="3">
        <v>53.0</v>
      </c>
    </row>
    <row r="19">
      <c r="A19" s="2" t="s">
        <v>39</v>
      </c>
      <c r="B19" s="3">
        <v>58.0</v>
      </c>
    </row>
    <row r="20">
      <c r="A20" s="2" t="s">
        <v>41</v>
      </c>
      <c r="B20" s="3">
        <v>62.0</v>
      </c>
    </row>
    <row r="21">
      <c r="A21" s="2" t="s">
        <v>42</v>
      </c>
      <c r="B21" s="3">
        <v>47.0</v>
      </c>
    </row>
    <row r="22">
      <c r="A22" s="2" t="s">
        <v>43</v>
      </c>
      <c r="B22" s="3">
        <v>36.0</v>
      </c>
    </row>
    <row r="23">
      <c r="A23" s="2" t="s">
        <v>45</v>
      </c>
      <c r="B23" s="3">
        <v>57.0</v>
      </c>
    </row>
    <row r="24">
      <c r="A24" s="2" t="s">
        <v>46</v>
      </c>
      <c r="B24" s="3">
        <v>31.0</v>
      </c>
    </row>
    <row r="25">
      <c r="A25" s="2" t="s">
        <v>47</v>
      </c>
      <c r="B25" s="3">
        <v>25.0</v>
      </c>
    </row>
    <row r="26">
      <c r="A26" s="2" t="s">
        <v>49</v>
      </c>
      <c r="B26" s="3">
        <v>34.0</v>
      </c>
    </row>
    <row r="27">
      <c r="A27" s="2" t="s">
        <v>50</v>
      </c>
      <c r="B27" s="3">
        <v>30.0</v>
      </c>
    </row>
    <row r="28">
      <c r="A28" s="2" t="s">
        <v>51</v>
      </c>
      <c r="B28" s="3">
        <v>0.0</v>
      </c>
    </row>
    <row r="29">
      <c r="A29" s="2" t="s">
        <v>54</v>
      </c>
      <c r="B29" s="3">
        <v>12.0</v>
      </c>
    </row>
    <row r="30">
      <c r="A30" s="2" t="s">
        <v>55</v>
      </c>
      <c r="B30" s="3">
        <v>37.0</v>
      </c>
    </row>
    <row r="31">
      <c r="A31" s="2" t="s">
        <v>57</v>
      </c>
      <c r="B31" s="3">
        <v>38.0</v>
      </c>
    </row>
    <row r="32">
      <c r="A32" s="2" t="s">
        <v>58</v>
      </c>
      <c r="B32" s="3">
        <v>18.0</v>
      </c>
    </row>
    <row r="33">
      <c r="A33" s="2" t="s">
        <v>60</v>
      </c>
      <c r="B33" s="3">
        <v>34.0</v>
      </c>
    </row>
    <row r="34">
      <c r="A34" s="2" t="s">
        <v>61</v>
      </c>
      <c r="B34" s="3">
        <v>0.0</v>
      </c>
    </row>
    <row r="35">
      <c r="A35" s="2" t="s">
        <v>63</v>
      </c>
      <c r="B35" s="3">
        <v>0.0</v>
      </c>
    </row>
    <row r="36">
      <c r="A36" s="2" t="s">
        <v>64</v>
      </c>
      <c r="B36" s="3">
        <v>0.0</v>
      </c>
    </row>
    <row r="37">
      <c r="A37" s="2" t="s">
        <v>66</v>
      </c>
      <c r="B37" s="3">
        <v>0.0</v>
      </c>
    </row>
    <row r="38">
      <c r="A38" s="2" t="s">
        <v>67</v>
      </c>
      <c r="B38" s="3">
        <v>0.0</v>
      </c>
    </row>
    <row r="39">
      <c r="A39" s="2" t="s">
        <v>68</v>
      </c>
      <c r="B39" s="3">
        <v>4.0</v>
      </c>
    </row>
    <row r="40">
      <c r="A40" s="2" t="s">
        <v>70</v>
      </c>
      <c r="B40" s="3">
        <v>3.0</v>
      </c>
    </row>
    <row r="41">
      <c r="A41" s="2" t="s">
        <v>71</v>
      </c>
      <c r="B41" s="3">
        <v>0.0</v>
      </c>
    </row>
    <row r="42">
      <c r="A42" s="2" t="s">
        <v>72</v>
      </c>
      <c r="B42" s="3">
        <v>0.0</v>
      </c>
    </row>
    <row r="43">
      <c r="A43" s="2" t="s">
        <v>74</v>
      </c>
      <c r="B43" s="3">
        <v>0.0</v>
      </c>
    </row>
    <row r="44">
      <c r="A44" s="2" t="s">
        <v>75</v>
      </c>
      <c r="B44" s="3">
        <v>0.0</v>
      </c>
    </row>
    <row r="45">
      <c r="A45" s="2" t="s">
        <v>77</v>
      </c>
      <c r="B45" s="3">
        <v>0.0</v>
      </c>
    </row>
    <row r="46">
      <c r="A46" s="2" t="s">
        <v>78</v>
      </c>
      <c r="B46" s="3">
        <v>10.0</v>
      </c>
    </row>
    <row r="47">
      <c r="A47" s="2" t="s">
        <v>79</v>
      </c>
      <c r="B47" s="3">
        <v>0.0</v>
      </c>
    </row>
    <row r="48">
      <c r="A48" s="2" t="s">
        <v>81</v>
      </c>
      <c r="B48" s="3">
        <v>16.0</v>
      </c>
    </row>
    <row r="49">
      <c r="A49" s="2" t="s">
        <v>82</v>
      </c>
      <c r="B49" s="3">
        <v>12.0</v>
      </c>
    </row>
    <row r="50">
      <c r="A50" s="2" t="s">
        <v>84</v>
      </c>
      <c r="B50" s="3">
        <v>0.0</v>
      </c>
    </row>
    <row r="51">
      <c r="A51" s="2" t="s">
        <v>85</v>
      </c>
      <c r="B51" s="3">
        <v>0.0</v>
      </c>
    </row>
    <row r="52">
      <c r="A52" s="2" t="s">
        <v>87</v>
      </c>
      <c r="B52" s="3">
        <v>0.0</v>
      </c>
    </row>
    <row r="53">
      <c r="A53" s="2" t="s">
        <v>88</v>
      </c>
      <c r="B53" s="3">
        <v>0.0</v>
      </c>
    </row>
    <row r="54">
      <c r="A54" s="2" t="s">
        <v>90</v>
      </c>
      <c r="B54" s="3">
        <v>0.0</v>
      </c>
    </row>
    <row r="55">
      <c r="A55" s="2" t="s">
        <v>91</v>
      </c>
      <c r="B55" s="3">
        <v>0.0</v>
      </c>
    </row>
    <row r="56">
      <c r="A56" s="2" t="s">
        <v>93</v>
      </c>
      <c r="B56" s="3">
        <v>0.0</v>
      </c>
    </row>
    <row r="57">
      <c r="A57" s="2" t="s">
        <v>94</v>
      </c>
      <c r="B57" s="3">
        <v>0.0</v>
      </c>
    </row>
    <row r="58">
      <c r="A58" s="2" t="s">
        <v>96</v>
      </c>
      <c r="B58" s="3">
        <v>0.0</v>
      </c>
    </row>
    <row r="59">
      <c r="A59" s="2" t="s">
        <v>99</v>
      </c>
      <c r="B59" s="3">
        <v>0.0</v>
      </c>
    </row>
    <row r="60">
      <c r="A60" s="2" t="s">
        <v>100</v>
      </c>
      <c r="B60" s="3">
        <v>0.0</v>
      </c>
    </row>
    <row r="61">
      <c r="A61" s="2" t="s">
        <v>102</v>
      </c>
      <c r="B61" s="3">
        <v>0.0</v>
      </c>
    </row>
    <row r="62">
      <c r="A62" s="2" t="s">
        <v>104</v>
      </c>
      <c r="B62" s="3">
        <v>0.0</v>
      </c>
    </row>
    <row r="63">
      <c r="A63" s="2" t="s">
        <v>105</v>
      </c>
      <c r="B63" s="3">
        <v>0.0</v>
      </c>
    </row>
    <row r="64">
      <c r="A64" s="2" t="s">
        <v>107</v>
      </c>
      <c r="B64" s="3">
        <v>6.0</v>
      </c>
    </row>
    <row r="65">
      <c r="A65" s="2" t="s">
        <v>108</v>
      </c>
      <c r="B65" s="3">
        <v>0.0</v>
      </c>
    </row>
    <row r="66">
      <c r="A66" s="2" t="s">
        <v>110</v>
      </c>
      <c r="B66" s="3">
        <v>10.0</v>
      </c>
    </row>
    <row r="67">
      <c r="A67" s="2" t="s">
        <v>111</v>
      </c>
      <c r="B67" s="3">
        <v>0.0</v>
      </c>
    </row>
    <row r="68">
      <c r="A68" s="2" t="s">
        <v>113</v>
      </c>
      <c r="B68" s="3">
        <v>16.0</v>
      </c>
    </row>
    <row r="69">
      <c r="A69" s="2" t="s">
        <v>114</v>
      </c>
      <c r="B69" s="3">
        <v>12.0</v>
      </c>
    </row>
    <row r="70">
      <c r="A70" s="2" t="s">
        <v>116</v>
      </c>
      <c r="B70" s="3">
        <v>11.0</v>
      </c>
    </row>
    <row r="71">
      <c r="A71" s="2" t="s">
        <v>118</v>
      </c>
      <c r="B71" s="3">
        <v>7.0</v>
      </c>
    </row>
    <row r="72">
      <c r="A72" s="2" t="s">
        <v>119</v>
      </c>
      <c r="B72" s="3">
        <v>6.0</v>
      </c>
    </row>
    <row r="73">
      <c r="A73" s="2" t="s">
        <v>121</v>
      </c>
      <c r="B73" s="3">
        <v>5.0</v>
      </c>
    </row>
    <row r="74">
      <c r="A74" s="2" t="s">
        <v>122</v>
      </c>
      <c r="B74" s="3">
        <v>10.0</v>
      </c>
    </row>
    <row r="75">
      <c r="A75" s="2" t="s">
        <v>123</v>
      </c>
      <c r="B75" s="3">
        <v>0.0</v>
      </c>
    </row>
    <row r="76">
      <c r="A76" s="2" t="s">
        <v>125</v>
      </c>
      <c r="B76" s="3">
        <v>16.0</v>
      </c>
    </row>
    <row r="77">
      <c r="A77" s="2" t="s">
        <v>126</v>
      </c>
      <c r="B77" s="3">
        <v>12.0</v>
      </c>
    </row>
    <row r="78">
      <c r="A78" s="2" t="s">
        <v>127</v>
      </c>
      <c r="B78" s="3">
        <v>10.0</v>
      </c>
    </row>
    <row r="79">
      <c r="A79" s="2" t="s">
        <v>129</v>
      </c>
      <c r="B79" s="3">
        <v>0.0</v>
      </c>
    </row>
    <row r="80">
      <c r="A80" s="2" t="s">
        <v>130</v>
      </c>
      <c r="B80" s="3">
        <v>16.0</v>
      </c>
    </row>
    <row r="81">
      <c r="A81" s="2" t="s">
        <v>132</v>
      </c>
      <c r="B81" s="3">
        <v>12.0</v>
      </c>
    </row>
    <row r="82">
      <c r="A82" s="2" t="s">
        <v>133</v>
      </c>
      <c r="B82" s="3">
        <v>10.0</v>
      </c>
    </row>
    <row r="83">
      <c r="A83" s="2" t="s">
        <v>135</v>
      </c>
      <c r="B83" s="3">
        <v>0.0</v>
      </c>
    </row>
    <row r="84">
      <c r="A84" s="2" t="s">
        <v>136</v>
      </c>
      <c r="B84" s="3">
        <v>16.0</v>
      </c>
    </row>
    <row r="85">
      <c r="A85" s="2" t="s">
        <v>138</v>
      </c>
      <c r="B85" s="3">
        <v>12.0</v>
      </c>
    </row>
    <row r="86">
      <c r="A86" s="2" t="s">
        <v>140</v>
      </c>
      <c r="B86" s="3">
        <v>0.0</v>
      </c>
    </row>
    <row r="87">
      <c r="A87" s="2" t="s">
        <v>142</v>
      </c>
      <c r="B87" s="3">
        <v>0.0</v>
      </c>
    </row>
    <row r="88">
      <c r="A88" s="2" t="s">
        <v>144</v>
      </c>
      <c r="B88" s="3">
        <v>8.0</v>
      </c>
    </row>
    <row r="89">
      <c r="A89" s="2" t="s">
        <v>145</v>
      </c>
      <c r="B89" s="3">
        <v>0.0</v>
      </c>
    </row>
    <row r="90">
      <c r="A90" s="2" t="s">
        <v>147</v>
      </c>
      <c r="B90" s="3" t="e">
        <v>#NUM!</v>
      </c>
    </row>
    <row r="91">
      <c r="A91" s="2" t="s">
        <v>149</v>
      </c>
      <c r="B91" s="3" t="e">
        <v>#NUM!</v>
      </c>
    </row>
    <row r="92">
      <c r="A92" s="2" t="s">
        <v>151</v>
      </c>
      <c r="B92" s="3">
        <v>8.0</v>
      </c>
    </row>
    <row r="93">
      <c r="A93" s="2" t="s">
        <v>153</v>
      </c>
      <c r="B93" s="3" t="e">
        <v>#NUM!</v>
      </c>
    </row>
    <row r="94">
      <c r="A94" s="2" t="s">
        <v>155</v>
      </c>
      <c r="B94" s="3">
        <v>10.0</v>
      </c>
    </row>
    <row r="95">
      <c r="A95" s="2" t="s">
        <v>157</v>
      </c>
      <c r="B95" s="3">
        <v>0.0</v>
      </c>
    </row>
    <row r="96">
      <c r="A96" s="2" t="s">
        <v>158</v>
      </c>
      <c r="B96" s="3">
        <v>16.0</v>
      </c>
    </row>
    <row r="97">
      <c r="A97" s="2" t="s">
        <v>159</v>
      </c>
      <c r="B97" s="3">
        <v>12.0</v>
      </c>
    </row>
    <row r="98">
      <c r="A98" s="2" t="s">
        <v>161</v>
      </c>
      <c r="B98" s="3">
        <v>10.0</v>
      </c>
    </row>
    <row r="99">
      <c r="A99" s="2" t="s">
        <v>162</v>
      </c>
      <c r="B99" s="3">
        <v>0.0</v>
      </c>
    </row>
    <row r="100">
      <c r="A100" s="2" t="s">
        <v>164</v>
      </c>
      <c r="B100" s="3">
        <v>16.0</v>
      </c>
    </row>
    <row r="101">
      <c r="A101" s="2" t="s">
        <v>165</v>
      </c>
      <c r="B101" s="3">
        <v>12.0</v>
      </c>
    </row>
    <row r="102">
      <c r="A102" s="2" t="s">
        <v>167</v>
      </c>
      <c r="B102" s="3">
        <v>11.0</v>
      </c>
    </row>
    <row r="103">
      <c r="A103" s="2" t="s">
        <v>169</v>
      </c>
      <c r="B103" s="3">
        <v>7.0</v>
      </c>
    </row>
    <row r="104">
      <c r="A104" s="2" t="s">
        <v>170</v>
      </c>
      <c r="B104" s="3">
        <v>6.0</v>
      </c>
    </row>
    <row r="105">
      <c r="A105" s="2" t="s">
        <v>172</v>
      </c>
      <c r="B105" s="3">
        <v>5.0</v>
      </c>
    </row>
    <row r="106">
      <c r="A106" s="2" t="s">
        <v>177</v>
      </c>
      <c r="B106" s="3">
        <v>0.0</v>
      </c>
    </row>
    <row r="107">
      <c r="A107" s="2" t="s">
        <v>179</v>
      </c>
      <c r="B107" s="3">
        <v>0.0</v>
      </c>
    </row>
    <row r="108">
      <c r="A108" s="2" t="s">
        <v>180</v>
      </c>
      <c r="B108" s="3">
        <v>0.0</v>
      </c>
    </row>
    <row r="109">
      <c r="A109" s="2" t="s">
        <v>182</v>
      </c>
      <c r="B109" s="3">
        <v>0.0</v>
      </c>
    </row>
    <row r="110">
      <c r="A110" s="2" t="s">
        <v>183</v>
      </c>
      <c r="B110" s="3">
        <v>11.0</v>
      </c>
    </row>
    <row r="111">
      <c r="A111" s="2" t="s">
        <v>185</v>
      </c>
      <c r="B111" s="3">
        <v>7.0</v>
      </c>
    </row>
    <row r="112">
      <c r="A112" s="2" t="s">
        <v>186</v>
      </c>
      <c r="B112" s="3">
        <v>6.0</v>
      </c>
    </row>
    <row r="113">
      <c r="A113" s="2" t="s">
        <v>187</v>
      </c>
      <c r="B113" s="3">
        <v>5.0</v>
      </c>
    </row>
    <row r="114">
      <c r="A114" s="2" t="s">
        <v>188</v>
      </c>
      <c r="B114" s="3">
        <v>0.0</v>
      </c>
    </row>
    <row r="115">
      <c r="A115" s="2" t="s">
        <v>190</v>
      </c>
      <c r="B115" s="3">
        <v>0.0</v>
      </c>
    </row>
    <row r="116">
      <c r="A116" s="2" t="s">
        <v>192</v>
      </c>
      <c r="B116" s="3">
        <v>1.0</v>
      </c>
    </row>
    <row r="117">
      <c r="A117" s="2" t="s">
        <v>195</v>
      </c>
      <c r="B117" s="3">
        <v>0.0</v>
      </c>
    </row>
    <row r="118">
      <c r="A118" s="2" t="s">
        <v>197</v>
      </c>
      <c r="B118" s="3">
        <v>11.0</v>
      </c>
    </row>
    <row r="119">
      <c r="A119" s="2" t="s">
        <v>199</v>
      </c>
      <c r="B119" s="3">
        <v>7.0</v>
      </c>
    </row>
    <row r="120">
      <c r="A120" s="2" t="s">
        <v>202</v>
      </c>
      <c r="B120" s="3">
        <v>6.0</v>
      </c>
    </row>
    <row r="121">
      <c r="A121" s="2" t="s">
        <v>203</v>
      </c>
      <c r="B121" s="3">
        <v>5.0</v>
      </c>
    </row>
    <row r="122">
      <c r="A122" s="2" t="s">
        <v>204</v>
      </c>
      <c r="B122" s="3">
        <v>10.0</v>
      </c>
    </row>
    <row r="123">
      <c r="A123" s="2" t="s">
        <v>205</v>
      </c>
      <c r="B123" s="3">
        <v>0.0</v>
      </c>
    </row>
    <row r="124">
      <c r="A124" s="2" t="s">
        <v>206</v>
      </c>
      <c r="B124" s="3">
        <v>16.0</v>
      </c>
    </row>
    <row r="125">
      <c r="A125" s="2" t="s">
        <v>207</v>
      </c>
      <c r="B125" s="3">
        <v>12.0</v>
      </c>
    </row>
    <row r="126">
      <c r="A126" s="2" t="s">
        <v>193</v>
      </c>
      <c r="B126" s="3">
        <v>10.0</v>
      </c>
    </row>
    <row r="127">
      <c r="A127" s="2" t="s">
        <v>200</v>
      </c>
      <c r="B127" s="3">
        <v>0.0</v>
      </c>
    </row>
    <row r="128">
      <c r="A128" s="2" t="s">
        <v>196</v>
      </c>
      <c r="B128" s="3">
        <v>16.0</v>
      </c>
    </row>
    <row r="129">
      <c r="A129" s="2" t="s">
        <v>198</v>
      </c>
      <c r="B129" s="3">
        <v>12.0</v>
      </c>
    </row>
    <row r="130">
      <c r="A130" s="2" t="s">
        <v>208</v>
      </c>
      <c r="B130" s="3">
        <v>10.0</v>
      </c>
    </row>
    <row r="131">
      <c r="A131" s="2" t="s">
        <v>209</v>
      </c>
      <c r="B131" s="3">
        <v>0.0</v>
      </c>
    </row>
    <row r="132">
      <c r="A132" s="2" t="s">
        <v>210</v>
      </c>
      <c r="B132" s="3">
        <v>16.0</v>
      </c>
    </row>
    <row r="133">
      <c r="A133" s="2" t="s">
        <v>211</v>
      </c>
      <c r="B133" s="3">
        <v>12.0</v>
      </c>
    </row>
    <row r="134">
      <c r="A134" s="2" t="s">
        <v>212</v>
      </c>
      <c r="B134" s="3">
        <v>11.0</v>
      </c>
    </row>
    <row r="135">
      <c r="A135" s="2" t="s">
        <v>213</v>
      </c>
      <c r="B135" s="3">
        <v>7.0</v>
      </c>
    </row>
    <row r="136">
      <c r="A136" s="2" t="s">
        <v>214</v>
      </c>
      <c r="B136" s="3">
        <v>6.0</v>
      </c>
    </row>
    <row r="137">
      <c r="A137" s="2" t="s">
        <v>216</v>
      </c>
      <c r="B137" s="3">
        <v>5.0</v>
      </c>
    </row>
    <row r="138">
      <c r="A138" s="2" t="s">
        <v>219</v>
      </c>
      <c r="B138" s="3">
        <v>11.0</v>
      </c>
    </row>
    <row r="139">
      <c r="A139" s="2" t="s">
        <v>220</v>
      </c>
      <c r="B139" s="3">
        <v>7.0</v>
      </c>
    </row>
    <row r="140">
      <c r="A140" s="2" t="s">
        <v>223</v>
      </c>
      <c r="B140" s="3">
        <v>6.0</v>
      </c>
    </row>
    <row r="141">
      <c r="A141" s="2" t="s">
        <v>226</v>
      </c>
      <c r="B141" s="3">
        <v>5.0</v>
      </c>
    </row>
    <row r="142">
      <c r="A142" s="2" t="s">
        <v>228</v>
      </c>
      <c r="B142" s="3">
        <v>10.0</v>
      </c>
    </row>
    <row r="143">
      <c r="A143" s="2" t="s">
        <v>231</v>
      </c>
      <c r="B143" s="3">
        <v>0.0</v>
      </c>
    </row>
    <row r="144">
      <c r="A144" s="2" t="s">
        <v>233</v>
      </c>
      <c r="B144" s="3">
        <v>16.0</v>
      </c>
    </row>
    <row r="145">
      <c r="A145" s="2" t="s">
        <v>236</v>
      </c>
      <c r="B145" s="3">
        <v>12.0</v>
      </c>
    </row>
    <row r="146">
      <c r="A146" s="2" t="s">
        <v>238</v>
      </c>
      <c r="B146" s="3">
        <v>11.0</v>
      </c>
    </row>
    <row r="147">
      <c r="A147" s="2" t="s">
        <v>240</v>
      </c>
      <c r="B147" s="3">
        <v>7.0</v>
      </c>
    </row>
    <row r="148">
      <c r="A148" s="2" t="s">
        <v>243</v>
      </c>
      <c r="B148" s="3">
        <v>6.0</v>
      </c>
    </row>
    <row r="149">
      <c r="A149" s="2" t="s">
        <v>245</v>
      </c>
      <c r="B149" s="3">
        <v>5.0</v>
      </c>
    </row>
    <row r="150">
      <c r="A150" s="2" t="s">
        <v>247</v>
      </c>
      <c r="B150" s="3">
        <v>7.0</v>
      </c>
    </row>
    <row r="151">
      <c r="A151" s="2" t="s">
        <v>250</v>
      </c>
      <c r="B151" s="3">
        <v>7.0</v>
      </c>
    </row>
    <row r="152">
      <c r="A152" s="2" t="s">
        <v>252</v>
      </c>
      <c r="B152" s="3">
        <v>8.0</v>
      </c>
    </row>
    <row r="153">
      <c r="A153" s="2" t="s">
        <v>254</v>
      </c>
      <c r="B153" s="3">
        <v>7.0</v>
      </c>
    </row>
    <row r="154">
      <c r="A154" s="2" t="s">
        <v>258</v>
      </c>
      <c r="B154" s="3">
        <v>10.0</v>
      </c>
    </row>
    <row r="155">
      <c r="A155" s="2" t="s">
        <v>261</v>
      </c>
      <c r="B155" s="3">
        <v>0.0</v>
      </c>
    </row>
    <row r="156">
      <c r="A156" s="2" t="s">
        <v>264</v>
      </c>
      <c r="B156" s="3">
        <v>16.0</v>
      </c>
    </row>
    <row r="157">
      <c r="A157" s="2" t="s">
        <v>266</v>
      </c>
      <c r="B157" s="3">
        <v>12.0</v>
      </c>
    </row>
    <row r="158">
      <c r="A158" s="2" t="s">
        <v>269</v>
      </c>
      <c r="B158" s="3">
        <v>37.0</v>
      </c>
    </row>
    <row r="159">
      <c r="A159" s="2" t="s">
        <v>271</v>
      </c>
      <c r="B159" s="3">
        <v>38.0</v>
      </c>
    </row>
    <row r="160">
      <c r="A160" s="2" t="s">
        <v>273</v>
      </c>
      <c r="B160" s="3">
        <v>17.0</v>
      </c>
    </row>
    <row r="161">
      <c r="A161" s="2" t="s">
        <v>275</v>
      </c>
      <c r="B161" s="3">
        <v>34.0</v>
      </c>
    </row>
    <row r="162">
      <c r="A162" s="2" t="s">
        <v>277</v>
      </c>
      <c r="B162" s="3" t="e">
        <v>#NUM!</v>
      </c>
    </row>
    <row r="163">
      <c r="A163" s="2" t="s">
        <v>280</v>
      </c>
      <c r="B163" s="3">
        <v>0.0</v>
      </c>
    </row>
    <row r="164">
      <c r="A164" s="2" t="s">
        <v>282</v>
      </c>
      <c r="B164" s="3">
        <v>0.0</v>
      </c>
    </row>
    <row r="165">
      <c r="A165" s="2" t="s">
        <v>285</v>
      </c>
      <c r="B165" s="3">
        <v>0.0</v>
      </c>
    </row>
    <row r="166">
      <c r="A166" s="2" t="s">
        <v>80</v>
      </c>
      <c r="B166" s="3">
        <v>11.0</v>
      </c>
    </row>
    <row r="167">
      <c r="A167" s="2" t="s">
        <v>62</v>
      </c>
      <c r="B167" s="3">
        <v>23.0</v>
      </c>
    </row>
    <row r="168">
      <c r="A168" s="2" t="s">
        <v>131</v>
      </c>
      <c r="B168" s="3">
        <v>17.0</v>
      </c>
    </row>
    <row r="169">
      <c r="A169" s="2" t="s">
        <v>112</v>
      </c>
      <c r="B169" s="3">
        <v>0.0</v>
      </c>
    </row>
    <row r="170">
      <c r="A170" s="2" t="s">
        <v>292</v>
      </c>
      <c r="B170" s="3">
        <v>11.0</v>
      </c>
    </row>
    <row r="171">
      <c r="A171" s="2" t="s">
        <v>294</v>
      </c>
      <c r="B171" s="3">
        <v>23.0</v>
      </c>
    </row>
    <row r="172">
      <c r="A172" s="2" t="s">
        <v>296</v>
      </c>
      <c r="B172" s="3">
        <v>17.0</v>
      </c>
    </row>
    <row r="173">
      <c r="A173" s="2" t="s">
        <v>298</v>
      </c>
      <c r="B173" s="3">
        <v>0.0</v>
      </c>
    </row>
    <row r="174">
      <c r="A174" s="2" t="s">
        <v>300</v>
      </c>
      <c r="B174" s="3">
        <v>37.0</v>
      </c>
    </row>
    <row r="175">
      <c r="A175" s="2" t="s">
        <v>302</v>
      </c>
      <c r="B175" s="3">
        <v>38.0</v>
      </c>
    </row>
    <row r="176">
      <c r="A176" s="2" t="s">
        <v>304</v>
      </c>
      <c r="B176" s="3">
        <v>17.0</v>
      </c>
    </row>
    <row r="177">
      <c r="A177" s="2" t="s">
        <v>306</v>
      </c>
      <c r="B177" s="3">
        <v>34.0</v>
      </c>
    </row>
    <row r="178">
      <c r="A178" s="2" t="s">
        <v>308</v>
      </c>
      <c r="B178" s="3">
        <v>11.0</v>
      </c>
    </row>
    <row r="179">
      <c r="A179" s="2" t="s">
        <v>309</v>
      </c>
      <c r="B179" s="3">
        <v>23.0</v>
      </c>
    </row>
    <row r="180">
      <c r="A180" s="2" t="s">
        <v>311</v>
      </c>
      <c r="B180" s="3">
        <v>17.0</v>
      </c>
    </row>
    <row r="181">
      <c r="A181" s="2" t="s">
        <v>312</v>
      </c>
      <c r="B181" s="3">
        <v>0.0</v>
      </c>
    </row>
    <row r="182">
      <c r="A182" s="2" t="s">
        <v>314</v>
      </c>
      <c r="B182" s="3">
        <v>34.0</v>
      </c>
    </row>
    <row r="183">
      <c r="A183" s="2" t="s">
        <v>315</v>
      </c>
      <c r="B183" s="3">
        <v>30.0</v>
      </c>
    </row>
    <row r="184">
      <c r="A184" s="2" t="s">
        <v>317</v>
      </c>
      <c r="B184" s="3">
        <v>0.0</v>
      </c>
    </row>
    <row r="185">
      <c r="A185" s="2" t="s">
        <v>318</v>
      </c>
      <c r="B185" s="3">
        <v>12.0</v>
      </c>
    </row>
    <row r="186">
      <c r="A186" s="2" t="s">
        <v>29</v>
      </c>
      <c r="B186" s="3">
        <v>20.0</v>
      </c>
    </row>
    <row r="187">
      <c r="A187" s="2" t="s">
        <v>76</v>
      </c>
      <c r="B187" s="3">
        <v>5.0</v>
      </c>
    </row>
    <row r="188">
      <c r="A188" s="2" t="s">
        <v>40</v>
      </c>
      <c r="B188" s="3">
        <v>15.0</v>
      </c>
    </row>
    <row r="189">
      <c r="A189" s="2" t="s">
        <v>103</v>
      </c>
      <c r="B189" s="3">
        <v>26.0</v>
      </c>
    </row>
    <row r="190">
      <c r="A190" s="2" t="s">
        <v>324</v>
      </c>
      <c r="B190" s="3">
        <v>37.0</v>
      </c>
    </row>
    <row r="191">
      <c r="A191" s="2" t="s">
        <v>326</v>
      </c>
      <c r="B191" s="3">
        <v>38.0</v>
      </c>
    </row>
    <row r="192">
      <c r="A192" s="2" t="s">
        <v>328</v>
      </c>
      <c r="B192" s="3">
        <v>17.0</v>
      </c>
    </row>
    <row r="193">
      <c r="A193" s="2" t="s">
        <v>330</v>
      </c>
      <c r="B193" s="3">
        <v>34.0</v>
      </c>
    </row>
    <row r="194">
      <c r="A194" s="2" t="s">
        <v>154</v>
      </c>
      <c r="B194" s="3">
        <v>53.0</v>
      </c>
    </row>
    <row r="195">
      <c r="A195" s="2" t="s">
        <v>95</v>
      </c>
      <c r="B195" s="3">
        <v>58.0</v>
      </c>
    </row>
    <row r="196">
      <c r="A196" s="2" t="s">
        <v>109</v>
      </c>
      <c r="B196" s="3">
        <v>62.0</v>
      </c>
    </row>
    <row r="197">
      <c r="A197" s="2" t="s">
        <v>117</v>
      </c>
      <c r="B197" s="3">
        <v>47.0</v>
      </c>
    </row>
    <row r="198">
      <c r="A198" s="2" t="s">
        <v>335</v>
      </c>
      <c r="B198" s="3" t="e">
        <v>#NUM!</v>
      </c>
    </row>
    <row r="199">
      <c r="A199" s="2" t="s">
        <v>337</v>
      </c>
      <c r="B199" s="3" t="e">
        <v>#NUM!</v>
      </c>
    </row>
    <row r="200">
      <c r="A200" s="2" t="s">
        <v>339</v>
      </c>
      <c r="B200" s="3" t="e">
        <v>#NUM!</v>
      </c>
    </row>
    <row r="201">
      <c r="A201" s="2" t="s">
        <v>341</v>
      </c>
      <c r="B201" s="3">
        <v>28.0</v>
      </c>
    </row>
    <row r="202">
      <c r="A202" s="2" t="s">
        <v>343</v>
      </c>
      <c r="B202" s="3">
        <v>0.0</v>
      </c>
    </row>
    <row r="203">
      <c r="A203" s="2" t="s">
        <v>347</v>
      </c>
      <c r="B203" s="3">
        <v>0.0</v>
      </c>
    </row>
    <row r="204">
      <c r="A204" s="2" t="s">
        <v>350</v>
      </c>
      <c r="B204" s="3">
        <v>0.0</v>
      </c>
    </row>
    <row r="205">
      <c r="A205" s="2" t="s">
        <v>352</v>
      </c>
      <c r="B205" s="3">
        <v>0.0</v>
      </c>
    </row>
    <row r="206">
      <c r="A206" s="2" t="s">
        <v>73</v>
      </c>
      <c r="B206" s="3">
        <v>37.0</v>
      </c>
    </row>
    <row r="207">
      <c r="A207" s="2" t="s">
        <v>65</v>
      </c>
      <c r="B207" s="3">
        <v>38.0</v>
      </c>
    </row>
    <row r="208">
      <c r="A208" s="2" t="s">
        <v>97</v>
      </c>
      <c r="B208" s="3">
        <v>17.0</v>
      </c>
    </row>
    <row r="209">
      <c r="A209" s="2" t="s">
        <v>53</v>
      </c>
      <c r="B209" s="3">
        <v>34.0</v>
      </c>
    </row>
    <row r="210">
      <c r="A210" s="2" t="s">
        <v>168</v>
      </c>
      <c r="B210" s="3" t="e">
        <v>#NUM!</v>
      </c>
    </row>
    <row r="211">
      <c r="A211" s="2" t="s">
        <v>359</v>
      </c>
      <c r="B211" s="3" t="e">
        <v>#NUM!</v>
      </c>
    </row>
    <row r="212">
      <c r="A212" s="2" t="s">
        <v>361</v>
      </c>
      <c r="B212" s="3" t="e">
        <v>#NUM!</v>
      </c>
    </row>
    <row r="213">
      <c r="A213" s="2" t="s">
        <v>362</v>
      </c>
      <c r="B213" s="3">
        <v>28.0</v>
      </c>
    </row>
    <row r="214">
      <c r="A214" s="2" t="s">
        <v>171</v>
      </c>
      <c r="B214" s="3" t="e">
        <v>#NUM!</v>
      </c>
    </row>
    <row r="215">
      <c r="A215" s="2" t="s">
        <v>175</v>
      </c>
      <c r="B215" s="3">
        <v>0.0</v>
      </c>
    </row>
    <row r="216">
      <c r="A216" s="2" t="s">
        <v>174</v>
      </c>
      <c r="B216" s="3">
        <v>6.0</v>
      </c>
    </row>
    <row r="217">
      <c r="A217" s="2" t="s">
        <v>173</v>
      </c>
      <c r="B217" s="3">
        <v>15.0</v>
      </c>
    </row>
    <row r="218">
      <c r="A218" s="2" t="s">
        <v>370</v>
      </c>
      <c r="B218" s="3">
        <v>37.0</v>
      </c>
    </row>
    <row r="219">
      <c r="A219" s="2" t="s">
        <v>372</v>
      </c>
      <c r="B219" s="3">
        <v>38.0</v>
      </c>
    </row>
    <row r="220">
      <c r="A220" s="2" t="s">
        <v>373</v>
      </c>
      <c r="B220" s="3">
        <v>17.0</v>
      </c>
    </row>
    <row r="221">
      <c r="A221" s="2" t="s">
        <v>375</v>
      </c>
      <c r="B221" s="3">
        <v>34.0</v>
      </c>
    </row>
    <row r="222">
      <c r="A222" s="2" t="s">
        <v>377</v>
      </c>
      <c r="B222" s="3">
        <v>39.0</v>
      </c>
    </row>
    <row r="223">
      <c r="A223" s="2" t="s">
        <v>378</v>
      </c>
      <c r="B223" s="3">
        <v>41.0</v>
      </c>
    </row>
    <row r="224">
      <c r="A224" s="2" t="s">
        <v>380</v>
      </c>
      <c r="B224" s="3">
        <v>17.0</v>
      </c>
    </row>
    <row r="225">
      <c r="A225" s="2" t="s">
        <v>381</v>
      </c>
      <c r="B225" s="3">
        <v>34.0</v>
      </c>
    </row>
    <row r="226">
      <c r="A226" s="2" t="s">
        <v>383</v>
      </c>
      <c r="B226" s="3">
        <v>37.0</v>
      </c>
    </row>
    <row r="227">
      <c r="A227" s="2" t="s">
        <v>384</v>
      </c>
      <c r="B227" s="3">
        <v>38.0</v>
      </c>
    </row>
    <row r="228">
      <c r="A228" s="2" t="s">
        <v>386</v>
      </c>
      <c r="B228" s="3">
        <v>17.0</v>
      </c>
    </row>
    <row r="229">
      <c r="A229" s="2" t="s">
        <v>387</v>
      </c>
      <c r="B229" s="3">
        <v>34.0</v>
      </c>
    </row>
    <row r="230">
      <c r="A230" s="2" t="s">
        <v>388</v>
      </c>
      <c r="B230" s="3" t="e">
        <v>#NUM!</v>
      </c>
    </row>
    <row r="231">
      <c r="A231" s="2" t="s">
        <v>389</v>
      </c>
      <c r="B231" s="3" t="e">
        <v>#NUM!</v>
      </c>
    </row>
    <row r="232">
      <c r="A232" s="2" t="s">
        <v>390</v>
      </c>
      <c r="B232" s="3" t="e">
        <v>#NUM!</v>
      </c>
    </row>
    <row r="233">
      <c r="A233" s="2" t="s">
        <v>391</v>
      </c>
      <c r="B233" s="3">
        <v>28.0</v>
      </c>
    </row>
    <row r="234">
      <c r="A234" s="2" t="s">
        <v>392</v>
      </c>
      <c r="B234" s="3">
        <v>18.0</v>
      </c>
    </row>
    <row r="235">
      <c r="A235" s="2" t="s">
        <v>393</v>
      </c>
      <c r="B235" s="3">
        <v>9.0</v>
      </c>
    </row>
    <row r="236">
      <c r="A236" s="2" t="s">
        <v>394</v>
      </c>
      <c r="B236" s="3">
        <v>18.0</v>
      </c>
    </row>
    <row r="237">
      <c r="A237" s="2" t="s">
        <v>395</v>
      </c>
      <c r="B237" s="3">
        <v>24.0</v>
      </c>
    </row>
    <row r="238">
      <c r="A238" s="2" t="s">
        <v>396</v>
      </c>
      <c r="B238" s="3">
        <v>53.0</v>
      </c>
    </row>
    <row r="239">
      <c r="A239" s="2" t="s">
        <v>397</v>
      </c>
      <c r="B239" s="3">
        <v>58.0</v>
      </c>
    </row>
    <row r="240">
      <c r="A240" s="2" t="s">
        <v>398</v>
      </c>
      <c r="B240" s="3">
        <v>62.0</v>
      </c>
    </row>
    <row r="241">
      <c r="A241" s="2" t="s">
        <v>399</v>
      </c>
      <c r="B241" s="3">
        <v>47.0</v>
      </c>
    </row>
    <row r="242">
      <c r="A242" s="2" t="s">
        <v>401</v>
      </c>
      <c r="B242" s="3">
        <v>34.0</v>
      </c>
    </row>
    <row r="243">
      <c r="A243" s="2" t="s">
        <v>402</v>
      </c>
      <c r="B243" s="3">
        <v>30.0</v>
      </c>
    </row>
    <row r="244">
      <c r="A244" s="2" t="s">
        <v>403</v>
      </c>
      <c r="B244" s="3">
        <v>0.0</v>
      </c>
    </row>
    <row r="245">
      <c r="A245" s="2" t="s">
        <v>405</v>
      </c>
      <c r="B245" s="3">
        <v>12.0</v>
      </c>
    </row>
    <row r="246">
      <c r="A246" s="2" t="s">
        <v>406</v>
      </c>
      <c r="B246" s="3">
        <v>35.0</v>
      </c>
    </row>
    <row r="247">
      <c r="A247" s="2" t="s">
        <v>408</v>
      </c>
      <c r="B247" s="3">
        <v>54.0</v>
      </c>
    </row>
    <row r="248">
      <c r="A248" s="2" t="s">
        <v>409</v>
      </c>
      <c r="B248" s="3">
        <v>42.0</v>
      </c>
    </row>
    <row r="249">
      <c r="A249" s="2" t="s">
        <v>411</v>
      </c>
      <c r="B249" s="3">
        <v>39.0</v>
      </c>
    </row>
    <row r="250">
      <c r="A250" s="2" t="s">
        <v>412</v>
      </c>
      <c r="B250" s="3" t="e">
        <v>#NUM!</v>
      </c>
    </row>
    <row r="251">
      <c r="A251" s="2" t="s">
        <v>413</v>
      </c>
      <c r="B251" s="3" t="e">
        <v>#NUM!</v>
      </c>
    </row>
    <row r="252">
      <c r="A252" s="2" t="s">
        <v>415</v>
      </c>
      <c r="B252" s="3" t="e">
        <v>#NUM!</v>
      </c>
    </row>
    <row r="253">
      <c r="A253" s="2" t="s">
        <v>166</v>
      </c>
      <c r="B253" s="3">
        <v>28.0</v>
      </c>
    </row>
    <row r="254">
      <c r="A254" s="2" t="s">
        <v>417</v>
      </c>
      <c r="B254" s="3">
        <v>37.0</v>
      </c>
    </row>
    <row r="255">
      <c r="A255" s="2" t="s">
        <v>418</v>
      </c>
      <c r="B255" s="3">
        <v>38.0</v>
      </c>
    </row>
    <row r="256">
      <c r="A256" s="2" t="s">
        <v>420</v>
      </c>
      <c r="B256" s="3">
        <v>17.0</v>
      </c>
    </row>
    <row r="257">
      <c r="A257" s="2" t="s">
        <v>421</v>
      </c>
      <c r="B257" s="3">
        <v>34.0</v>
      </c>
    </row>
    <row r="258">
      <c r="A258" s="2" t="s">
        <v>422</v>
      </c>
      <c r="B258" s="3">
        <v>18.0</v>
      </c>
    </row>
    <row r="259">
      <c r="A259" s="2" t="s">
        <v>424</v>
      </c>
      <c r="B259" s="3">
        <v>9.0</v>
      </c>
    </row>
    <row r="260">
      <c r="A260" s="2" t="s">
        <v>428</v>
      </c>
      <c r="B260" s="3">
        <v>18.0</v>
      </c>
    </row>
    <row r="261">
      <c r="A261" s="2" t="s">
        <v>430</v>
      </c>
      <c r="B261" s="3">
        <v>24.0</v>
      </c>
    </row>
    <row r="262">
      <c r="A262" s="2" t="s">
        <v>432</v>
      </c>
      <c r="B262" s="3">
        <v>53.0</v>
      </c>
    </row>
    <row r="263">
      <c r="A263" s="2" t="s">
        <v>434</v>
      </c>
      <c r="B263" s="3">
        <v>58.0</v>
      </c>
    </row>
    <row r="264">
      <c r="A264" s="2" t="s">
        <v>436</v>
      </c>
      <c r="B264" s="3">
        <v>62.0</v>
      </c>
    </row>
    <row r="265">
      <c r="A265" s="2" t="s">
        <v>438</v>
      </c>
      <c r="B265" s="3">
        <v>47.0</v>
      </c>
    </row>
    <row r="266">
      <c r="A266" s="2" t="s">
        <v>440</v>
      </c>
      <c r="B266" s="3">
        <v>36.0</v>
      </c>
    </row>
    <row r="267">
      <c r="A267" s="2" t="s">
        <v>442</v>
      </c>
      <c r="B267" s="3">
        <v>57.0</v>
      </c>
    </row>
    <row r="268">
      <c r="A268" s="2" t="s">
        <v>444</v>
      </c>
      <c r="B268" s="3">
        <v>31.0</v>
      </c>
    </row>
    <row r="269">
      <c r="A269" s="2" t="s">
        <v>446</v>
      </c>
      <c r="B269" s="3">
        <v>25.0</v>
      </c>
    </row>
    <row r="270">
      <c r="A270" s="2" t="s">
        <v>447</v>
      </c>
      <c r="B270" s="3">
        <v>37.0</v>
      </c>
    </row>
    <row r="271">
      <c r="A271" s="2" t="s">
        <v>448</v>
      </c>
      <c r="B271" s="3">
        <v>38.0</v>
      </c>
    </row>
    <row r="272">
      <c r="A272" s="2" t="s">
        <v>449</v>
      </c>
      <c r="B272" s="3">
        <v>17.0</v>
      </c>
    </row>
    <row r="273">
      <c r="A273" s="2" t="s">
        <v>450</v>
      </c>
      <c r="B273" s="3">
        <v>34.0</v>
      </c>
    </row>
    <row r="274">
      <c r="A274" s="2" t="s">
        <v>451</v>
      </c>
      <c r="B274" s="3">
        <v>8.0</v>
      </c>
    </row>
    <row r="275">
      <c r="A275" s="2" t="s">
        <v>452</v>
      </c>
      <c r="B275" s="3">
        <v>9.0</v>
      </c>
    </row>
    <row r="276">
      <c r="A276" s="2" t="s">
        <v>453</v>
      </c>
      <c r="B276" s="3" t="e">
        <v>#NUM!</v>
      </c>
    </row>
    <row r="277">
      <c r="A277" s="2" t="s">
        <v>455</v>
      </c>
      <c r="B277" s="3">
        <v>6.0</v>
      </c>
    </row>
    <row r="278">
      <c r="A278" s="2" t="s">
        <v>457</v>
      </c>
      <c r="B278" s="3">
        <v>11.0</v>
      </c>
    </row>
    <row r="279">
      <c r="A279" s="2" t="s">
        <v>460</v>
      </c>
      <c r="B279" s="3">
        <v>23.0</v>
      </c>
    </row>
    <row r="280">
      <c r="A280" s="2" t="s">
        <v>463</v>
      </c>
      <c r="B280" s="3">
        <v>17.0</v>
      </c>
    </row>
    <row r="281">
      <c r="A281" s="2" t="s">
        <v>465</v>
      </c>
      <c r="B281" s="3">
        <v>0.0</v>
      </c>
    </row>
    <row r="282">
      <c r="A282" s="2" t="s">
        <v>467</v>
      </c>
      <c r="B282" s="3">
        <v>37.0</v>
      </c>
    </row>
    <row r="283">
      <c r="A283" s="2" t="s">
        <v>470</v>
      </c>
      <c r="B283" s="3">
        <v>38.0</v>
      </c>
    </row>
    <row r="284">
      <c r="A284" s="2" t="s">
        <v>472</v>
      </c>
      <c r="B284" s="3">
        <v>17.0</v>
      </c>
    </row>
    <row r="285">
      <c r="A285" s="2" t="s">
        <v>482</v>
      </c>
      <c r="B285" s="3">
        <v>34.0</v>
      </c>
    </row>
    <row r="286">
      <c r="A286" s="2" t="s">
        <v>485</v>
      </c>
      <c r="B286" s="3" t="e">
        <v>#NUM!</v>
      </c>
    </row>
    <row r="287">
      <c r="A287" s="2" t="s">
        <v>487</v>
      </c>
      <c r="B287" s="3" t="e">
        <v>#NUM!</v>
      </c>
    </row>
    <row r="288">
      <c r="A288" s="2" t="s">
        <v>490</v>
      </c>
      <c r="B288" s="3" t="e">
        <v>#NUM!</v>
      </c>
    </row>
    <row r="289">
      <c r="A289" s="2" t="s">
        <v>493</v>
      </c>
      <c r="B289" s="3">
        <v>28.0</v>
      </c>
    </row>
    <row r="290">
      <c r="A290" s="2" t="s">
        <v>496</v>
      </c>
      <c r="B290" s="3">
        <v>20.0</v>
      </c>
    </row>
    <row r="291">
      <c r="A291" s="2" t="s">
        <v>498</v>
      </c>
      <c r="B291" s="3">
        <v>5.0</v>
      </c>
    </row>
    <row r="292">
      <c r="A292" s="2" t="s">
        <v>501</v>
      </c>
      <c r="B292" s="3">
        <v>15.0</v>
      </c>
    </row>
    <row r="293">
      <c r="A293" s="2" t="s">
        <v>503</v>
      </c>
      <c r="B293" s="3">
        <v>26.0</v>
      </c>
    </row>
    <row r="294">
      <c r="A294" s="2" t="s">
        <v>506</v>
      </c>
      <c r="B294" s="3">
        <v>11.0</v>
      </c>
    </row>
    <row r="295">
      <c r="A295" s="2" t="s">
        <v>508</v>
      </c>
      <c r="B295" s="3">
        <v>23.0</v>
      </c>
    </row>
    <row r="296">
      <c r="A296" s="2" t="s">
        <v>510</v>
      </c>
      <c r="B296" s="3">
        <v>17.0</v>
      </c>
    </row>
    <row r="297">
      <c r="A297" s="2" t="s">
        <v>512</v>
      </c>
      <c r="B297" s="3">
        <v>0.0</v>
      </c>
    </row>
    <row r="298">
      <c r="A298" s="2" t="s">
        <v>515</v>
      </c>
      <c r="B298" s="3">
        <v>37.0</v>
      </c>
    </row>
    <row r="299">
      <c r="A299" s="2" t="s">
        <v>519</v>
      </c>
      <c r="B299" s="3">
        <v>38.0</v>
      </c>
    </row>
    <row r="300">
      <c r="A300" s="2" t="s">
        <v>522</v>
      </c>
      <c r="B300" s="3">
        <v>17.0</v>
      </c>
    </row>
    <row r="301">
      <c r="A301" s="2" t="s">
        <v>525</v>
      </c>
      <c r="B301" s="3">
        <v>34.0</v>
      </c>
    </row>
    <row r="302">
      <c r="A302" s="2" t="s">
        <v>528</v>
      </c>
      <c r="B302" s="3">
        <v>20.0</v>
      </c>
    </row>
    <row r="303">
      <c r="A303" s="2" t="s">
        <v>531</v>
      </c>
      <c r="B303" s="3">
        <v>5.0</v>
      </c>
    </row>
    <row r="304">
      <c r="A304" s="2" t="s">
        <v>533</v>
      </c>
      <c r="B304" s="3">
        <v>15.0</v>
      </c>
    </row>
    <row r="305">
      <c r="A305" s="2" t="s">
        <v>536</v>
      </c>
      <c r="B305" s="3">
        <v>26.0</v>
      </c>
    </row>
    <row r="306">
      <c r="A306" s="2" t="s">
        <v>538</v>
      </c>
      <c r="B306" s="3">
        <v>37.0</v>
      </c>
    </row>
    <row r="307">
      <c r="A307" s="2" t="s">
        <v>542</v>
      </c>
      <c r="B307" s="3">
        <v>38.0</v>
      </c>
    </row>
    <row r="308">
      <c r="A308" s="2" t="s">
        <v>544</v>
      </c>
      <c r="B308" s="3">
        <v>17.0</v>
      </c>
    </row>
    <row r="309">
      <c r="A309" s="2" t="s">
        <v>545</v>
      </c>
      <c r="B309" s="3">
        <v>34.0</v>
      </c>
    </row>
    <row r="310">
      <c r="A310" s="2" t="s">
        <v>546</v>
      </c>
      <c r="B310" s="3" t="e">
        <v>#NUM!</v>
      </c>
    </row>
    <row r="311">
      <c r="A311" s="2" t="s">
        <v>547</v>
      </c>
      <c r="B311" s="3">
        <v>20.0</v>
      </c>
    </row>
    <row r="312">
      <c r="A312" s="2" t="s">
        <v>551</v>
      </c>
      <c r="B312" s="3">
        <v>20.0</v>
      </c>
    </row>
    <row r="313">
      <c r="A313" s="2" t="s">
        <v>553</v>
      </c>
      <c r="B313" s="3">
        <v>28.0</v>
      </c>
    </row>
    <row r="314">
      <c r="A314" s="2" t="s">
        <v>559</v>
      </c>
      <c r="B314" s="3">
        <v>12.0</v>
      </c>
    </row>
    <row r="315">
      <c r="A315" s="2" t="s">
        <v>561</v>
      </c>
      <c r="B315" s="3">
        <v>13.0</v>
      </c>
    </row>
    <row r="316">
      <c r="A316" s="2" t="s">
        <v>564</v>
      </c>
      <c r="B316" s="3">
        <v>9.0</v>
      </c>
    </row>
    <row r="317">
      <c r="A317" s="2" t="s">
        <v>567</v>
      </c>
      <c r="B317" s="3">
        <v>15.0</v>
      </c>
    </row>
    <row r="318">
      <c r="A318" s="2" t="s">
        <v>572</v>
      </c>
      <c r="B318" s="3">
        <v>37.0</v>
      </c>
    </row>
    <row r="319">
      <c r="A319" s="2" t="s">
        <v>574</v>
      </c>
      <c r="B319" s="3">
        <v>38.0</v>
      </c>
    </row>
    <row r="320">
      <c r="A320" s="2" t="s">
        <v>577</v>
      </c>
      <c r="B320" s="3">
        <v>17.0</v>
      </c>
    </row>
    <row r="321">
      <c r="A321" s="2" t="s">
        <v>579</v>
      </c>
      <c r="B321" s="3">
        <v>34.0</v>
      </c>
    </row>
    <row r="322">
      <c r="A322" s="2" t="s">
        <v>215</v>
      </c>
      <c r="B322" s="3">
        <v>12.0</v>
      </c>
    </row>
    <row r="323">
      <c r="A323" s="2" t="s">
        <v>217</v>
      </c>
      <c r="B323" s="3">
        <v>13.0</v>
      </c>
    </row>
    <row r="324">
      <c r="A324" s="2" t="s">
        <v>218</v>
      </c>
      <c r="B324" s="3">
        <v>9.0</v>
      </c>
    </row>
    <row r="325">
      <c r="A325" s="2" t="s">
        <v>221</v>
      </c>
      <c r="B325" s="3">
        <v>15.0</v>
      </c>
    </row>
    <row r="326">
      <c r="A326" s="2" t="s">
        <v>59</v>
      </c>
      <c r="B326" s="3">
        <v>34.0</v>
      </c>
    </row>
    <row r="327">
      <c r="A327" s="2" t="s">
        <v>33</v>
      </c>
      <c r="B327" s="3">
        <v>30.0</v>
      </c>
    </row>
    <row r="328">
      <c r="A328" s="2" t="s">
        <v>30</v>
      </c>
      <c r="B328" s="3">
        <v>0.0</v>
      </c>
    </row>
    <row r="329">
      <c r="A329" s="2" t="s">
        <v>86</v>
      </c>
      <c r="B329" s="3">
        <v>12.0</v>
      </c>
    </row>
    <row r="330">
      <c r="A330" s="2" t="s">
        <v>588</v>
      </c>
      <c r="B330" s="3">
        <v>0.0</v>
      </c>
    </row>
    <row r="331">
      <c r="A331" s="2" t="s">
        <v>589</v>
      </c>
      <c r="B331" s="3">
        <v>0.0</v>
      </c>
    </row>
    <row r="332">
      <c r="A332" s="2" t="s">
        <v>591</v>
      </c>
      <c r="B332" s="3">
        <v>0.0</v>
      </c>
    </row>
    <row r="333">
      <c r="A333" s="2" t="s">
        <v>593</v>
      </c>
      <c r="B333" s="3">
        <v>0.0</v>
      </c>
    </row>
    <row r="334">
      <c r="A334" s="2" t="s">
        <v>595</v>
      </c>
      <c r="B334" s="3">
        <v>0.0</v>
      </c>
    </row>
    <row r="335">
      <c r="A335" s="2" t="s">
        <v>597</v>
      </c>
      <c r="B335" s="3">
        <v>0.0</v>
      </c>
    </row>
    <row r="336">
      <c r="A336" s="2" t="s">
        <v>598</v>
      </c>
      <c r="B336" s="3" t="e">
        <v>#NUM!</v>
      </c>
    </row>
    <row r="337">
      <c r="A337" s="2" t="s">
        <v>600</v>
      </c>
      <c r="B337" s="3">
        <v>15.0</v>
      </c>
    </row>
    <row r="338">
      <c r="A338" s="2" t="s">
        <v>602</v>
      </c>
      <c r="B338" s="3" t="e">
        <v>#NUM!</v>
      </c>
    </row>
    <row r="339">
      <c r="A339" s="2" t="s">
        <v>605</v>
      </c>
      <c r="B339" s="3">
        <v>0.0</v>
      </c>
    </row>
    <row r="340">
      <c r="A340" s="2" t="s">
        <v>608</v>
      </c>
      <c r="B340" s="3">
        <v>6.0</v>
      </c>
    </row>
    <row r="341">
      <c r="A341" s="2" t="s">
        <v>610</v>
      </c>
      <c r="B341" s="3">
        <v>15.0</v>
      </c>
    </row>
    <row r="342">
      <c r="A342" s="2" t="s">
        <v>611</v>
      </c>
      <c r="B342" s="3">
        <v>37.0</v>
      </c>
    </row>
    <row r="343">
      <c r="A343" s="2" t="s">
        <v>613</v>
      </c>
      <c r="B343" s="3">
        <v>38.0</v>
      </c>
    </row>
    <row r="344">
      <c r="A344" s="2" t="s">
        <v>616</v>
      </c>
      <c r="B344" s="3">
        <v>17.0</v>
      </c>
    </row>
    <row r="345">
      <c r="A345" s="2" t="s">
        <v>617</v>
      </c>
      <c r="B345" s="3">
        <v>34.0</v>
      </c>
    </row>
    <row r="346">
      <c r="A346" s="2" t="s">
        <v>618</v>
      </c>
      <c r="B346" s="3">
        <v>20.0</v>
      </c>
    </row>
    <row r="347">
      <c r="A347" s="2" t="s">
        <v>163</v>
      </c>
      <c r="B347" s="3">
        <v>20.0</v>
      </c>
    </row>
    <row r="348">
      <c r="A348" s="2" t="s">
        <v>620</v>
      </c>
      <c r="B348" s="3">
        <v>20.0</v>
      </c>
    </row>
    <row r="349">
      <c r="A349" s="2" t="s">
        <v>621</v>
      </c>
      <c r="B349" s="3">
        <v>28.0</v>
      </c>
    </row>
    <row r="350">
      <c r="A350" s="2" t="s">
        <v>622</v>
      </c>
      <c r="B350" s="3" t="e">
        <v>#NUM!</v>
      </c>
    </row>
    <row r="351">
      <c r="A351" s="2" t="s">
        <v>626</v>
      </c>
      <c r="B351" s="3">
        <v>0.0</v>
      </c>
    </row>
    <row r="352">
      <c r="A352" s="2" t="s">
        <v>628</v>
      </c>
      <c r="B352" s="3">
        <v>0.0</v>
      </c>
    </row>
    <row r="353">
      <c r="A353" s="2" t="s">
        <v>630</v>
      </c>
      <c r="B353" s="3">
        <v>0.0</v>
      </c>
    </row>
    <row r="354">
      <c r="A354" s="2" t="s">
        <v>634</v>
      </c>
      <c r="B354" s="3" t="e">
        <v>#NUM!</v>
      </c>
    </row>
    <row r="355">
      <c r="A355" s="2" t="s">
        <v>635</v>
      </c>
      <c r="B355" s="3">
        <v>0.0</v>
      </c>
    </row>
    <row r="356">
      <c r="A356" s="2" t="s">
        <v>636</v>
      </c>
      <c r="B356" s="3">
        <v>6.0</v>
      </c>
    </row>
    <row r="357">
      <c r="A357" s="2" t="s">
        <v>637</v>
      </c>
      <c r="B357" s="3">
        <v>15.0</v>
      </c>
    </row>
    <row r="358">
      <c r="A358" s="2" t="s">
        <v>638</v>
      </c>
      <c r="B358" s="3" t="e">
        <v>#NUM!</v>
      </c>
    </row>
    <row r="359">
      <c r="A359" s="2" t="s">
        <v>640</v>
      </c>
      <c r="B359" s="3">
        <v>0.0</v>
      </c>
    </row>
    <row r="360">
      <c r="A360" s="2" t="s">
        <v>641</v>
      </c>
      <c r="B360" s="3">
        <v>0.0</v>
      </c>
    </row>
    <row r="361">
      <c r="A361" s="2" t="s">
        <v>644</v>
      </c>
      <c r="B361" s="3">
        <v>0.0</v>
      </c>
    </row>
    <row r="362">
      <c r="A362" s="2" t="s">
        <v>120</v>
      </c>
      <c r="B362" s="3">
        <v>0.0</v>
      </c>
    </row>
    <row r="363">
      <c r="A363" s="2" t="s">
        <v>150</v>
      </c>
      <c r="B363" s="3">
        <v>0.0</v>
      </c>
    </row>
    <row r="364">
      <c r="A364" s="2" t="s">
        <v>156</v>
      </c>
      <c r="B364" s="3" t="e">
        <v>#NUM!</v>
      </c>
    </row>
    <row r="365">
      <c r="A365" s="2" t="s">
        <v>137</v>
      </c>
      <c r="B365" s="3">
        <v>15.0</v>
      </c>
    </row>
    <row r="366">
      <c r="A366" s="2" t="s">
        <v>649</v>
      </c>
      <c r="B366" s="3">
        <v>0.0</v>
      </c>
    </row>
    <row r="367">
      <c r="A367" s="2" t="s">
        <v>651</v>
      </c>
      <c r="B367" s="3">
        <v>0.0</v>
      </c>
    </row>
    <row r="368">
      <c r="A368" s="2" t="s">
        <v>653</v>
      </c>
      <c r="B368" s="3" t="e">
        <v>#NUM!</v>
      </c>
    </row>
    <row r="369">
      <c r="A369" s="2" t="s">
        <v>654</v>
      </c>
      <c r="B369" s="3">
        <v>15.0</v>
      </c>
    </row>
    <row r="370">
      <c r="A370" s="2" t="s">
        <v>655</v>
      </c>
      <c r="B370" s="3">
        <v>37.0</v>
      </c>
    </row>
    <row r="371">
      <c r="A371" s="2" t="s">
        <v>656</v>
      </c>
      <c r="B371" s="3">
        <v>38.0</v>
      </c>
    </row>
    <row r="372">
      <c r="A372" s="2" t="s">
        <v>657</v>
      </c>
      <c r="B372" s="3">
        <v>17.0</v>
      </c>
    </row>
    <row r="373">
      <c r="A373" s="2" t="s">
        <v>658</v>
      </c>
      <c r="B373" s="3">
        <v>34.0</v>
      </c>
    </row>
    <row r="374">
      <c r="A374" s="2" t="s">
        <v>659</v>
      </c>
      <c r="B374" s="3" t="e">
        <v>#NUM!</v>
      </c>
    </row>
    <row r="375">
      <c r="A375" s="2" t="s">
        <v>660</v>
      </c>
      <c r="B375" s="3">
        <v>0.0</v>
      </c>
    </row>
    <row r="376">
      <c r="A376" s="2" t="s">
        <v>661</v>
      </c>
      <c r="B376" s="3">
        <v>0.0</v>
      </c>
    </row>
    <row r="377">
      <c r="A377" s="2" t="s">
        <v>662</v>
      </c>
      <c r="B377" s="3">
        <v>0.0</v>
      </c>
    </row>
    <row r="378">
      <c r="A378" s="2" t="s">
        <v>663</v>
      </c>
      <c r="B378" s="3" t="e">
        <v>#NUM!</v>
      </c>
    </row>
    <row r="379">
      <c r="A379" s="2" t="s">
        <v>665</v>
      </c>
      <c r="B379" s="3">
        <v>0.0</v>
      </c>
    </row>
    <row r="380">
      <c r="A380" s="2" t="s">
        <v>666</v>
      </c>
      <c r="B380" s="3">
        <v>0.0</v>
      </c>
    </row>
    <row r="381">
      <c r="A381" s="2" t="s">
        <v>668</v>
      </c>
      <c r="B381" s="3">
        <v>0.0</v>
      </c>
    </row>
    <row r="382">
      <c r="A382" s="2" t="s">
        <v>670</v>
      </c>
      <c r="B382" s="3">
        <v>35.0</v>
      </c>
    </row>
    <row r="383">
      <c r="A383" s="2" t="s">
        <v>674</v>
      </c>
      <c r="B383" s="3">
        <v>54.0</v>
      </c>
    </row>
    <row r="384">
      <c r="A384" s="2" t="s">
        <v>677</v>
      </c>
      <c r="B384" s="3">
        <v>42.0</v>
      </c>
    </row>
    <row r="385">
      <c r="A385" s="2" t="s">
        <v>680</v>
      </c>
      <c r="B385" s="3">
        <v>39.0</v>
      </c>
    </row>
    <row r="386">
      <c r="A386" s="2" t="s">
        <v>683</v>
      </c>
      <c r="B386" s="3">
        <v>11.0</v>
      </c>
    </row>
    <row r="387">
      <c r="A387" s="2" t="s">
        <v>685</v>
      </c>
      <c r="B387" s="3">
        <v>23.0</v>
      </c>
    </row>
    <row r="388">
      <c r="A388" s="2" t="s">
        <v>686</v>
      </c>
      <c r="B388" s="3">
        <v>17.0</v>
      </c>
    </row>
    <row r="389">
      <c r="A389" s="2" t="s">
        <v>688</v>
      </c>
      <c r="B389" s="3">
        <v>0.0</v>
      </c>
    </row>
    <row r="390">
      <c r="A390" s="2" t="s">
        <v>690</v>
      </c>
      <c r="B390" s="3" t="e">
        <v>#NUM!</v>
      </c>
    </row>
    <row r="391">
      <c r="A391" s="2" t="s">
        <v>691</v>
      </c>
      <c r="B391" s="3">
        <v>0.0</v>
      </c>
    </row>
    <row r="392">
      <c r="A392" s="2" t="s">
        <v>693</v>
      </c>
      <c r="B392" s="3">
        <v>0.0</v>
      </c>
    </row>
    <row r="393">
      <c r="A393" s="2" t="s">
        <v>694</v>
      </c>
      <c r="B393" s="3">
        <v>0.0</v>
      </c>
    </row>
    <row r="394">
      <c r="A394" s="2" t="s">
        <v>696</v>
      </c>
      <c r="B394" s="3">
        <v>37.0</v>
      </c>
    </row>
    <row r="395">
      <c r="A395" s="2" t="s">
        <v>698</v>
      </c>
      <c r="B395" s="3">
        <v>38.0</v>
      </c>
    </row>
    <row r="396">
      <c r="A396" s="2" t="s">
        <v>700</v>
      </c>
      <c r="B396" s="3">
        <v>17.0</v>
      </c>
    </row>
    <row r="397">
      <c r="A397" s="2" t="s">
        <v>701</v>
      </c>
      <c r="B397" s="3">
        <v>34.0</v>
      </c>
    </row>
    <row r="398">
      <c r="A398" s="2" t="s">
        <v>615</v>
      </c>
      <c r="B398" s="3">
        <v>18.0</v>
      </c>
    </row>
    <row r="399">
      <c r="A399" s="2" t="s">
        <v>604</v>
      </c>
      <c r="B399" s="3">
        <v>9.0</v>
      </c>
    </row>
    <row r="400">
      <c r="A400" s="2" t="s">
        <v>612</v>
      </c>
      <c r="B400" s="3">
        <v>18.0</v>
      </c>
    </row>
    <row r="401">
      <c r="A401" s="2" t="s">
        <v>609</v>
      </c>
      <c r="B401" s="3">
        <v>24.0</v>
      </c>
    </row>
    <row r="402">
      <c r="A402" s="2" t="s">
        <v>705</v>
      </c>
      <c r="B402" s="3">
        <v>34.0</v>
      </c>
    </row>
    <row r="403">
      <c r="A403" s="2" t="s">
        <v>707</v>
      </c>
      <c r="B403" s="3">
        <v>30.0</v>
      </c>
    </row>
    <row r="404">
      <c r="A404" s="2" t="s">
        <v>709</v>
      </c>
      <c r="B404" s="3">
        <v>0.0</v>
      </c>
    </row>
    <row r="405">
      <c r="A405" s="2" t="s">
        <v>711</v>
      </c>
      <c r="B405" s="3">
        <v>12.0</v>
      </c>
    </row>
    <row r="406">
      <c r="A406" s="2" t="s">
        <v>715</v>
      </c>
      <c r="B406" s="3">
        <v>20.0</v>
      </c>
    </row>
    <row r="407">
      <c r="A407" s="2" t="s">
        <v>717</v>
      </c>
      <c r="B407" s="3">
        <v>20.0</v>
      </c>
    </row>
    <row r="408">
      <c r="A408" s="2" t="s">
        <v>648</v>
      </c>
      <c r="B408" s="3">
        <v>20.0</v>
      </c>
    </row>
    <row r="409">
      <c r="A409" s="2" t="s">
        <v>652</v>
      </c>
      <c r="B409" s="3">
        <v>28.0</v>
      </c>
    </row>
    <row r="410">
      <c r="A410" s="2" t="s">
        <v>570</v>
      </c>
      <c r="B410" s="3">
        <v>18.0</v>
      </c>
    </row>
    <row r="411">
      <c r="A411" s="2" t="s">
        <v>566</v>
      </c>
      <c r="B411" s="3">
        <v>9.0</v>
      </c>
    </row>
    <row r="412">
      <c r="A412" s="2" t="s">
        <v>562</v>
      </c>
      <c r="B412" s="3">
        <v>18.0</v>
      </c>
    </row>
    <row r="413">
      <c r="A413" s="2" t="s">
        <v>575</v>
      </c>
      <c r="B413" s="3">
        <v>24.0</v>
      </c>
    </row>
    <row r="414">
      <c r="A414" s="2" t="s">
        <v>727</v>
      </c>
      <c r="B414" s="3" t="e">
        <v>#NUM!</v>
      </c>
    </row>
    <row r="415">
      <c r="A415" s="2" t="s">
        <v>729</v>
      </c>
      <c r="B415" s="3">
        <v>0.0</v>
      </c>
    </row>
    <row r="416">
      <c r="A416" s="2" t="s">
        <v>732</v>
      </c>
      <c r="B416" s="3">
        <v>0.0</v>
      </c>
    </row>
    <row r="417">
      <c r="A417" s="2" t="s">
        <v>735</v>
      </c>
      <c r="B417" s="3">
        <v>0.0</v>
      </c>
    </row>
    <row r="418">
      <c r="A418" s="2" t="s">
        <v>737</v>
      </c>
      <c r="B418" s="3">
        <v>34.0</v>
      </c>
    </row>
    <row r="419">
      <c r="A419" s="2" t="s">
        <v>741</v>
      </c>
      <c r="B419" s="3">
        <v>30.0</v>
      </c>
    </row>
    <row r="420">
      <c r="A420" s="2" t="s">
        <v>744</v>
      </c>
      <c r="B420" s="3">
        <v>0.0</v>
      </c>
    </row>
    <row r="421">
      <c r="A421" s="2" t="s">
        <v>747</v>
      </c>
      <c r="B421" s="3">
        <v>12.0</v>
      </c>
    </row>
    <row r="422">
      <c r="A422" s="2" t="s">
        <v>624</v>
      </c>
      <c r="B422" s="3">
        <v>34.0</v>
      </c>
    </row>
    <row r="423">
      <c r="A423" s="2" t="s">
        <v>623</v>
      </c>
      <c r="B423" s="3">
        <v>30.0</v>
      </c>
    </row>
    <row r="424">
      <c r="A424" s="2" t="s">
        <v>625</v>
      </c>
      <c r="B424" s="3">
        <v>0.0</v>
      </c>
    </row>
    <row r="425">
      <c r="A425" s="2" t="s">
        <v>627</v>
      </c>
      <c r="B425" s="3">
        <v>12.0</v>
      </c>
    </row>
    <row r="426">
      <c r="A426" s="2" t="s">
        <v>756</v>
      </c>
      <c r="B426" s="3">
        <v>20.0</v>
      </c>
    </row>
    <row r="427">
      <c r="A427" s="2" t="s">
        <v>757</v>
      </c>
      <c r="B427" s="3">
        <v>20.0</v>
      </c>
    </row>
    <row r="428">
      <c r="A428" s="2" t="s">
        <v>758</v>
      </c>
      <c r="B428" s="3">
        <v>20.0</v>
      </c>
    </row>
    <row r="429">
      <c r="A429" s="2" t="s">
        <v>759</v>
      </c>
      <c r="B429" s="3">
        <v>28.0</v>
      </c>
    </row>
    <row r="430">
      <c r="A430" s="2" t="s">
        <v>760</v>
      </c>
      <c r="B430" s="3">
        <v>20.0</v>
      </c>
    </row>
    <row r="431">
      <c r="A431" s="2" t="s">
        <v>761</v>
      </c>
      <c r="B431" s="3">
        <v>20.0</v>
      </c>
    </row>
    <row r="432">
      <c r="A432" s="2" t="s">
        <v>742</v>
      </c>
      <c r="B432" s="3">
        <v>20.0</v>
      </c>
    </row>
    <row r="433">
      <c r="A433" s="2" t="s">
        <v>763</v>
      </c>
      <c r="B433" s="3">
        <v>28.0</v>
      </c>
    </row>
    <row r="434">
      <c r="A434" s="2" t="s">
        <v>764</v>
      </c>
      <c r="B434" s="3">
        <v>20.0</v>
      </c>
    </row>
    <row r="435">
      <c r="A435" s="2" t="s">
        <v>765</v>
      </c>
      <c r="B435" s="3">
        <v>20.0</v>
      </c>
    </row>
    <row r="436">
      <c r="A436" s="2" t="s">
        <v>548</v>
      </c>
      <c r="B436" s="3" t="e">
        <v>#NUM!</v>
      </c>
    </row>
    <row r="437">
      <c r="A437" s="2" t="s">
        <v>767</v>
      </c>
      <c r="B437" s="3">
        <v>28.0</v>
      </c>
    </row>
    <row r="438">
      <c r="A438" s="2" t="s">
        <v>768</v>
      </c>
      <c r="B438" s="3">
        <v>12.0</v>
      </c>
    </row>
    <row r="439">
      <c r="A439" s="2" t="s">
        <v>769</v>
      </c>
      <c r="B439" s="3">
        <v>13.0</v>
      </c>
    </row>
    <row r="440">
      <c r="A440" s="2" t="s">
        <v>770</v>
      </c>
      <c r="B440" s="3">
        <v>9.0</v>
      </c>
    </row>
    <row r="441">
      <c r="A441" s="2" t="s">
        <v>771</v>
      </c>
      <c r="B441" s="3">
        <v>15.0</v>
      </c>
    </row>
    <row r="442">
      <c r="A442" s="2" t="s">
        <v>772</v>
      </c>
      <c r="B442" s="3" t="e">
        <v>#NUM!</v>
      </c>
    </row>
    <row r="443">
      <c r="A443" s="2" t="s">
        <v>773</v>
      </c>
      <c r="B443" s="3" t="e">
        <v>#NUM!</v>
      </c>
    </row>
    <row r="444">
      <c r="A444" s="2" t="s">
        <v>160</v>
      </c>
      <c r="B444" s="3" t="e">
        <v>#NUM!</v>
      </c>
    </row>
    <row r="445">
      <c r="A445" s="2" t="s">
        <v>774</v>
      </c>
      <c r="B445" s="3">
        <v>28.0</v>
      </c>
    </row>
    <row r="446">
      <c r="A446" s="2" t="s">
        <v>684</v>
      </c>
      <c r="B446" s="3">
        <v>37.0</v>
      </c>
    </row>
    <row r="447">
      <c r="A447" s="2" t="s">
        <v>678</v>
      </c>
      <c r="B447" s="3">
        <v>38.0</v>
      </c>
    </row>
    <row r="448">
      <c r="A448" s="2" t="s">
        <v>675</v>
      </c>
      <c r="B448" s="3">
        <v>17.0</v>
      </c>
    </row>
    <row r="449">
      <c r="A449" s="2" t="s">
        <v>681</v>
      </c>
      <c r="B449" s="3">
        <v>34.0</v>
      </c>
    </row>
    <row r="450">
      <c r="A450" s="2" t="s">
        <v>647</v>
      </c>
      <c r="B450" s="3">
        <v>37.0</v>
      </c>
    </row>
    <row r="451">
      <c r="A451" s="2" t="s">
        <v>645</v>
      </c>
      <c r="B451" s="3">
        <v>38.0</v>
      </c>
    </row>
    <row r="452">
      <c r="A452" s="2" t="s">
        <v>639</v>
      </c>
      <c r="B452" s="3">
        <v>17.0</v>
      </c>
    </row>
    <row r="453">
      <c r="A453" s="2" t="s">
        <v>642</v>
      </c>
      <c r="B453" s="3">
        <v>34.0</v>
      </c>
    </row>
    <row r="454">
      <c r="A454" s="2" t="s">
        <v>134</v>
      </c>
      <c r="B454" s="3">
        <v>12.0</v>
      </c>
    </row>
    <row r="455">
      <c r="A455" s="2" t="s">
        <v>106</v>
      </c>
      <c r="B455" s="3">
        <v>13.0</v>
      </c>
    </row>
    <row r="456">
      <c r="A456" s="2" t="s">
        <v>143</v>
      </c>
      <c r="B456" s="3">
        <v>9.0</v>
      </c>
    </row>
    <row r="457">
      <c r="A457" s="2" t="s">
        <v>128</v>
      </c>
      <c r="B457" s="3">
        <v>15.0</v>
      </c>
    </row>
    <row r="458">
      <c r="A458" s="2" t="s">
        <v>36</v>
      </c>
      <c r="B458" s="3">
        <v>36.0</v>
      </c>
    </row>
    <row r="459">
      <c r="A459" s="2" t="s">
        <v>115</v>
      </c>
      <c r="B459" s="3">
        <v>57.0</v>
      </c>
    </row>
    <row r="460">
      <c r="A460" s="2" t="s">
        <v>48</v>
      </c>
      <c r="B460" s="3">
        <v>31.0</v>
      </c>
    </row>
    <row r="461">
      <c r="A461" s="2" t="s">
        <v>56</v>
      </c>
      <c r="B461" s="3">
        <v>25.0</v>
      </c>
    </row>
    <row r="462">
      <c r="A462" s="2" t="s">
        <v>780</v>
      </c>
      <c r="B462" s="3">
        <v>53.0</v>
      </c>
    </row>
    <row r="463">
      <c r="A463" s="2" t="s">
        <v>781</v>
      </c>
      <c r="B463" s="3">
        <v>58.0</v>
      </c>
    </row>
    <row r="464">
      <c r="A464" s="2" t="s">
        <v>782</v>
      </c>
      <c r="B464" s="3">
        <v>62.0</v>
      </c>
    </row>
    <row r="465">
      <c r="A465" s="2" t="s">
        <v>785</v>
      </c>
      <c r="B465" s="3">
        <v>47.0</v>
      </c>
    </row>
    <row r="466">
      <c r="A466" s="2" t="s">
        <v>786</v>
      </c>
      <c r="B466" s="3" t="e">
        <v>#NUM!</v>
      </c>
    </row>
    <row r="467">
      <c r="A467" s="2" t="s">
        <v>788</v>
      </c>
      <c r="B467" s="3" t="e">
        <v>#NUM!</v>
      </c>
    </row>
    <row r="468">
      <c r="A468" s="2" t="s">
        <v>789</v>
      </c>
      <c r="B468" s="3" t="e">
        <v>#NUM!</v>
      </c>
    </row>
    <row r="469">
      <c r="A469" s="2" t="s">
        <v>791</v>
      </c>
      <c r="B469" s="3">
        <v>28.0</v>
      </c>
    </row>
    <row r="470">
      <c r="A470" s="2" t="s">
        <v>181</v>
      </c>
      <c r="B470" s="3">
        <v>35.0</v>
      </c>
    </row>
    <row r="471">
      <c r="A471" s="2" t="s">
        <v>178</v>
      </c>
      <c r="B471" s="3">
        <v>54.0</v>
      </c>
    </row>
    <row r="472">
      <c r="A472" s="2" t="s">
        <v>176</v>
      </c>
      <c r="B472" s="3">
        <v>42.0</v>
      </c>
    </row>
    <row r="473">
      <c r="A473" s="2" t="s">
        <v>184</v>
      </c>
      <c r="B473" s="3">
        <v>39.0</v>
      </c>
    </row>
    <row r="474">
      <c r="A474" s="2" t="s">
        <v>794</v>
      </c>
      <c r="B474" s="3">
        <v>37.0</v>
      </c>
    </row>
    <row r="475">
      <c r="A475" s="2" t="s">
        <v>796</v>
      </c>
      <c r="B475" s="3">
        <v>38.0</v>
      </c>
    </row>
    <row r="476">
      <c r="A476" s="2" t="s">
        <v>795</v>
      </c>
      <c r="B476" s="3">
        <v>17.0</v>
      </c>
    </row>
    <row r="477">
      <c r="A477" s="2" t="s">
        <v>797</v>
      </c>
      <c r="B477" s="3">
        <v>34.0</v>
      </c>
    </row>
    <row r="478">
      <c r="A478" s="2" t="s">
        <v>667</v>
      </c>
      <c r="B478" s="3">
        <v>37.0</v>
      </c>
    </row>
    <row r="479">
      <c r="A479" s="2" t="s">
        <v>671</v>
      </c>
      <c r="B479" s="3">
        <v>38.0</v>
      </c>
    </row>
    <row r="480">
      <c r="A480" s="2" t="s">
        <v>669</v>
      </c>
      <c r="B480" s="3">
        <v>17.0</v>
      </c>
    </row>
    <row r="481">
      <c r="A481" s="2" t="s">
        <v>664</v>
      </c>
      <c r="B481" s="3">
        <v>34.0</v>
      </c>
    </row>
    <row r="482">
      <c r="A482" s="2" t="s">
        <v>650</v>
      </c>
      <c r="B482" s="3" t="e">
        <v>#NUM!</v>
      </c>
    </row>
    <row r="483">
      <c r="A483" s="2" t="s">
        <v>804</v>
      </c>
      <c r="B483" s="3" t="e">
        <v>#NUM!</v>
      </c>
    </row>
    <row r="484">
      <c r="A484" s="2" t="s">
        <v>805</v>
      </c>
      <c r="B484" s="3" t="e">
        <v>#NUM!</v>
      </c>
    </row>
    <row r="485">
      <c r="A485" s="2" t="s">
        <v>746</v>
      </c>
      <c r="B485" s="3">
        <v>28.0</v>
      </c>
    </row>
    <row r="486">
      <c r="A486" s="2" t="s">
        <v>806</v>
      </c>
      <c r="B486" s="3">
        <v>34.0</v>
      </c>
    </row>
    <row r="487">
      <c r="A487" s="2" t="s">
        <v>807</v>
      </c>
      <c r="B487" s="3">
        <v>30.0</v>
      </c>
    </row>
    <row r="488">
      <c r="A488" s="2" t="s">
        <v>808</v>
      </c>
      <c r="B488" s="3">
        <v>0.0</v>
      </c>
    </row>
    <row r="489">
      <c r="A489" s="2" t="s">
        <v>809</v>
      </c>
      <c r="B489" s="3">
        <v>12.0</v>
      </c>
    </row>
    <row r="490">
      <c r="A490" s="2" t="s">
        <v>92</v>
      </c>
      <c r="B490" s="3">
        <v>18.0</v>
      </c>
    </row>
    <row r="491">
      <c r="A491" s="2" t="s">
        <v>141</v>
      </c>
      <c r="B491" s="3">
        <v>9.0</v>
      </c>
    </row>
    <row r="492">
      <c r="A492" s="2" t="s">
        <v>89</v>
      </c>
      <c r="B492" s="3">
        <v>18.0</v>
      </c>
    </row>
    <row r="493">
      <c r="A493" s="2" t="s">
        <v>124</v>
      </c>
      <c r="B493" s="3">
        <v>24.0</v>
      </c>
    </row>
    <row r="494">
      <c r="A494" s="2" t="s">
        <v>790</v>
      </c>
      <c r="B494" s="3">
        <v>37.0</v>
      </c>
    </row>
    <row r="495">
      <c r="A495" s="2" t="s">
        <v>792</v>
      </c>
      <c r="B495" s="3">
        <v>38.0</v>
      </c>
    </row>
    <row r="496">
      <c r="A496" s="2" t="s">
        <v>784</v>
      </c>
      <c r="B496" s="3">
        <v>17.0</v>
      </c>
    </row>
    <row r="497">
      <c r="A497" s="2" t="s">
        <v>787</v>
      </c>
      <c r="B497" s="3">
        <v>34.0</v>
      </c>
    </row>
    <row r="498">
      <c r="A498" s="2" t="s">
        <v>776</v>
      </c>
      <c r="B498" s="3" t="e">
        <v>#NUM!</v>
      </c>
    </row>
    <row r="499">
      <c r="A499" s="2" t="s">
        <v>778</v>
      </c>
      <c r="B499" s="3">
        <v>0.0</v>
      </c>
    </row>
    <row r="500">
      <c r="A500" s="2" t="s">
        <v>775</v>
      </c>
      <c r="B500" s="3">
        <v>6.0</v>
      </c>
    </row>
    <row r="501">
      <c r="A501" s="2" t="s">
        <v>777</v>
      </c>
      <c r="B501" s="3">
        <v>15.0</v>
      </c>
    </row>
    <row r="502">
      <c r="A502" s="2" t="s">
        <v>101</v>
      </c>
      <c r="B502" s="3">
        <v>15.0</v>
      </c>
    </row>
    <row r="503">
      <c r="A503" s="2" t="s">
        <v>811</v>
      </c>
      <c r="B503" s="3">
        <v>15.0</v>
      </c>
    </row>
    <row r="504">
      <c r="A504" s="2" t="s">
        <v>146</v>
      </c>
      <c r="B504" s="3">
        <v>14.0</v>
      </c>
    </row>
    <row r="505">
      <c r="A505" s="2" t="s">
        <v>813</v>
      </c>
      <c r="B505" s="3">
        <v>14.0</v>
      </c>
    </row>
    <row r="506">
      <c r="A506" s="2" t="s">
        <v>139</v>
      </c>
      <c r="B506" s="3">
        <v>12.0</v>
      </c>
    </row>
    <row r="507">
      <c r="A507" s="2" t="s">
        <v>815</v>
      </c>
      <c r="B507" s="3">
        <v>53.0</v>
      </c>
    </row>
    <row r="508">
      <c r="A508" s="2" t="s">
        <v>817</v>
      </c>
      <c r="B508" s="3">
        <v>58.0</v>
      </c>
    </row>
    <row r="509">
      <c r="A509" s="2" t="s">
        <v>819</v>
      </c>
      <c r="B509" s="3">
        <v>62.0</v>
      </c>
    </row>
    <row r="510">
      <c r="A510" s="2" t="s">
        <v>821</v>
      </c>
      <c r="B510" s="3">
        <v>47.0</v>
      </c>
    </row>
    <row r="511">
      <c r="A511" s="2" t="s">
        <v>822</v>
      </c>
      <c r="B511" s="3" t="e">
        <v>#NUM!</v>
      </c>
    </row>
    <row r="512">
      <c r="A512" s="2" t="s">
        <v>823</v>
      </c>
      <c r="B512" s="3" t="e">
        <v>#NUM!</v>
      </c>
    </row>
    <row r="513">
      <c r="A513" s="2" t="s">
        <v>824</v>
      </c>
      <c r="B513" s="3" t="e">
        <v>#NUM!</v>
      </c>
    </row>
    <row r="514">
      <c r="A514" s="2" t="s">
        <v>825</v>
      </c>
      <c r="B514" s="3">
        <v>28.0</v>
      </c>
    </row>
    <row r="515">
      <c r="A515" s="2" t="s">
        <v>826</v>
      </c>
      <c r="B515" s="3">
        <v>0.0</v>
      </c>
    </row>
    <row r="516">
      <c r="A516" s="2" t="s">
        <v>827</v>
      </c>
      <c r="B516" s="3">
        <v>0.0</v>
      </c>
    </row>
    <row r="517">
      <c r="A517" s="2" t="s">
        <v>828</v>
      </c>
      <c r="B517" s="3" t="e">
        <v>#NUM!</v>
      </c>
    </row>
    <row r="518">
      <c r="A518" s="2" t="s">
        <v>829</v>
      </c>
      <c r="B518" s="3">
        <v>15.0</v>
      </c>
    </row>
    <row r="519">
      <c r="A519" s="2" t="s">
        <v>800</v>
      </c>
      <c r="B519" s="3" t="e">
        <v>#NUM!</v>
      </c>
    </row>
    <row r="520">
      <c r="A520" s="2" t="s">
        <v>803</v>
      </c>
      <c r="B520" s="3">
        <v>0.0</v>
      </c>
    </row>
    <row r="521">
      <c r="A521" s="2" t="s">
        <v>799</v>
      </c>
      <c r="B521" s="3">
        <v>0.0</v>
      </c>
    </row>
    <row r="522">
      <c r="A522" s="2" t="s">
        <v>801</v>
      </c>
      <c r="B522" s="3">
        <v>0.0</v>
      </c>
    </row>
    <row r="523">
      <c r="A523" s="2" t="s">
        <v>816</v>
      </c>
      <c r="B523" s="3">
        <v>37.0</v>
      </c>
    </row>
    <row r="524">
      <c r="A524" s="2" t="s">
        <v>820</v>
      </c>
      <c r="B524" s="3">
        <v>38.0</v>
      </c>
    </row>
    <row r="525">
      <c r="A525" s="2" t="s">
        <v>814</v>
      </c>
      <c r="B525" s="3">
        <v>17.0</v>
      </c>
    </row>
    <row r="526">
      <c r="A526" s="2" t="s">
        <v>818</v>
      </c>
      <c r="B526" s="3">
        <v>34.0</v>
      </c>
    </row>
    <row r="527">
      <c r="A527" s="2" t="s">
        <v>733</v>
      </c>
      <c r="B527" s="3" t="e">
        <v>#NUM!</v>
      </c>
    </row>
    <row r="528">
      <c r="A528" s="2" t="s">
        <v>830</v>
      </c>
      <c r="B528" s="3" t="e">
        <v>#NUM!</v>
      </c>
    </row>
    <row r="529">
      <c r="A529" s="2" t="s">
        <v>831</v>
      </c>
      <c r="B529" s="3" t="e">
        <v>#NUM!</v>
      </c>
    </row>
    <row r="530">
      <c r="A530" s="2" t="s">
        <v>832</v>
      </c>
      <c r="B530" s="3">
        <v>28.0</v>
      </c>
    </row>
    <row r="531">
      <c r="A531" s="2" t="s">
        <v>833</v>
      </c>
      <c r="B531" s="3" t="e">
        <v>#NUM!</v>
      </c>
    </row>
    <row r="532">
      <c r="A532" s="2" t="s">
        <v>834</v>
      </c>
      <c r="B532" s="3">
        <v>0.0</v>
      </c>
    </row>
    <row r="533">
      <c r="A533" s="2" t="s">
        <v>836</v>
      </c>
      <c r="B533" s="3">
        <v>6.0</v>
      </c>
    </row>
    <row r="534">
      <c r="A534" s="2" t="s">
        <v>837</v>
      </c>
      <c r="B534" s="3">
        <v>15.0</v>
      </c>
    </row>
    <row r="535">
      <c r="A535" s="2" t="s">
        <v>838</v>
      </c>
      <c r="B535" s="3">
        <v>35.0</v>
      </c>
    </row>
    <row r="536">
      <c r="A536" s="2" t="s">
        <v>839</v>
      </c>
      <c r="B536" s="3">
        <v>54.0</v>
      </c>
    </row>
    <row r="537">
      <c r="A537" s="2" t="s">
        <v>840</v>
      </c>
      <c r="B537" s="3">
        <v>42.0</v>
      </c>
    </row>
    <row r="538">
      <c r="A538" s="2" t="s">
        <v>841</v>
      </c>
      <c r="B538" s="3">
        <v>39.0</v>
      </c>
    </row>
    <row r="539">
      <c r="A539" s="2" t="s">
        <v>842</v>
      </c>
      <c r="B539" s="3" t="e">
        <v>#NUM!</v>
      </c>
    </row>
    <row r="540">
      <c r="A540" s="2" t="s">
        <v>843</v>
      </c>
      <c r="B540" s="3">
        <v>0.0</v>
      </c>
    </row>
    <row r="541">
      <c r="A541" s="2" t="s">
        <v>844</v>
      </c>
      <c r="B541" s="3">
        <v>0.0</v>
      </c>
    </row>
    <row r="542">
      <c r="A542" s="2" t="s">
        <v>845</v>
      </c>
      <c r="B542" s="3">
        <v>0.0</v>
      </c>
    </row>
    <row r="543">
      <c r="A543" s="2" t="s">
        <v>25</v>
      </c>
      <c r="B543" s="3" t="e">
        <v>#NUM!</v>
      </c>
    </row>
    <row r="544">
      <c r="A544" s="2" t="s">
        <v>44</v>
      </c>
      <c r="B544" s="3">
        <v>0.0</v>
      </c>
    </row>
    <row r="545">
      <c r="A545" s="2" t="s">
        <v>69</v>
      </c>
      <c r="B545" s="3">
        <v>0.0</v>
      </c>
    </row>
    <row r="546">
      <c r="A546" s="2" t="s">
        <v>18</v>
      </c>
      <c r="B546" s="3">
        <v>0.0</v>
      </c>
    </row>
    <row r="547">
      <c r="A547" s="2" t="s">
        <v>846</v>
      </c>
      <c r="B547" s="3" t="e">
        <v>#NUM!</v>
      </c>
    </row>
    <row r="548">
      <c r="A548" s="2" t="s">
        <v>847</v>
      </c>
      <c r="B548" s="3">
        <v>0.0</v>
      </c>
    </row>
    <row r="549">
      <c r="A549" s="2" t="s">
        <v>848</v>
      </c>
      <c r="B549" s="3">
        <v>6.0</v>
      </c>
    </row>
    <row r="550">
      <c r="A550" s="2" t="s">
        <v>849</v>
      </c>
      <c r="B550" s="3">
        <v>15.0</v>
      </c>
    </row>
    <row r="551">
      <c r="A551" s="2" t="s">
        <v>850</v>
      </c>
      <c r="B551" s="3">
        <v>0.0</v>
      </c>
    </row>
    <row r="552">
      <c r="A552" s="2" t="s">
        <v>851</v>
      </c>
      <c r="B552" s="3">
        <v>0.0</v>
      </c>
    </row>
    <row r="553">
      <c r="A553" s="2" t="s">
        <v>852</v>
      </c>
      <c r="B553" s="3" t="e">
        <v>#NUM!</v>
      </c>
    </row>
    <row r="554">
      <c r="A554" s="2" t="s">
        <v>853</v>
      </c>
      <c r="B554" s="3">
        <v>15.0</v>
      </c>
    </row>
    <row r="555">
      <c r="A555" s="2" t="s">
        <v>83</v>
      </c>
      <c r="B555" s="3">
        <v>15.0</v>
      </c>
    </row>
    <row r="556">
      <c r="A556" s="2" t="s">
        <v>854</v>
      </c>
      <c r="B556" s="3">
        <v>15.0</v>
      </c>
    </row>
    <row r="557">
      <c r="A557" s="2" t="s">
        <v>855</v>
      </c>
      <c r="B557" s="3">
        <v>12.0</v>
      </c>
    </row>
    <row r="558">
      <c r="A558" s="2" t="s">
        <v>856</v>
      </c>
      <c r="B558" s="3" t="e">
        <v>#NUM!</v>
      </c>
    </row>
    <row r="559">
      <c r="A559" s="2" t="s">
        <v>858</v>
      </c>
      <c r="B559" s="3">
        <v>0.0</v>
      </c>
    </row>
    <row r="560">
      <c r="A560" s="2" t="s">
        <v>859</v>
      </c>
      <c r="B560" s="3">
        <v>0.0</v>
      </c>
    </row>
    <row r="561">
      <c r="A561" s="2" t="s">
        <v>860</v>
      </c>
      <c r="B561" s="3">
        <v>0.0</v>
      </c>
    </row>
    <row r="562">
      <c r="A562" s="2" t="s">
        <v>861</v>
      </c>
      <c r="B562" s="3">
        <v>33.0</v>
      </c>
    </row>
    <row r="563">
      <c r="A563" s="2" t="s">
        <v>862</v>
      </c>
      <c r="B563" s="3">
        <v>47.0</v>
      </c>
    </row>
    <row r="564">
      <c r="A564" s="2" t="s">
        <v>863</v>
      </c>
      <c r="B564" s="3">
        <v>20.0</v>
      </c>
    </row>
    <row r="565">
      <c r="A565" s="2" t="s">
        <v>864</v>
      </c>
      <c r="B565" s="3">
        <v>17.0</v>
      </c>
    </row>
    <row r="566">
      <c r="A566" s="2" t="s">
        <v>865</v>
      </c>
      <c r="B566" s="3">
        <v>34.0</v>
      </c>
    </row>
    <row r="567">
      <c r="A567" s="2" t="s">
        <v>866</v>
      </c>
      <c r="B567" s="3">
        <v>30.0</v>
      </c>
    </row>
    <row r="568">
      <c r="A568" s="2" t="s">
        <v>867</v>
      </c>
      <c r="B568" s="3">
        <v>0.0</v>
      </c>
    </row>
    <row r="569">
      <c r="A569" s="2" t="s">
        <v>868</v>
      </c>
      <c r="B569" s="3">
        <v>12.0</v>
      </c>
    </row>
    <row r="570">
      <c r="A570" s="2" t="s">
        <v>869</v>
      </c>
      <c r="B570" s="3">
        <v>7.0</v>
      </c>
    </row>
    <row r="571">
      <c r="A571" s="2" t="s">
        <v>870</v>
      </c>
      <c r="B571" s="3">
        <v>17.0</v>
      </c>
    </row>
    <row r="572">
      <c r="A572" s="2" t="s">
        <v>871</v>
      </c>
      <c r="B572" s="3">
        <v>10.0</v>
      </c>
    </row>
    <row r="573">
      <c r="A573" s="2" t="s">
        <v>872</v>
      </c>
      <c r="B573" s="3">
        <v>7.0</v>
      </c>
    </row>
    <row r="574">
      <c r="A574" s="2" t="s">
        <v>873</v>
      </c>
      <c r="B574" s="3">
        <v>7.0</v>
      </c>
    </row>
    <row r="575">
      <c r="A575" s="2" t="s">
        <v>874</v>
      </c>
      <c r="B575" s="3">
        <v>17.0</v>
      </c>
    </row>
    <row r="576">
      <c r="A576" s="2" t="s">
        <v>875</v>
      </c>
      <c r="B576" s="3">
        <v>10.0</v>
      </c>
    </row>
    <row r="577">
      <c r="A577" s="2" t="s">
        <v>876</v>
      </c>
      <c r="B577" s="3">
        <v>7.0</v>
      </c>
    </row>
    <row r="578">
      <c r="A578" s="2" t="s">
        <v>877</v>
      </c>
      <c r="B578" s="3">
        <v>7.0</v>
      </c>
    </row>
    <row r="579">
      <c r="A579" s="2" t="s">
        <v>878</v>
      </c>
      <c r="B579" s="3">
        <v>17.0</v>
      </c>
    </row>
    <row r="580">
      <c r="A580" s="2" t="s">
        <v>879</v>
      </c>
      <c r="B580" s="3">
        <v>10.0</v>
      </c>
    </row>
    <row r="581">
      <c r="A581" s="2" t="s">
        <v>880</v>
      </c>
      <c r="B581" s="3">
        <v>7.0</v>
      </c>
    </row>
    <row r="582">
      <c r="A582" s="2" t="s">
        <v>881</v>
      </c>
      <c r="B582" s="3">
        <v>7.0</v>
      </c>
    </row>
    <row r="583">
      <c r="A583" s="2" t="s">
        <v>882</v>
      </c>
      <c r="B583" s="3">
        <v>17.0</v>
      </c>
    </row>
    <row r="584">
      <c r="A584" s="2" t="s">
        <v>883</v>
      </c>
      <c r="B584" s="3">
        <v>10.0</v>
      </c>
    </row>
    <row r="585">
      <c r="A585" s="2" t="s">
        <v>884</v>
      </c>
      <c r="B585" s="3">
        <v>7.0</v>
      </c>
    </row>
    <row r="586">
      <c r="A586" s="2" t="s">
        <v>885</v>
      </c>
      <c r="B586" s="3">
        <v>7.0</v>
      </c>
    </row>
    <row r="587">
      <c r="A587" s="2" t="s">
        <v>887</v>
      </c>
      <c r="B587" s="3">
        <v>17.0</v>
      </c>
    </row>
    <row r="588">
      <c r="A588" s="2" t="s">
        <v>888</v>
      </c>
      <c r="B588" s="3">
        <v>10.0</v>
      </c>
    </row>
    <row r="589">
      <c r="A589" s="2" t="s">
        <v>889</v>
      </c>
      <c r="B589" s="3">
        <v>7.0</v>
      </c>
    </row>
    <row r="590">
      <c r="A590" s="2" t="s">
        <v>890</v>
      </c>
      <c r="B590" s="3">
        <v>7.0</v>
      </c>
    </row>
    <row r="591">
      <c r="A591" s="2" t="s">
        <v>891</v>
      </c>
      <c r="B591" s="3">
        <v>17.0</v>
      </c>
    </row>
    <row r="592">
      <c r="A592" s="2" t="s">
        <v>892</v>
      </c>
      <c r="B592" s="3">
        <v>10.0</v>
      </c>
    </row>
    <row r="593">
      <c r="A593" s="2" t="s">
        <v>893</v>
      </c>
      <c r="B593" s="3">
        <v>7.0</v>
      </c>
    </row>
    <row r="594">
      <c r="A594" s="2" t="s">
        <v>894</v>
      </c>
      <c r="B594" s="3">
        <v>7.0</v>
      </c>
    </row>
    <row r="595">
      <c r="A595" s="2" t="s">
        <v>895</v>
      </c>
      <c r="B595" s="3">
        <v>17.0</v>
      </c>
    </row>
    <row r="596">
      <c r="A596" s="2" t="s">
        <v>896</v>
      </c>
      <c r="B596" s="3">
        <v>10.0</v>
      </c>
    </row>
    <row r="597">
      <c r="A597" s="2" t="s">
        <v>897</v>
      </c>
      <c r="B597" s="3">
        <v>7.0</v>
      </c>
    </row>
    <row r="598">
      <c r="A598" s="2" t="s">
        <v>224</v>
      </c>
      <c r="B598" s="3">
        <v>17.0</v>
      </c>
    </row>
    <row r="599">
      <c r="A599" s="2" t="s">
        <v>225</v>
      </c>
      <c r="B599" s="3">
        <v>23.0</v>
      </c>
    </row>
    <row r="600">
      <c r="A600" s="2" t="s">
        <v>227</v>
      </c>
      <c r="B600" s="3">
        <v>11.0</v>
      </c>
    </row>
    <row r="601">
      <c r="A601" s="2" t="s">
        <v>229</v>
      </c>
      <c r="B601" s="3">
        <v>0.0</v>
      </c>
    </row>
    <row r="602">
      <c r="A602" s="2" t="s">
        <v>230</v>
      </c>
      <c r="B602" s="3">
        <v>0.0</v>
      </c>
    </row>
    <row r="603">
      <c r="A603" s="2" t="s">
        <v>232</v>
      </c>
      <c r="B603" s="3">
        <v>0.0</v>
      </c>
    </row>
    <row r="604">
      <c r="A604" s="2" t="s">
        <v>234</v>
      </c>
      <c r="B604" s="3">
        <v>0.0</v>
      </c>
    </row>
    <row r="605">
      <c r="A605" s="2" t="s">
        <v>235</v>
      </c>
      <c r="B605" s="3">
        <v>0.0</v>
      </c>
    </row>
    <row r="606">
      <c r="A606" s="2" t="s">
        <v>237</v>
      </c>
      <c r="B606" s="3">
        <v>17.0</v>
      </c>
    </row>
    <row r="607">
      <c r="A607" s="2" t="s">
        <v>239</v>
      </c>
      <c r="B607" s="3">
        <v>23.0</v>
      </c>
    </row>
    <row r="608">
      <c r="A608" s="2" t="s">
        <v>241</v>
      </c>
      <c r="B608" s="3">
        <v>11.0</v>
      </c>
    </row>
    <row r="609">
      <c r="A609" s="2" t="s">
        <v>242</v>
      </c>
      <c r="B609" s="3">
        <v>0.0</v>
      </c>
    </row>
    <row r="610">
      <c r="A610" s="2" t="s">
        <v>244</v>
      </c>
      <c r="B610" s="3">
        <v>17.0</v>
      </c>
    </row>
    <row r="611">
      <c r="A611" s="2" t="s">
        <v>246</v>
      </c>
      <c r="B611" s="3">
        <v>23.0</v>
      </c>
    </row>
    <row r="612">
      <c r="A612" s="2" t="s">
        <v>248</v>
      </c>
      <c r="B612" s="3">
        <v>11.0</v>
      </c>
    </row>
    <row r="613">
      <c r="A613" s="2" t="s">
        <v>249</v>
      </c>
      <c r="B613" s="3">
        <v>0.0</v>
      </c>
    </row>
    <row r="614">
      <c r="A614" s="2" t="s">
        <v>251</v>
      </c>
      <c r="B614" s="3">
        <v>17.0</v>
      </c>
    </row>
    <row r="615">
      <c r="A615" s="2" t="s">
        <v>253</v>
      </c>
      <c r="B615" s="3">
        <v>23.0</v>
      </c>
    </row>
    <row r="616">
      <c r="A616" s="2" t="s">
        <v>255</v>
      </c>
      <c r="B616" s="3">
        <v>11.0</v>
      </c>
    </row>
    <row r="617">
      <c r="A617" s="2" t="s">
        <v>256</v>
      </c>
      <c r="B617" s="3">
        <v>0.0</v>
      </c>
    </row>
    <row r="618">
      <c r="A618" s="2" t="s">
        <v>257</v>
      </c>
      <c r="B618" s="3">
        <v>0.0</v>
      </c>
    </row>
    <row r="619">
      <c r="A619" s="2" t="s">
        <v>259</v>
      </c>
      <c r="B619" s="3">
        <v>0.0</v>
      </c>
    </row>
    <row r="620">
      <c r="A620" s="2" t="s">
        <v>260</v>
      </c>
      <c r="B620" s="3">
        <v>0.0</v>
      </c>
    </row>
    <row r="621">
      <c r="A621" s="2" t="s">
        <v>262</v>
      </c>
      <c r="B621" s="3">
        <v>0.0</v>
      </c>
    </row>
    <row r="622">
      <c r="A622" s="2" t="s">
        <v>263</v>
      </c>
      <c r="B622" s="3">
        <v>0.0</v>
      </c>
    </row>
    <row r="623">
      <c r="A623" s="2" t="s">
        <v>265</v>
      </c>
      <c r="B623" s="3">
        <v>0.0</v>
      </c>
    </row>
    <row r="624">
      <c r="A624" s="2" t="s">
        <v>267</v>
      </c>
      <c r="B624" s="3" t="e">
        <v>#NUM!</v>
      </c>
    </row>
    <row r="625">
      <c r="A625" s="2" t="s">
        <v>268</v>
      </c>
      <c r="B625" s="3">
        <v>0.0</v>
      </c>
    </row>
    <row r="626">
      <c r="A626" s="2" t="s">
        <v>270</v>
      </c>
      <c r="B626" s="3">
        <v>17.0</v>
      </c>
    </row>
    <row r="627">
      <c r="A627" s="2" t="s">
        <v>272</v>
      </c>
      <c r="B627" s="3">
        <v>23.0</v>
      </c>
    </row>
    <row r="628">
      <c r="A628" s="2" t="s">
        <v>274</v>
      </c>
      <c r="B628" s="3">
        <v>11.0</v>
      </c>
    </row>
    <row r="629">
      <c r="A629" s="2" t="s">
        <v>276</v>
      </c>
      <c r="B629" s="3">
        <v>0.0</v>
      </c>
    </row>
    <row r="630">
      <c r="A630" s="2" t="s">
        <v>279</v>
      </c>
      <c r="B630" s="3">
        <v>17.0</v>
      </c>
    </row>
    <row r="631">
      <c r="A631" s="2" t="s">
        <v>281</v>
      </c>
      <c r="B631" s="3">
        <v>23.0</v>
      </c>
    </row>
    <row r="632">
      <c r="A632" s="2" t="s">
        <v>284</v>
      </c>
      <c r="B632" s="3">
        <v>11.0</v>
      </c>
    </row>
    <row r="633">
      <c r="A633" s="2" t="s">
        <v>286</v>
      </c>
      <c r="B633" s="3">
        <v>0.0</v>
      </c>
    </row>
    <row r="634">
      <c r="A634" s="2" t="s">
        <v>287</v>
      </c>
      <c r="B634" s="3">
        <v>62.0</v>
      </c>
    </row>
    <row r="635">
      <c r="A635" s="2" t="s">
        <v>288</v>
      </c>
      <c r="B635" s="3">
        <v>58.0</v>
      </c>
    </row>
    <row r="636">
      <c r="A636" s="2" t="s">
        <v>289</v>
      </c>
      <c r="B636" s="3">
        <v>53.0</v>
      </c>
    </row>
    <row r="637">
      <c r="A637" s="2" t="s">
        <v>290</v>
      </c>
      <c r="B637" s="3">
        <v>47.0</v>
      </c>
    </row>
    <row r="638">
      <c r="A638" s="2" t="s">
        <v>291</v>
      </c>
      <c r="B638" s="3">
        <v>17.0</v>
      </c>
    </row>
    <row r="639">
      <c r="A639" s="2" t="s">
        <v>293</v>
      </c>
      <c r="B639" s="3">
        <v>38.0</v>
      </c>
    </row>
    <row r="640">
      <c r="A640" s="2" t="s">
        <v>295</v>
      </c>
      <c r="B640" s="3">
        <v>37.0</v>
      </c>
    </row>
    <row r="641">
      <c r="A641" s="2" t="s">
        <v>297</v>
      </c>
      <c r="B641" s="3">
        <v>34.0</v>
      </c>
    </row>
    <row r="642">
      <c r="A642" s="2" t="s">
        <v>299</v>
      </c>
      <c r="B642" s="3">
        <v>17.0</v>
      </c>
    </row>
    <row r="643">
      <c r="A643" s="2" t="s">
        <v>301</v>
      </c>
      <c r="B643" s="3">
        <v>23.0</v>
      </c>
    </row>
    <row r="644">
      <c r="A644" s="2" t="s">
        <v>303</v>
      </c>
      <c r="B644" s="3">
        <v>11.0</v>
      </c>
    </row>
    <row r="645">
      <c r="A645" s="2" t="s">
        <v>305</v>
      </c>
      <c r="B645" s="3">
        <v>0.0</v>
      </c>
    </row>
    <row r="646">
      <c r="A646" s="2" t="s">
        <v>307</v>
      </c>
      <c r="B646" s="3">
        <v>17.0</v>
      </c>
    </row>
    <row r="647">
      <c r="A647" s="2" t="s">
        <v>310</v>
      </c>
      <c r="B647" s="3">
        <v>23.0</v>
      </c>
    </row>
    <row r="648">
      <c r="A648" s="2" t="s">
        <v>313</v>
      </c>
      <c r="B648" s="3">
        <v>11.0</v>
      </c>
    </row>
    <row r="649">
      <c r="A649" s="2" t="s">
        <v>316</v>
      </c>
      <c r="B649" s="3">
        <v>0.0</v>
      </c>
    </row>
    <row r="650">
      <c r="A650" s="2" t="s">
        <v>319</v>
      </c>
      <c r="B650" s="3">
        <v>17.0</v>
      </c>
    </row>
    <row r="651">
      <c r="A651" s="2" t="s">
        <v>320</v>
      </c>
      <c r="B651" s="3">
        <v>23.0</v>
      </c>
    </row>
    <row r="652">
      <c r="A652" s="2" t="s">
        <v>321</v>
      </c>
      <c r="B652" s="3">
        <v>11.0</v>
      </c>
    </row>
    <row r="653">
      <c r="A653" s="2" t="s">
        <v>322</v>
      </c>
      <c r="B653" s="3">
        <v>0.0</v>
      </c>
    </row>
    <row r="654">
      <c r="A654" s="2" t="s">
        <v>323</v>
      </c>
      <c r="B654" s="3">
        <v>31.0</v>
      </c>
    </row>
    <row r="655">
      <c r="A655" s="2" t="s">
        <v>325</v>
      </c>
      <c r="B655" s="3">
        <v>57.0</v>
      </c>
    </row>
    <row r="656">
      <c r="A656" s="2" t="s">
        <v>327</v>
      </c>
      <c r="B656" s="3">
        <v>36.0</v>
      </c>
    </row>
    <row r="657">
      <c r="A657" s="2" t="s">
        <v>329</v>
      </c>
      <c r="B657" s="3">
        <v>25.0</v>
      </c>
    </row>
    <row r="658">
      <c r="A658" s="2" t="s">
        <v>331</v>
      </c>
      <c r="B658" s="3">
        <v>17.0</v>
      </c>
    </row>
    <row r="659">
      <c r="A659" s="2" t="s">
        <v>332</v>
      </c>
      <c r="B659" s="3">
        <v>23.0</v>
      </c>
    </row>
    <row r="660">
      <c r="A660" s="2" t="s">
        <v>333</v>
      </c>
      <c r="B660" s="3">
        <v>11.0</v>
      </c>
    </row>
    <row r="661">
      <c r="A661" s="2" t="s">
        <v>334</v>
      </c>
      <c r="B661" s="3">
        <v>0.0</v>
      </c>
    </row>
    <row r="662">
      <c r="A662" s="2" t="s">
        <v>336</v>
      </c>
      <c r="B662" s="3">
        <v>17.0</v>
      </c>
    </row>
    <row r="663">
      <c r="A663" s="2" t="s">
        <v>338</v>
      </c>
      <c r="B663" s="3">
        <v>23.0</v>
      </c>
    </row>
    <row r="664">
      <c r="A664" s="2" t="s">
        <v>340</v>
      </c>
      <c r="B664" s="3">
        <v>11.0</v>
      </c>
    </row>
    <row r="665">
      <c r="A665" s="2" t="s">
        <v>342</v>
      </c>
      <c r="B665" s="3">
        <v>0.0</v>
      </c>
    </row>
    <row r="666">
      <c r="A666" s="2" t="s">
        <v>344</v>
      </c>
      <c r="B666" s="3">
        <v>0.0</v>
      </c>
    </row>
    <row r="667">
      <c r="A667" s="2" t="s">
        <v>346</v>
      </c>
      <c r="B667" s="3">
        <v>0.0</v>
      </c>
    </row>
    <row r="668">
      <c r="A668" s="2" t="s">
        <v>348</v>
      </c>
      <c r="B668" s="3" t="e">
        <v>#NUM!</v>
      </c>
    </row>
    <row r="669">
      <c r="A669" s="2" t="s">
        <v>351</v>
      </c>
      <c r="B669" s="3">
        <v>0.0</v>
      </c>
    </row>
    <row r="670">
      <c r="A670" s="2" t="s">
        <v>353</v>
      </c>
      <c r="B670" s="3">
        <v>17.0</v>
      </c>
    </row>
    <row r="671">
      <c r="A671" s="2" t="s">
        <v>354</v>
      </c>
      <c r="B671" s="3">
        <v>23.0</v>
      </c>
    </row>
    <row r="672">
      <c r="A672" s="2" t="s">
        <v>355</v>
      </c>
      <c r="B672" s="3">
        <v>11.0</v>
      </c>
    </row>
    <row r="673">
      <c r="A673" s="2" t="s">
        <v>356</v>
      </c>
      <c r="B673" s="3">
        <v>0.0</v>
      </c>
    </row>
    <row r="674">
      <c r="A674" s="2" t="s">
        <v>357</v>
      </c>
      <c r="B674" s="3">
        <v>17.0</v>
      </c>
    </row>
    <row r="675">
      <c r="A675" s="2" t="s">
        <v>358</v>
      </c>
      <c r="B675" s="3">
        <v>23.0</v>
      </c>
    </row>
    <row r="676">
      <c r="A676" s="2" t="s">
        <v>360</v>
      </c>
      <c r="B676" s="3">
        <v>11.0</v>
      </c>
    </row>
    <row r="677">
      <c r="A677" s="2" t="s">
        <v>363</v>
      </c>
      <c r="B677" s="3">
        <v>0.0</v>
      </c>
    </row>
    <row r="678">
      <c r="A678" s="2" t="s">
        <v>364</v>
      </c>
      <c r="B678" s="3">
        <v>8.0</v>
      </c>
    </row>
    <row r="679">
      <c r="A679" s="2" t="s">
        <v>365</v>
      </c>
      <c r="B679" s="3">
        <v>11.0</v>
      </c>
    </row>
    <row r="680">
      <c r="A680" s="2" t="s">
        <v>366</v>
      </c>
      <c r="B680" s="3">
        <v>12.0</v>
      </c>
    </row>
    <row r="681">
      <c r="A681" s="2" t="s">
        <v>367</v>
      </c>
      <c r="B681" s="3">
        <v>6.0</v>
      </c>
    </row>
    <row r="682">
      <c r="A682" s="2" t="s">
        <v>368</v>
      </c>
      <c r="B682" s="3">
        <v>0.0</v>
      </c>
    </row>
    <row r="683">
      <c r="A683" s="2" t="s">
        <v>369</v>
      </c>
      <c r="B683" s="3">
        <v>0.0</v>
      </c>
    </row>
    <row r="684">
      <c r="A684" s="2" t="s">
        <v>371</v>
      </c>
      <c r="B684" s="3">
        <v>0.0</v>
      </c>
    </row>
    <row r="685">
      <c r="A685" s="2" t="s">
        <v>374</v>
      </c>
      <c r="B685" s="3" t="e">
        <v>#NUM!</v>
      </c>
    </row>
    <row r="686">
      <c r="A686" s="2" t="s">
        <v>376</v>
      </c>
      <c r="B686" s="3">
        <v>0.0</v>
      </c>
    </row>
    <row r="687">
      <c r="A687" s="2" t="s">
        <v>379</v>
      </c>
      <c r="B687" s="3">
        <v>0.0</v>
      </c>
    </row>
    <row r="688">
      <c r="A688" s="2" t="s">
        <v>382</v>
      </c>
      <c r="B688" s="3">
        <v>0.0</v>
      </c>
    </row>
    <row r="689">
      <c r="A689" s="2" t="s">
        <v>385</v>
      </c>
      <c r="B689" s="3" t="e">
        <v>#NUM!</v>
      </c>
    </row>
    <row r="690">
      <c r="A690" s="2" t="s">
        <v>404</v>
      </c>
      <c r="B690" s="3">
        <v>11.0</v>
      </c>
    </row>
    <row r="691">
      <c r="A691" s="2" t="s">
        <v>407</v>
      </c>
      <c r="B691" s="3">
        <v>16.0</v>
      </c>
    </row>
    <row r="692">
      <c r="A692" s="2" t="s">
        <v>410</v>
      </c>
      <c r="B692" s="3">
        <v>20.0</v>
      </c>
    </row>
    <row r="693">
      <c r="A693" s="2" t="s">
        <v>414</v>
      </c>
      <c r="B693" s="3">
        <v>11.0</v>
      </c>
    </row>
    <row r="694">
      <c r="A694" s="2" t="s">
        <v>416</v>
      </c>
      <c r="B694" s="3">
        <v>0.0</v>
      </c>
    </row>
    <row r="695">
      <c r="A695" s="2" t="s">
        <v>419</v>
      </c>
      <c r="B695" s="3">
        <v>0.0</v>
      </c>
    </row>
    <row r="696">
      <c r="A696" s="2" t="s">
        <v>423</v>
      </c>
      <c r="B696" s="3">
        <v>0.0</v>
      </c>
    </row>
    <row r="697">
      <c r="A697" s="2" t="s">
        <v>425</v>
      </c>
      <c r="B697" s="3" t="e">
        <v>#NUM!</v>
      </c>
    </row>
    <row r="698">
      <c r="A698" s="2" t="s">
        <v>426</v>
      </c>
      <c r="B698" s="3">
        <v>0.0</v>
      </c>
    </row>
    <row r="699">
      <c r="A699" s="2" t="s">
        <v>427</v>
      </c>
      <c r="B699" s="3">
        <v>0.0</v>
      </c>
    </row>
    <row r="700">
      <c r="A700" s="2" t="s">
        <v>429</v>
      </c>
      <c r="B700" s="3">
        <v>0.0</v>
      </c>
    </row>
    <row r="701">
      <c r="A701" s="2" t="s">
        <v>431</v>
      </c>
      <c r="B701" s="3" t="e">
        <v>#NUM!</v>
      </c>
    </row>
    <row r="702">
      <c r="A702" s="2" t="s">
        <v>433</v>
      </c>
      <c r="B702" s="3">
        <v>11.0</v>
      </c>
    </row>
    <row r="703">
      <c r="A703" s="2" t="s">
        <v>435</v>
      </c>
      <c r="B703" s="3">
        <v>16.0</v>
      </c>
    </row>
    <row r="704">
      <c r="A704" s="2" t="s">
        <v>437</v>
      </c>
      <c r="B704" s="3">
        <v>20.0</v>
      </c>
    </row>
    <row r="705">
      <c r="A705" s="2" t="s">
        <v>439</v>
      </c>
      <c r="B705" s="3">
        <v>11.0</v>
      </c>
    </row>
    <row r="706">
      <c r="A706" s="2" t="s">
        <v>441</v>
      </c>
      <c r="B706" s="3">
        <v>8.0</v>
      </c>
    </row>
    <row r="707">
      <c r="A707" s="2" t="s">
        <v>443</v>
      </c>
      <c r="B707" s="3">
        <v>11.0</v>
      </c>
    </row>
    <row r="708">
      <c r="A708" s="2" t="s">
        <v>445</v>
      </c>
      <c r="B708" s="3">
        <v>12.0</v>
      </c>
    </row>
    <row r="709">
      <c r="A709" s="2" t="s">
        <v>454</v>
      </c>
      <c r="B709" s="3">
        <v>6.0</v>
      </c>
    </row>
    <row r="710">
      <c r="A710" s="2" t="s">
        <v>456</v>
      </c>
      <c r="B710" s="3">
        <v>27.0</v>
      </c>
    </row>
    <row r="711">
      <c r="A711" s="2" t="s">
        <v>458</v>
      </c>
      <c r="B711" s="3">
        <v>36.0</v>
      </c>
    </row>
    <row r="712">
      <c r="A712" s="2" t="s">
        <v>459</v>
      </c>
      <c r="B712" s="3">
        <v>35.0</v>
      </c>
    </row>
    <row r="713">
      <c r="A713" s="2" t="s">
        <v>461</v>
      </c>
      <c r="B713" s="3">
        <v>27.0</v>
      </c>
    </row>
    <row r="714">
      <c r="A714" s="2" t="s">
        <v>462</v>
      </c>
      <c r="B714" s="3">
        <v>27.0</v>
      </c>
    </row>
    <row r="715">
      <c r="A715" s="2" t="s">
        <v>464</v>
      </c>
      <c r="B715" s="3">
        <v>36.0</v>
      </c>
    </row>
    <row r="716">
      <c r="A716" s="2" t="s">
        <v>466</v>
      </c>
      <c r="B716" s="3">
        <v>35.0</v>
      </c>
    </row>
    <row r="717">
      <c r="A717" s="2" t="s">
        <v>468</v>
      </c>
      <c r="B717" s="3">
        <v>27.0</v>
      </c>
    </row>
    <row r="718">
      <c r="A718" s="2" t="s">
        <v>469</v>
      </c>
      <c r="B718" s="3">
        <v>27.0</v>
      </c>
    </row>
    <row r="719">
      <c r="A719" s="2" t="s">
        <v>471</v>
      </c>
      <c r="B719" s="3">
        <v>36.0</v>
      </c>
    </row>
    <row r="720">
      <c r="A720" s="2" t="s">
        <v>473</v>
      </c>
      <c r="B720" s="3">
        <v>35.0</v>
      </c>
    </row>
    <row r="721">
      <c r="A721" s="2" t="s">
        <v>474</v>
      </c>
      <c r="B721" s="3">
        <v>27.0</v>
      </c>
    </row>
    <row r="722">
      <c r="A722" s="2" t="s">
        <v>475</v>
      </c>
      <c r="B722" s="3">
        <v>27.0</v>
      </c>
    </row>
    <row r="723">
      <c r="A723" s="2" t="s">
        <v>476</v>
      </c>
      <c r="B723" s="3">
        <v>36.0</v>
      </c>
    </row>
    <row r="724">
      <c r="A724" s="2" t="s">
        <v>477</v>
      </c>
      <c r="B724" s="3">
        <v>35.0</v>
      </c>
    </row>
    <row r="725">
      <c r="A725" s="2" t="s">
        <v>478</v>
      </c>
      <c r="B725" s="3">
        <v>27.0</v>
      </c>
    </row>
    <row r="726">
      <c r="A726" s="2" t="s">
        <v>479</v>
      </c>
      <c r="B726" s="3">
        <v>27.0</v>
      </c>
    </row>
    <row r="727">
      <c r="A727" s="2" t="s">
        <v>480</v>
      </c>
      <c r="B727" s="3">
        <v>36.0</v>
      </c>
    </row>
    <row r="728">
      <c r="A728" s="2" t="s">
        <v>481</v>
      </c>
      <c r="B728" s="3">
        <v>35.0</v>
      </c>
    </row>
    <row r="729">
      <c r="A729" s="2" t="s">
        <v>483</v>
      </c>
      <c r="B729" s="3">
        <v>27.0</v>
      </c>
    </row>
    <row r="730">
      <c r="A730" s="2" t="s">
        <v>486</v>
      </c>
      <c r="B730" s="3">
        <v>27.0</v>
      </c>
    </row>
    <row r="731">
      <c r="A731" s="2" t="s">
        <v>488</v>
      </c>
      <c r="B731" s="3">
        <v>36.0</v>
      </c>
    </row>
    <row r="732">
      <c r="A732" s="2" t="s">
        <v>489</v>
      </c>
      <c r="B732" s="3">
        <v>35.0</v>
      </c>
    </row>
    <row r="733">
      <c r="A733" s="2" t="s">
        <v>492</v>
      </c>
      <c r="B733" s="3">
        <v>27.0</v>
      </c>
    </row>
    <row r="734">
      <c r="A734" s="2" t="s">
        <v>494</v>
      </c>
      <c r="B734" s="3">
        <v>27.0</v>
      </c>
    </row>
    <row r="735">
      <c r="A735" s="2" t="s">
        <v>495</v>
      </c>
      <c r="B735" s="3">
        <v>36.0</v>
      </c>
    </row>
    <row r="736">
      <c r="A736" s="2" t="s">
        <v>497</v>
      </c>
      <c r="B736" s="3">
        <v>35.0</v>
      </c>
    </row>
    <row r="737">
      <c r="A737" s="2" t="s">
        <v>499</v>
      </c>
      <c r="B737" s="3">
        <v>27.0</v>
      </c>
    </row>
    <row r="738">
      <c r="A738" s="2" t="s">
        <v>500</v>
      </c>
      <c r="B738" s="3">
        <v>17.0</v>
      </c>
    </row>
    <row r="739">
      <c r="A739" s="2" t="s">
        <v>502</v>
      </c>
      <c r="B739" s="3">
        <v>23.0</v>
      </c>
    </row>
    <row r="740">
      <c r="A740" s="2" t="s">
        <v>504</v>
      </c>
      <c r="B740" s="3">
        <v>11.0</v>
      </c>
    </row>
    <row r="741">
      <c r="A741" s="2" t="s">
        <v>505</v>
      </c>
      <c r="B741" s="3">
        <v>0.0</v>
      </c>
    </row>
    <row r="742">
      <c r="A742" s="2" t="s">
        <v>507</v>
      </c>
      <c r="B742" s="3">
        <v>6.0</v>
      </c>
    </row>
    <row r="743">
      <c r="A743" s="2" t="s">
        <v>509</v>
      </c>
      <c r="B743" s="3">
        <v>0.0</v>
      </c>
    </row>
    <row r="744">
      <c r="A744" s="2" t="s">
        <v>511</v>
      </c>
      <c r="B744" s="3" t="e">
        <v>#NUM!</v>
      </c>
    </row>
    <row r="745">
      <c r="A745" s="2" t="s">
        <v>513</v>
      </c>
      <c r="B745" s="3">
        <v>15.0</v>
      </c>
    </row>
    <row r="746">
      <c r="A746" s="2" t="s">
        <v>514</v>
      </c>
      <c r="B746" s="3">
        <v>62.0</v>
      </c>
    </row>
    <row r="747">
      <c r="A747" s="2" t="s">
        <v>516</v>
      </c>
      <c r="B747" s="3">
        <v>58.0</v>
      </c>
    </row>
    <row r="748">
      <c r="A748" s="2" t="s">
        <v>517</v>
      </c>
      <c r="B748" s="3">
        <v>53.0</v>
      </c>
    </row>
    <row r="749">
      <c r="A749" s="2" t="s">
        <v>518</v>
      </c>
      <c r="B749" s="3">
        <v>47.0</v>
      </c>
    </row>
    <row r="750">
      <c r="A750" s="2" t="s">
        <v>520</v>
      </c>
      <c r="B750" s="3" t="e">
        <v>#NUM!</v>
      </c>
    </row>
    <row r="751">
      <c r="A751" s="2" t="s">
        <v>521</v>
      </c>
      <c r="B751" s="3">
        <v>20.0</v>
      </c>
    </row>
    <row r="752">
      <c r="A752" s="2" t="s">
        <v>523</v>
      </c>
      <c r="B752" s="3" t="e">
        <v>#NUM!</v>
      </c>
    </row>
    <row r="753">
      <c r="A753" s="2" t="s">
        <v>524</v>
      </c>
      <c r="B753" s="3">
        <v>28.0</v>
      </c>
    </row>
    <row r="754">
      <c r="A754" s="2" t="s">
        <v>526</v>
      </c>
      <c r="B754" s="3">
        <v>31.0</v>
      </c>
    </row>
    <row r="755">
      <c r="A755" s="2" t="s">
        <v>527</v>
      </c>
      <c r="B755" s="3">
        <v>57.0</v>
      </c>
    </row>
    <row r="756">
      <c r="A756" s="2" t="s">
        <v>529</v>
      </c>
      <c r="B756" s="3">
        <v>36.0</v>
      </c>
    </row>
    <row r="757">
      <c r="A757" s="2" t="s">
        <v>530</v>
      </c>
      <c r="B757" s="3">
        <v>25.0</v>
      </c>
    </row>
    <row r="758">
      <c r="A758" s="2" t="s">
        <v>532</v>
      </c>
      <c r="B758" s="3">
        <v>0.0</v>
      </c>
    </row>
    <row r="759">
      <c r="A759" s="2" t="s">
        <v>534</v>
      </c>
      <c r="B759" s="3">
        <v>0.0</v>
      </c>
    </row>
    <row r="760">
      <c r="A760" s="2" t="s">
        <v>535</v>
      </c>
      <c r="B760" s="3">
        <v>0.0</v>
      </c>
    </row>
    <row r="761">
      <c r="A761" s="2" t="s">
        <v>537</v>
      </c>
      <c r="B761" s="3">
        <v>0.0</v>
      </c>
    </row>
    <row r="762">
      <c r="A762" s="2" t="s">
        <v>539</v>
      </c>
      <c r="B762" s="3">
        <v>0.0</v>
      </c>
    </row>
    <row r="763">
      <c r="A763" s="2" t="s">
        <v>540</v>
      </c>
      <c r="B763" s="3">
        <v>30.0</v>
      </c>
    </row>
    <row r="764">
      <c r="A764" s="2" t="s">
        <v>541</v>
      </c>
      <c r="B764" s="3">
        <v>34.0</v>
      </c>
    </row>
    <row r="765">
      <c r="A765" s="2" t="s">
        <v>543</v>
      </c>
      <c r="B765" s="3">
        <v>12.0</v>
      </c>
    </row>
    <row r="766">
      <c r="A766" s="2" t="s">
        <v>549</v>
      </c>
      <c r="B766" s="3" t="e">
        <v>#NUM!</v>
      </c>
    </row>
    <row r="767">
      <c r="A767" s="2" t="s">
        <v>552</v>
      </c>
      <c r="B767" s="3">
        <v>20.0</v>
      </c>
    </row>
    <row r="768">
      <c r="A768" s="2" t="s">
        <v>554</v>
      </c>
      <c r="B768" s="3" t="e">
        <v>#NUM!</v>
      </c>
    </row>
    <row r="769">
      <c r="A769" s="2" t="s">
        <v>556</v>
      </c>
      <c r="B769" s="3">
        <v>28.0</v>
      </c>
    </row>
    <row r="770">
      <c r="A770" s="2" t="s">
        <v>557</v>
      </c>
      <c r="B770" s="3" t="e">
        <v>#NUM!</v>
      </c>
    </row>
    <row r="771">
      <c r="A771" s="2" t="s">
        <v>558</v>
      </c>
      <c r="B771" s="3">
        <v>9.0</v>
      </c>
    </row>
    <row r="772">
      <c r="A772" s="2" t="s">
        <v>560</v>
      </c>
      <c r="B772" s="3">
        <v>8.0</v>
      </c>
    </row>
    <row r="773">
      <c r="A773" s="2" t="s">
        <v>563</v>
      </c>
      <c r="B773" s="3">
        <v>6.0</v>
      </c>
    </row>
    <row r="774">
      <c r="A774" s="2" t="s">
        <v>565</v>
      </c>
      <c r="B774" s="3">
        <v>6.0</v>
      </c>
    </row>
    <row r="775">
      <c r="A775" s="2" t="s">
        <v>568</v>
      </c>
      <c r="B775" s="3">
        <v>0.0</v>
      </c>
    </row>
    <row r="776">
      <c r="A776" s="2" t="s">
        <v>569</v>
      </c>
      <c r="B776" s="3" t="e">
        <v>#NUM!</v>
      </c>
    </row>
    <row r="777">
      <c r="A777" s="2" t="s">
        <v>571</v>
      </c>
      <c r="B777" s="3">
        <v>15.0</v>
      </c>
    </row>
    <row r="778">
      <c r="A778" s="2" t="s">
        <v>573</v>
      </c>
      <c r="B778" s="3">
        <v>15.0</v>
      </c>
    </row>
    <row r="779">
      <c r="A779" s="2" t="s">
        <v>576</v>
      </c>
      <c r="B779" s="3">
        <v>14.0</v>
      </c>
    </row>
    <row r="780">
      <c r="A780" s="2" t="s">
        <v>578</v>
      </c>
      <c r="B780" s="3">
        <v>15.0</v>
      </c>
    </row>
    <row r="781">
      <c r="A781" s="2" t="s">
        <v>580</v>
      </c>
      <c r="B781" s="3">
        <v>12.0</v>
      </c>
    </row>
    <row r="782">
      <c r="A782" s="2" t="s">
        <v>581</v>
      </c>
      <c r="B782" s="3" t="e">
        <v>#NUM!</v>
      </c>
    </row>
    <row r="783">
      <c r="A783" s="2" t="s">
        <v>582</v>
      </c>
      <c r="B783" s="3">
        <v>9.0</v>
      </c>
    </row>
    <row r="784">
      <c r="A784" s="2" t="s">
        <v>583</v>
      </c>
      <c r="B784" s="3">
        <v>8.0</v>
      </c>
    </row>
    <row r="785">
      <c r="A785" s="2" t="s">
        <v>584</v>
      </c>
      <c r="B785" s="3">
        <v>6.0</v>
      </c>
    </row>
    <row r="786">
      <c r="A786" s="2" t="s">
        <v>585</v>
      </c>
      <c r="B786" s="3">
        <v>17.0</v>
      </c>
    </row>
    <row r="787">
      <c r="A787" s="2" t="s">
        <v>586</v>
      </c>
      <c r="B787" s="3">
        <v>38.0</v>
      </c>
    </row>
    <row r="788">
      <c r="A788" s="2" t="s">
        <v>587</v>
      </c>
      <c r="B788" s="3">
        <v>37.0</v>
      </c>
    </row>
    <row r="789">
      <c r="A789" s="2" t="s">
        <v>590</v>
      </c>
      <c r="B789" s="3">
        <v>34.0</v>
      </c>
    </row>
    <row r="790">
      <c r="A790" s="2" t="s">
        <v>592</v>
      </c>
      <c r="B790" s="3">
        <v>0.0</v>
      </c>
    </row>
    <row r="791">
      <c r="A791" s="2" t="s">
        <v>594</v>
      </c>
      <c r="B791" s="3">
        <v>0.0</v>
      </c>
    </row>
    <row r="792">
      <c r="A792" s="2" t="s">
        <v>596</v>
      </c>
      <c r="B792" s="3">
        <v>0.0</v>
      </c>
    </row>
    <row r="793">
      <c r="A793" s="2" t="s">
        <v>599</v>
      </c>
      <c r="B793" s="3" t="e">
        <v>#NUM!</v>
      </c>
    </row>
    <row r="794">
      <c r="A794" s="2" t="s">
        <v>601</v>
      </c>
      <c r="B794" s="3">
        <v>17.0</v>
      </c>
    </row>
    <row r="795">
      <c r="A795" s="2" t="s">
        <v>603</v>
      </c>
      <c r="B795" s="3">
        <v>23.0</v>
      </c>
    </row>
    <row r="796">
      <c r="A796" s="2" t="s">
        <v>606</v>
      </c>
      <c r="B796" s="3">
        <v>11.0</v>
      </c>
    </row>
    <row r="797">
      <c r="A797" s="2" t="s">
        <v>607</v>
      </c>
      <c r="B797" s="3">
        <v>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5"/>
  </cols>
  <sheetData>
    <row r="1">
      <c r="A1" s="1" t="s">
        <v>1</v>
      </c>
      <c r="B1" s="1" t="s">
        <v>3</v>
      </c>
    </row>
    <row r="2">
      <c r="A2" s="6" t="s">
        <v>18</v>
      </c>
      <c r="B2" s="2">
        <v>0.0</v>
      </c>
    </row>
    <row r="3">
      <c r="A3" s="6" t="s">
        <v>25</v>
      </c>
      <c r="B3" s="2" t="e">
        <v>#NUM!</v>
      </c>
    </row>
    <row r="4">
      <c r="A4" s="6" t="s">
        <v>29</v>
      </c>
      <c r="B4" s="2">
        <v>20.0</v>
      </c>
    </row>
    <row r="5">
      <c r="A5" s="6" t="s">
        <v>30</v>
      </c>
      <c r="B5" s="2">
        <v>0.0</v>
      </c>
    </row>
    <row r="6">
      <c r="A6" s="6" t="s">
        <v>33</v>
      </c>
      <c r="B6" s="2">
        <v>30.0</v>
      </c>
    </row>
    <row r="7">
      <c r="A7" s="6" t="s">
        <v>36</v>
      </c>
      <c r="B7" s="2">
        <v>36.0</v>
      </c>
    </row>
    <row r="8">
      <c r="A8" s="6" t="s">
        <v>40</v>
      </c>
      <c r="B8" s="2">
        <v>15.0</v>
      </c>
    </row>
    <row r="9">
      <c r="A9" s="6" t="s">
        <v>44</v>
      </c>
      <c r="B9" s="2">
        <v>0.0</v>
      </c>
    </row>
    <row r="10">
      <c r="A10" s="6" t="s">
        <v>48</v>
      </c>
      <c r="B10" s="2">
        <v>31.0</v>
      </c>
    </row>
    <row r="11">
      <c r="A11" s="6" t="s">
        <v>53</v>
      </c>
      <c r="B11" s="2">
        <v>34.0</v>
      </c>
    </row>
    <row r="12">
      <c r="A12" s="6" t="s">
        <v>56</v>
      </c>
      <c r="B12" s="2">
        <v>25.0</v>
      </c>
    </row>
    <row r="13">
      <c r="A13" s="6" t="s">
        <v>59</v>
      </c>
      <c r="B13" s="2">
        <v>34.0</v>
      </c>
    </row>
    <row r="14">
      <c r="A14" s="6" t="s">
        <v>62</v>
      </c>
      <c r="B14" s="2">
        <v>23.0</v>
      </c>
    </row>
    <row r="15">
      <c r="A15" s="6" t="s">
        <v>65</v>
      </c>
      <c r="B15" s="2">
        <v>38.0</v>
      </c>
    </row>
    <row r="16">
      <c r="A16" s="6" t="s">
        <v>69</v>
      </c>
      <c r="B16" s="2">
        <v>0.0</v>
      </c>
    </row>
    <row r="17">
      <c r="A17" s="6" t="s">
        <v>73</v>
      </c>
      <c r="B17" s="2">
        <v>37.0</v>
      </c>
    </row>
    <row r="18">
      <c r="A18" s="6" t="s">
        <v>76</v>
      </c>
      <c r="B18" s="2">
        <v>5.0</v>
      </c>
    </row>
    <row r="19">
      <c r="A19" s="6" t="s">
        <v>80</v>
      </c>
      <c r="B19" s="2">
        <v>11.0</v>
      </c>
    </row>
    <row r="20">
      <c r="A20" s="6" t="s">
        <v>83</v>
      </c>
      <c r="B20" s="2">
        <v>15.0</v>
      </c>
    </row>
    <row r="21">
      <c r="A21" s="6" t="s">
        <v>86</v>
      </c>
      <c r="B21" s="2">
        <v>12.0</v>
      </c>
    </row>
    <row r="22">
      <c r="A22" s="6" t="s">
        <v>89</v>
      </c>
      <c r="B22" s="2">
        <v>18.0</v>
      </c>
    </row>
    <row r="23">
      <c r="A23" s="6" t="s">
        <v>92</v>
      </c>
      <c r="B23" s="2">
        <v>18.0</v>
      </c>
    </row>
    <row r="24">
      <c r="A24" s="6" t="s">
        <v>95</v>
      </c>
      <c r="B24" s="2">
        <v>58.0</v>
      </c>
    </row>
    <row r="25">
      <c r="A25" s="6" t="s">
        <v>97</v>
      </c>
      <c r="B25" s="2">
        <v>17.0</v>
      </c>
    </row>
    <row r="26">
      <c r="A26" s="6" t="s">
        <v>101</v>
      </c>
      <c r="B26" s="2">
        <v>15.0</v>
      </c>
    </row>
    <row r="27">
      <c r="A27" s="6" t="s">
        <v>103</v>
      </c>
      <c r="B27" s="2">
        <v>26.0</v>
      </c>
    </row>
    <row r="28">
      <c r="A28" s="6" t="s">
        <v>106</v>
      </c>
      <c r="B28" s="2">
        <v>13.0</v>
      </c>
    </row>
    <row r="29">
      <c r="A29" s="6" t="s">
        <v>109</v>
      </c>
      <c r="B29" s="2">
        <v>62.0</v>
      </c>
    </row>
    <row r="30">
      <c r="A30" s="6" t="s">
        <v>112</v>
      </c>
      <c r="B30" s="2">
        <v>0.0</v>
      </c>
    </row>
    <row r="31">
      <c r="A31" s="6" t="s">
        <v>115</v>
      </c>
      <c r="B31" s="2">
        <v>57.0</v>
      </c>
    </row>
    <row r="32">
      <c r="A32" s="6" t="s">
        <v>117</v>
      </c>
      <c r="B32" s="2">
        <v>47.0</v>
      </c>
    </row>
    <row r="33">
      <c r="A33" s="6" t="s">
        <v>120</v>
      </c>
      <c r="B33" s="2">
        <v>0.0</v>
      </c>
    </row>
    <row r="34">
      <c r="A34" s="6" t="s">
        <v>124</v>
      </c>
      <c r="B34" s="2">
        <v>24.0</v>
      </c>
    </row>
    <row r="35">
      <c r="A35" s="6" t="s">
        <v>128</v>
      </c>
      <c r="B35" s="2">
        <v>15.0</v>
      </c>
    </row>
    <row r="36">
      <c r="A36" s="6" t="s">
        <v>131</v>
      </c>
      <c r="B36" s="2">
        <v>17.0</v>
      </c>
    </row>
    <row r="37">
      <c r="A37" s="6" t="s">
        <v>134</v>
      </c>
      <c r="B37" s="2">
        <v>12.0</v>
      </c>
    </row>
    <row r="38">
      <c r="A38" s="6" t="s">
        <v>137</v>
      </c>
      <c r="B38" s="2">
        <v>15.0</v>
      </c>
    </row>
    <row r="39">
      <c r="A39" s="6" t="s">
        <v>139</v>
      </c>
      <c r="B39" s="2">
        <v>12.0</v>
      </c>
    </row>
    <row r="40">
      <c r="A40" s="6" t="s">
        <v>141</v>
      </c>
      <c r="B40" s="2">
        <v>9.0</v>
      </c>
    </row>
    <row r="41">
      <c r="A41" s="6" t="s">
        <v>143</v>
      </c>
      <c r="B41" s="2">
        <v>9.0</v>
      </c>
    </row>
    <row r="42">
      <c r="A42" s="6" t="s">
        <v>146</v>
      </c>
      <c r="B42" s="2">
        <v>14.0</v>
      </c>
    </row>
    <row r="43">
      <c r="A43" s="6" t="s">
        <v>150</v>
      </c>
      <c r="B43" s="2">
        <v>0.0</v>
      </c>
    </row>
    <row r="44">
      <c r="A44" s="6" t="s">
        <v>154</v>
      </c>
      <c r="B44" s="2">
        <v>53.0</v>
      </c>
    </row>
    <row r="45">
      <c r="A45" s="6" t="s">
        <v>156</v>
      </c>
      <c r="B45" s="2" t="e">
        <v>#NUM!</v>
      </c>
    </row>
    <row r="46">
      <c r="A46" s="6" t="s">
        <v>160</v>
      </c>
      <c r="B46" s="2" t="e">
        <v>#NUM!</v>
      </c>
    </row>
    <row r="47">
      <c r="A47" s="6" t="s">
        <v>163</v>
      </c>
      <c r="B47" s="2">
        <v>20.0</v>
      </c>
    </row>
    <row r="48">
      <c r="A48" s="6" t="s">
        <v>166</v>
      </c>
      <c r="B48" s="2">
        <v>28.0</v>
      </c>
    </row>
    <row r="49">
      <c r="A49" s="6" t="s">
        <v>168</v>
      </c>
      <c r="B49" s="2" t="e">
        <v>#NUM!</v>
      </c>
    </row>
    <row r="50">
      <c r="A50" s="6" t="s">
        <v>171</v>
      </c>
      <c r="B50" s="2" t="e">
        <v>#NUM!</v>
      </c>
    </row>
    <row r="51">
      <c r="A51" s="6" t="s">
        <v>173</v>
      </c>
      <c r="B51" s="2">
        <v>15.0</v>
      </c>
    </row>
    <row r="52">
      <c r="A52" s="6" t="s">
        <v>174</v>
      </c>
      <c r="B52" s="2">
        <v>6.0</v>
      </c>
    </row>
    <row r="53">
      <c r="A53" s="6" t="s">
        <v>175</v>
      </c>
      <c r="B53" s="2">
        <v>0.0</v>
      </c>
    </row>
    <row r="54">
      <c r="A54" s="6" t="s">
        <v>176</v>
      </c>
      <c r="B54" s="2">
        <v>42.0</v>
      </c>
    </row>
    <row r="55">
      <c r="A55" s="6" t="s">
        <v>178</v>
      </c>
      <c r="B55" s="2">
        <v>54.0</v>
      </c>
    </row>
    <row r="56">
      <c r="A56" s="6" t="s">
        <v>181</v>
      </c>
      <c r="B56" s="2">
        <v>35.0</v>
      </c>
    </row>
    <row r="57">
      <c r="A57" s="6" t="s">
        <v>184</v>
      </c>
      <c r="B57" s="2">
        <v>39.0</v>
      </c>
    </row>
    <row r="58">
      <c r="A58" s="6" t="s">
        <v>113</v>
      </c>
      <c r="B58" s="2">
        <v>16.0</v>
      </c>
    </row>
    <row r="59">
      <c r="A59" s="6" t="s">
        <v>111</v>
      </c>
      <c r="B59" s="2">
        <v>0.0</v>
      </c>
    </row>
    <row r="60">
      <c r="A60" s="6" t="s">
        <v>110</v>
      </c>
      <c r="B60" s="2">
        <v>10.0</v>
      </c>
    </row>
    <row r="61">
      <c r="A61" s="6" t="s">
        <v>114</v>
      </c>
      <c r="B61" s="2">
        <v>12.0</v>
      </c>
    </row>
    <row r="62">
      <c r="A62" s="6" t="s">
        <v>193</v>
      </c>
      <c r="B62" s="2">
        <v>10.0</v>
      </c>
    </row>
    <row r="63">
      <c r="A63" s="6" t="s">
        <v>196</v>
      </c>
      <c r="B63" s="2">
        <v>16.0</v>
      </c>
    </row>
    <row r="64">
      <c r="A64" s="6" t="s">
        <v>198</v>
      </c>
      <c r="B64" s="2">
        <v>12.0</v>
      </c>
    </row>
    <row r="65">
      <c r="A65" s="6" t="s">
        <v>200</v>
      </c>
      <c r="B65" s="2">
        <v>0.0</v>
      </c>
    </row>
    <row r="66">
      <c r="A66" s="6" t="s">
        <v>102</v>
      </c>
      <c r="B66" s="2">
        <v>0.0</v>
      </c>
    </row>
    <row r="67">
      <c r="A67" s="6" t="s">
        <v>88</v>
      </c>
      <c r="B67" s="2">
        <v>0.0</v>
      </c>
    </row>
    <row r="68">
      <c r="A68" s="6" t="s">
        <v>90</v>
      </c>
      <c r="B68" s="2">
        <v>0.0</v>
      </c>
    </row>
    <row r="69">
      <c r="A69" s="6" t="s">
        <v>91</v>
      </c>
      <c r="B69" s="2">
        <v>0.0</v>
      </c>
    </row>
    <row r="70">
      <c r="A70" s="6" t="s">
        <v>136</v>
      </c>
      <c r="B70" s="2">
        <v>16.0</v>
      </c>
    </row>
    <row r="71">
      <c r="A71" s="6" t="s">
        <v>135</v>
      </c>
      <c r="B71" s="2">
        <v>0.0</v>
      </c>
    </row>
    <row r="72">
      <c r="A72" s="6" t="s">
        <v>133</v>
      </c>
      <c r="B72" s="2">
        <v>10.0</v>
      </c>
    </row>
    <row r="73">
      <c r="A73" s="6" t="s">
        <v>138</v>
      </c>
      <c r="B73" s="2">
        <v>12.0</v>
      </c>
    </row>
    <row r="74">
      <c r="A74" s="6" t="s">
        <v>96</v>
      </c>
      <c r="B74" s="2">
        <v>0.0</v>
      </c>
    </row>
    <row r="75">
      <c r="A75" s="6" t="s">
        <v>93</v>
      </c>
      <c r="B75" s="2">
        <v>0.0</v>
      </c>
    </row>
    <row r="76">
      <c r="A76" s="6" t="s">
        <v>180</v>
      </c>
      <c r="B76" s="2">
        <v>0.0</v>
      </c>
    </row>
    <row r="77">
      <c r="A77" s="6" t="s">
        <v>99</v>
      </c>
      <c r="B77" s="2">
        <v>0.0</v>
      </c>
    </row>
    <row r="78">
      <c r="A78" s="6" t="s">
        <v>207</v>
      </c>
      <c r="B78" s="2">
        <v>12.0</v>
      </c>
    </row>
    <row r="79">
      <c r="A79" s="6" t="s">
        <v>206</v>
      </c>
      <c r="B79" s="2">
        <v>16.0</v>
      </c>
    </row>
    <row r="80">
      <c r="A80" s="6" t="s">
        <v>204</v>
      </c>
      <c r="B80" s="2">
        <v>10.0</v>
      </c>
    </row>
    <row r="81">
      <c r="A81" s="6" t="s">
        <v>205</v>
      </c>
      <c r="B81" s="2">
        <v>0.0</v>
      </c>
    </row>
    <row r="82">
      <c r="A82" s="6" t="s">
        <v>81</v>
      </c>
      <c r="B82" s="2">
        <v>16.0</v>
      </c>
    </row>
    <row r="83">
      <c r="A83" s="6" t="s">
        <v>78</v>
      </c>
      <c r="B83" s="2">
        <v>10.0</v>
      </c>
    </row>
    <row r="84">
      <c r="A84" s="6" t="s">
        <v>79</v>
      </c>
      <c r="B84" s="2">
        <v>0.0</v>
      </c>
    </row>
    <row r="85">
      <c r="A85" s="6" t="s">
        <v>82</v>
      </c>
      <c r="B85" s="2">
        <v>12.0</v>
      </c>
    </row>
    <row r="86">
      <c r="A86" s="6" t="s">
        <v>202</v>
      </c>
      <c r="B86" s="2">
        <v>6.0</v>
      </c>
    </row>
    <row r="87">
      <c r="A87" s="6" t="s">
        <v>197</v>
      </c>
      <c r="B87" s="2">
        <v>11.0</v>
      </c>
    </row>
    <row r="88">
      <c r="A88" s="6" t="s">
        <v>203</v>
      </c>
      <c r="B88" s="2">
        <v>5.0</v>
      </c>
    </row>
    <row r="89">
      <c r="A89" s="6" t="s">
        <v>199</v>
      </c>
      <c r="B89" s="2">
        <v>7.0</v>
      </c>
    </row>
    <row r="90">
      <c r="A90" s="6" t="s">
        <v>183</v>
      </c>
      <c r="B90" s="2">
        <v>11.0</v>
      </c>
    </row>
    <row r="91">
      <c r="A91" s="6" t="s">
        <v>186</v>
      </c>
      <c r="B91" s="2">
        <v>6.0</v>
      </c>
    </row>
    <row r="92">
      <c r="A92" s="6" t="s">
        <v>187</v>
      </c>
      <c r="B92" s="2">
        <v>5.0</v>
      </c>
    </row>
    <row r="93">
      <c r="A93" s="6" t="s">
        <v>185</v>
      </c>
      <c r="B93" s="2">
        <v>7.0</v>
      </c>
    </row>
    <row r="94">
      <c r="A94" s="6" t="s">
        <v>212</v>
      </c>
      <c r="B94" s="2">
        <v>11.0</v>
      </c>
    </row>
    <row r="95">
      <c r="A95" s="6" t="s">
        <v>211</v>
      </c>
      <c r="B95" s="2">
        <v>12.0</v>
      </c>
    </row>
    <row r="96">
      <c r="A96" s="6" t="s">
        <v>153</v>
      </c>
      <c r="B96" s="2" t="e">
        <v>#NUM!</v>
      </c>
    </row>
    <row r="97">
      <c r="A97" s="6" t="s">
        <v>210</v>
      </c>
      <c r="B97" s="2">
        <v>16.0</v>
      </c>
    </row>
    <row r="98">
      <c r="A98" s="6" t="s">
        <v>214</v>
      </c>
      <c r="B98" s="2">
        <v>6.0</v>
      </c>
    </row>
    <row r="99">
      <c r="A99" s="6" t="s">
        <v>216</v>
      </c>
      <c r="B99" s="2">
        <v>5.0</v>
      </c>
    </row>
    <row r="100">
      <c r="A100" s="6" t="s">
        <v>145</v>
      </c>
      <c r="B100" s="2">
        <v>0.0</v>
      </c>
    </row>
    <row r="101">
      <c r="A101" s="6" t="s">
        <v>208</v>
      </c>
      <c r="B101" s="2">
        <v>10.0</v>
      </c>
    </row>
    <row r="102">
      <c r="A102" s="6" t="s">
        <v>209</v>
      </c>
      <c r="B102" s="2">
        <v>0.0</v>
      </c>
    </row>
    <row r="103">
      <c r="A103" s="6" t="s">
        <v>84</v>
      </c>
      <c r="B103" s="2">
        <v>0.0</v>
      </c>
    </row>
    <row r="104">
      <c r="A104" s="6" t="s">
        <v>254</v>
      </c>
      <c r="B104" s="2">
        <v>7.0</v>
      </c>
    </row>
    <row r="105">
      <c r="A105" s="6" t="s">
        <v>87</v>
      </c>
      <c r="B105" s="2">
        <v>0.0</v>
      </c>
    </row>
    <row r="106">
      <c r="A106" s="6" t="s">
        <v>100</v>
      </c>
      <c r="B106" s="2">
        <v>0.0</v>
      </c>
    </row>
    <row r="107">
      <c r="A107" s="6" t="s">
        <v>213</v>
      </c>
      <c r="B107" s="2">
        <v>7.0</v>
      </c>
    </row>
    <row r="108">
      <c r="A108" s="6" t="s">
        <v>252</v>
      </c>
      <c r="B108" s="2">
        <v>8.0</v>
      </c>
    </row>
    <row r="109">
      <c r="A109" s="6" t="s">
        <v>85</v>
      </c>
      <c r="B109" s="2">
        <v>0.0</v>
      </c>
    </row>
    <row r="110">
      <c r="A110" s="6" t="s">
        <v>219</v>
      </c>
      <c r="B110" s="2">
        <v>11.0</v>
      </c>
    </row>
    <row r="111">
      <c r="A111" s="6" t="s">
        <v>223</v>
      </c>
      <c r="B111" s="2">
        <v>6.0</v>
      </c>
    </row>
    <row r="112">
      <c r="A112" s="6" t="s">
        <v>226</v>
      </c>
      <c r="B112" s="2">
        <v>5.0</v>
      </c>
    </row>
    <row r="113">
      <c r="A113" s="6" t="s">
        <v>220</v>
      </c>
      <c r="B113" s="2">
        <v>7.0</v>
      </c>
    </row>
    <row r="114">
      <c r="A114" s="6" t="s">
        <v>161</v>
      </c>
      <c r="B114" s="2">
        <v>10.0</v>
      </c>
    </row>
    <row r="115">
      <c r="A115" s="6" t="s">
        <v>164</v>
      </c>
      <c r="B115" s="2">
        <v>16.0</v>
      </c>
    </row>
    <row r="116">
      <c r="A116" s="6" t="s">
        <v>165</v>
      </c>
      <c r="B116" s="2">
        <v>12.0</v>
      </c>
    </row>
    <row r="117">
      <c r="A117" s="6" t="s">
        <v>162</v>
      </c>
      <c r="B117" s="2">
        <v>0.0</v>
      </c>
    </row>
    <row r="118">
      <c r="A118" s="6" t="s">
        <v>231</v>
      </c>
      <c r="B118" s="2">
        <v>0.0</v>
      </c>
    </row>
    <row r="119">
      <c r="A119" s="6" t="s">
        <v>233</v>
      </c>
      <c r="B119" s="2">
        <v>16.0</v>
      </c>
    </row>
    <row r="120">
      <c r="A120" s="6" t="s">
        <v>228</v>
      </c>
      <c r="B120" s="2">
        <v>10.0</v>
      </c>
    </row>
    <row r="121">
      <c r="A121" s="6" t="s">
        <v>236</v>
      </c>
      <c r="B121" s="2">
        <v>12.0</v>
      </c>
    </row>
    <row r="122">
      <c r="A122" s="6" t="s">
        <v>151</v>
      </c>
      <c r="B122" s="2">
        <v>8.0</v>
      </c>
    </row>
    <row r="123">
      <c r="A123" s="6" t="s">
        <v>250</v>
      </c>
      <c r="B123" s="2">
        <v>7.0</v>
      </c>
    </row>
    <row r="124">
      <c r="A124" s="6" t="s">
        <v>149</v>
      </c>
      <c r="B124" s="2" t="e">
        <v>#NUM!</v>
      </c>
    </row>
    <row r="125">
      <c r="A125" s="6" t="s">
        <v>142</v>
      </c>
      <c r="B125" s="2">
        <v>0.0</v>
      </c>
    </row>
    <row r="126">
      <c r="A126" s="6" t="s">
        <v>144</v>
      </c>
      <c r="B126" s="2">
        <v>8.0</v>
      </c>
    </row>
    <row r="127">
      <c r="A127" s="6" t="s">
        <v>247</v>
      </c>
      <c r="B127" s="2">
        <v>7.0</v>
      </c>
    </row>
    <row r="128">
      <c r="A128" s="6" t="s">
        <v>147</v>
      </c>
      <c r="B128" s="2" t="e">
        <v>#NUM!</v>
      </c>
    </row>
    <row r="129">
      <c r="A129" s="6" t="s">
        <v>140</v>
      </c>
      <c r="B129" s="2">
        <v>0.0</v>
      </c>
    </row>
    <row r="130">
      <c r="A130" s="6" t="s">
        <v>122</v>
      </c>
      <c r="B130" s="2">
        <v>10.0</v>
      </c>
    </row>
    <row r="131">
      <c r="A131" s="6" t="s">
        <v>125</v>
      </c>
      <c r="B131" s="2">
        <v>16.0</v>
      </c>
    </row>
    <row r="132">
      <c r="A132" s="6" t="s">
        <v>126</v>
      </c>
      <c r="B132" s="2">
        <v>12.0</v>
      </c>
    </row>
    <row r="133">
      <c r="A133" s="6" t="s">
        <v>123</v>
      </c>
      <c r="B133" s="2">
        <v>0.0</v>
      </c>
    </row>
    <row r="134">
      <c r="A134" s="6" t="s">
        <v>172</v>
      </c>
      <c r="B134" s="2">
        <v>5.0</v>
      </c>
    </row>
    <row r="135">
      <c r="A135" s="6" t="s">
        <v>170</v>
      </c>
      <c r="B135" s="2">
        <v>6.0</v>
      </c>
    </row>
    <row r="136">
      <c r="A136" s="6" t="s">
        <v>169</v>
      </c>
      <c r="B136" s="2">
        <v>7.0</v>
      </c>
    </row>
    <row r="137">
      <c r="A137" s="6" t="s">
        <v>167</v>
      </c>
      <c r="B137" s="2">
        <v>11.0</v>
      </c>
    </row>
    <row r="138">
      <c r="A138" s="6" t="s">
        <v>238</v>
      </c>
      <c r="B138" s="2">
        <v>11.0</v>
      </c>
    </row>
    <row r="139">
      <c r="A139" s="6" t="s">
        <v>243</v>
      </c>
      <c r="B139" s="2">
        <v>6.0</v>
      </c>
    </row>
    <row r="140">
      <c r="A140" s="6" t="s">
        <v>245</v>
      </c>
      <c r="B140" s="2">
        <v>5.0</v>
      </c>
    </row>
    <row r="141">
      <c r="A141" s="6" t="s">
        <v>240</v>
      </c>
      <c r="B141" s="2">
        <v>7.0</v>
      </c>
    </row>
    <row r="142">
      <c r="A142" s="6" t="s">
        <v>179</v>
      </c>
      <c r="B142" s="2">
        <v>0.0</v>
      </c>
    </row>
    <row r="143">
      <c r="A143" s="6" t="s">
        <v>94</v>
      </c>
      <c r="B143" s="2">
        <v>0.0</v>
      </c>
    </row>
    <row r="144">
      <c r="A144" s="6" t="s">
        <v>177</v>
      </c>
      <c r="B144" s="2">
        <v>0.0</v>
      </c>
    </row>
    <row r="145">
      <c r="A145" s="6" t="s">
        <v>182</v>
      </c>
      <c r="B145" s="2">
        <v>0.0</v>
      </c>
    </row>
    <row r="146">
      <c r="A146" s="6" t="s">
        <v>261</v>
      </c>
      <c r="B146" s="2">
        <v>0.0</v>
      </c>
    </row>
    <row r="147">
      <c r="A147" s="6" t="s">
        <v>266</v>
      </c>
      <c r="B147" s="2">
        <v>12.0</v>
      </c>
    </row>
    <row r="148">
      <c r="A148" s="6" t="s">
        <v>258</v>
      </c>
      <c r="B148" s="2">
        <v>10.0</v>
      </c>
    </row>
    <row r="149">
      <c r="A149" s="6" t="s">
        <v>264</v>
      </c>
      <c r="B149" s="2">
        <v>16.0</v>
      </c>
    </row>
    <row r="150">
      <c r="A150" s="6" t="s">
        <v>119</v>
      </c>
      <c r="B150" s="2">
        <v>6.0</v>
      </c>
    </row>
    <row r="151">
      <c r="A151" s="6" t="s">
        <v>116</v>
      </c>
      <c r="B151" s="2">
        <v>11.0</v>
      </c>
    </row>
    <row r="152">
      <c r="A152" s="6" t="s">
        <v>121</v>
      </c>
      <c r="B152" s="2">
        <v>5.0</v>
      </c>
    </row>
    <row r="153">
      <c r="A153" s="6" t="s">
        <v>118</v>
      </c>
      <c r="B153" s="2">
        <v>7.0</v>
      </c>
    </row>
    <row r="154">
      <c r="A154" s="6" t="s">
        <v>130</v>
      </c>
      <c r="B154" s="2">
        <v>16.0</v>
      </c>
    </row>
    <row r="155">
      <c r="A155" s="6" t="s">
        <v>129</v>
      </c>
      <c r="B155" s="2">
        <v>0.0</v>
      </c>
    </row>
    <row r="156">
      <c r="A156" s="6" t="s">
        <v>132</v>
      </c>
      <c r="B156" s="2">
        <v>12.0</v>
      </c>
    </row>
    <row r="157">
      <c r="A157" s="6" t="s">
        <v>127</v>
      </c>
      <c r="B157" s="2">
        <v>10.0</v>
      </c>
    </row>
    <row r="158">
      <c r="A158" s="6" t="s">
        <v>158</v>
      </c>
      <c r="B158" s="2">
        <v>16.0</v>
      </c>
    </row>
    <row r="159">
      <c r="A159" s="6" t="s">
        <v>159</v>
      </c>
      <c r="B159" s="2">
        <v>12.0</v>
      </c>
    </row>
    <row r="160">
      <c r="A160" s="6" t="s">
        <v>155</v>
      </c>
      <c r="B160" s="2">
        <v>10.0</v>
      </c>
    </row>
    <row r="161">
      <c r="A161" s="6" t="s">
        <v>157</v>
      </c>
      <c r="B161" s="2">
        <v>0.0</v>
      </c>
    </row>
    <row r="162">
      <c r="A162" s="6" t="s">
        <v>55</v>
      </c>
      <c r="B162" s="2">
        <v>37.0</v>
      </c>
    </row>
    <row r="163">
      <c r="A163" s="6" t="s">
        <v>57</v>
      </c>
      <c r="B163" s="2">
        <v>38.0</v>
      </c>
    </row>
    <row r="164">
      <c r="A164" s="6" t="s">
        <v>58</v>
      </c>
      <c r="B164" s="2">
        <v>18.0</v>
      </c>
    </row>
    <row r="165">
      <c r="A165" s="6" t="s">
        <v>60</v>
      </c>
      <c r="B165" s="2">
        <v>34.0</v>
      </c>
    </row>
    <row r="166">
      <c r="A166" s="6" t="s">
        <v>394</v>
      </c>
      <c r="B166" s="2">
        <v>18.0</v>
      </c>
    </row>
    <row r="167">
      <c r="A167" s="6" t="s">
        <v>395</v>
      </c>
      <c r="B167" s="2">
        <v>24.0</v>
      </c>
    </row>
    <row r="168">
      <c r="A168" s="6" t="s">
        <v>393</v>
      </c>
      <c r="B168" s="2">
        <v>9.0</v>
      </c>
    </row>
    <row r="169">
      <c r="A169" s="6" t="s">
        <v>392</v>
      </c>
      <c r="B169" s="2">
        <v>18.0</v>
      </c>
    </row>
    <row r="170">
      <c r="A170" s="6" t="s">
        <v>548</v>
      </c>
      <c r="B170" s="2" t="e">
        <v>#NUM!</v>
      </c>
    </row>
    <row r="171">
      <c r="A171" s="6" t="s">
        <v>341</v>
      </c>
      <c r="B171" s="2">
        <v>28.0</v>
      </c>
    </row>
    <row r="172">
      <c r="A172" s="6" t="s">
        <v>335</v>
      </c>
      <c r="B172" s="2" t="e">
        <v>#NUM!</v>
      </c>
    </row>
    <row r="173">
      <c r="A173" s="6" t="s">
        <v>547</v>
      </c>
      <c r="B173" s="2">
        <v>20.0</v>
      </c>
    </row>
    <row r="174">
      <c r="A174" s="6" t="s">
        <v>562</v>
      </c>
      <c r="B174" s="2">
        <v>18.0</v>
      </c>
    </row>
    <row r="175">
      <c r="A175" s="6" t="s">
        <v>566</v>
      </c>
      <c r="B175" s="2">
        <v>9.0</v>
      </c>
    </row>
    <row r="176">
      <c r="A176" s="6" t="s">
        <v>570</v>
      </c>
      <c r="B176" s="2">
        <v>18.0</v>
      </c>
    </row>
    <row r="177">
      <c r="A177" s="6" t="s">
        <v>575</v>
      </c>
      <c r="B177" s="2">
        <v>24.0</v>
      </c>
    </row>
    <row r="178">
      <c r="A178" s="6" t="s">
        <v>536</v>
      </c>
      <c r="B178" s="2">
        <v>26.0</v>
      </c>
    </row>
    <row r="179">
      <c r="A179" s="6" t="s">
        <v>528</v>
      </c>
      <c r="B179" s="2">
        <v>20.0</v>
      </c>
    </row>
    <row r="180">
      <c r="A180" s="6" t="s">
        <v>533</v>
      </c>
      <c r="B180" s="2">
        <v>15.0</v>
      </c>
    </row>
    <row r="181">
      <c r="A181" s="6" t="s">
        <v>531</v>
      </c>
      <c r="B181" s="2">
        <v>5.0</v>
      </c>
    </row>
    <row r="182">
      <c r="A182" s="6" t="s">
        <v>604</v>
      </c>
      <c r="B182" s="2">
        <v>9.0</v>
      </c>
    </row>
    <row r="183">
      <c r="A183" s="6" t="s">
        <v>609</v>
      </c>
      <c r="B183" s="2">
        <v>24.0</v>
      </c>
    </row>
    <row r="184">
      <c r="A184" s="6" t="s">
        <v>612</v>
      </c>
      <c r="B184" s="2">
        <v>18.0</v>
      </c>
    </row>
    <row r="185">
      <c r="A185" s="6" t="s">
        <v>615</v>
      </c>
      <c r="B185" s="2">
        <v>18.0</v>
      </c>
    </row>
    <row r="186">
      <c r="A186" s="6" t="s">
        <v>47</v>
      </c>
      <c r="B186" s="2">
        <v>25.0</v>
      </c>
    </row>
    <row r="187">
      <c r="A187" s="6" t="s">
        <v>43</v>
      </c>
      <c r="B187" s="2">
        <v>36.0</v>
      </c>
    </row>
    <row r="188">
      <c r="A188" s="6" t="s">
        <v>45</v>
      </c>
      <c r="B188" s="2">
        <v>57.0</v>
      </c>
    </row>
    <row r="189">
      <c r="A189" s="6" t="s">
        <v>46</v>
      </c>
      <c r="B189" s="2">
        <v>31.0</v>
      </c>
    </row>
    <row r="190">
      <c r="A190" s="6" t="s">
        <v>623</v>
      </c>
      <c r="B190" s="2">
        <v>30.0</v>
      </c>
    </row>
    <row r="191">
      <c r="A191" s="6" t="s">
        <v>624</v>
      </c>
      <c r="B191" s="2">
        <v>34.0</v>
      </c>
    </row>
    <row r="192">
      <c r="A192" s="6" t="s">
        <v>625</v>
      </c>
      <c r="B192" s="2">
        <v>0.0</v>
      </c>
    </row>
    <row r="193">
      <c r="A193" s="6" t="s">
        <v>627</v>
      </c>
      <c r="B193" s="2">
        <v>12.0</v>
      </c>
    </row>
    <row r="194">
      <c r="A194" s="6" t="s">
        <v>629</v>
      </c>
      <c r="B194" s="2">
        <v>0.0</v>
      </c>
    </row>
    <row r="195">
      <c r="A195" s="6" t="s">
        <v>631</v>
      </c>
      <c r="B195" s="2">
        <v>0.0</v>
      </c>
    </row>
    <row r="196">
      <c r="A196" s="6" t="s">
        <v>632</v>
      </c>
      <c r="B196" s="2">
        <v>0.0</v>
      </c>
    </row>
    <row r="197">
      <c r="A197" s="6" t="s">
        <v>633</v>
      </c>
      <c r="B197" s="2">
        <v>0.0</v>
      </c>
    </row>
    <row r="198">
      <c r="A198" s="6" t="s">
        <v>381</v>
      </c>
      <c r="B198" s="2">
        <v>34.0</v>
      </c>
    </row>
    <row r="199">
      <c r="A199" s="6" t="s">
        <v>378</v>
      </c>
      <c r="B199" s="2">
        <v>41.0</v>
      </c>
    </row>
    <row r="200">
      <c r="A200" s="6" t="s">
        <v>377</v>
      </c>
      <c r="B200" s="2">
        <v>39.0</v>
      </c>
    </row>
    <row r="201">
      <c r="A201" s="6" t="s">
        <v>380</v>
      </c>
      <c r="B201" s="2">
        <v>17.0</v>
      </c>
    </row>
    <row r="202">
      <c r="A202" s="6" t="s">
        <v>639</v>
      </c>
      <c r="B202" s="2">
        <v>17.0</v>
      </c>
    </row>
    <row r="203">
      <c r="A203" s="6" t="s">
        <v>642</v>
      </c>
      <c r="B203" s="2">
        <v>34.0</v>
      </c>
    </row>
    <row r="204">
      <c r="A204" s="6" t="s">
        <v>645</v>
      </c>
      <c r="B204" s="2">
        <v>38.0</v>
      </c>
    </row>
    <row r="205">
      <c r="A205" s="6" t="s">
        <v>647</v>
      </c>
      <c r="B205" s="2">
        <v>37.0</v>
      </c>
    </row>
    <row r="206">
      <c r="A206" s="6" t="s">
        <v>648</v>
      </c>
      <c r="B206" s="2">
        <v>20.0</v>
      </c>
    </row>
    <row r="207">
      <c r="A207" s="6" t="s">
        <v>389</v>
      </c>
      <c r="B207" s="2" t="e">
        <v>#NUM!</v>
      </c>
    </row>
    <row r="208">
      <c r="A208" s="6" t="s">
        <v>650</v>
      </c>
      <c r="B208" s="2" t="e">
        <v>#NUM!</v>
      </c>
    </row>
    <row r="209">
      <c r="A209" s="6" t="s">
        <v>652</v>
      </c>
      <c r="B209" s="2">
        <v>28.0</v>
      </c>
    </row>
    <row r="210">
      <c r="A210" s="6" t="s">
        <v>386</v>
      </c>
      <c r="B210" s="2">
        <v>17.0</v>
      </c>
    </row>
    <row r="211">
      <c r="A211" s="6" t="s">
        <v>387</v>
      </c>
      <c r="B211" s="2">
        <v>34.0</v>
      </c>
    </row>
    <row r="212">
      <c r="A212" s="6" t="s">
        <v>383</v>
      </c>
      <c r="B212" s="2">
        <v>37.0</v>
      </c>
    </row>
    <row r="213">
      <c r="A213" s="6" t="s">
        <v>384</v>
      </c>
      <c r="B213" s="2">
        <v>38.0</v>
      </c>
    </row>
    <row r="214">
      <c r="A214" s="6" t="s">
        <v>328</v>
      </c>
      <c r="B214" s="2">
        <v>17.0</v>
      </c>
    </row>
    <row r="215">
      <c r="A215" s="6" t="s">
        <v>324</v>
      </c>
      <c r="B215" s="2">
        <v>37.0</v>
      </c>
    </row>
    <row r="216">
      <c r="A216" s="6" t="s">
        <v>330</v>
      </c>
      <c r="B216" s="2">
        <v>34.0</v>
      </c>
    </row>
    <row r="217">
      <c r="A217" s="6" t="s">
        <v>326</v>
      </c>
      <c r="B217" s="2">
        <v>38.0</v>
      </c>
    </row>
    <row r="218">
      <c r="A218" s="6" t="s">
        <v>664</v>
      </c>
      <c r="B218" s="2">
        <v>34.0</v>
      </c>
    </row>
    <row r="219">
      <c r="A219" s="6" t="s">
        <v>667</v>
      </c>
      <c r="B219" s="2">
        <v>37.0</v>
      </c>
    </row>
    <row r="220">
      <c r="A220" s="6" t="s">
        <v>669</v>
      </c>
      <c r="B220" s="2">
        <v>17.0</v>
      </c>
    </row>
    <row r="221">
      <c r="A221" s="6" t="s">
        <v>671</v>
      </c>
      <c r="B221" s="2">
        <v>38.0</v>
      </c>
    </row>
    <row r="222">
      <c r="A222" s="6" t="s">
        <v>675</v>
      </c>
      <c r="B222" s="2">
        <v>17.0</v>
      </c>
    </row>
    <row r="223">
      <c r="A223" s="6" t="s">
        <v>678</v>
      </c>
      <c r="B223" s="2">
        <v>38.0</v>
      </c>
    </row>
    <row r="224">
      <c r="A224" s="6" t="s">
        <v>681</v>
      </c>
      <c r="B224" s="2">
        <v>34.0</v>
      </c>
    </row>
    <row r="225">
      <c r="A225" s="6" t="s">
        <v>684</v>
      </c>
      <c r="B225" s="2">
        <v>37.0</v>
      </c>
    </row>
    <row r="226">
      <c r="A226" s="6" t="s">
        <v>687</v>
      </c>
      <c r="B226" s="2">
        <v>0.0</v>
      </c>
    </row>
    <row r="227">
      <c r="A227" s="6" t="s">
        <v>689</v>
      </c>
      <c r="B227" s="2">
        <v>0.0</v>
      </c>
    </row>
    <row r="228">
      <c r="A228" s="6" t="s">
        <v>692</v>
      </c>
      <c r="B228" s="2">
        <v>0.0</v>
      </c>
    </row>
    <row r="229">
      <c r="A229" s="6" t="s">
        <v>695</v>
      </c>
      <c r="B229" s="2">
        <v>0.0</v>
      </c>
    </row>
    <row r="230">
      <c r="A230" s="6" t="s">
        <v>697</v>
      </c>
      <c r="B230" s="2">
        <v>0.0</v>
      </c>
    </row>
    <row r="231">
      <c r="A231" s="6" t="s">
        <v>699</v>
      </c>
      <c r="B231" s="2">
        <v>0.0</v>
      </c>
    </row>
    <row r="232">
      <c r="A232" s="6" t="s">
        <v>702</v>
      </c>
      <c r="B232" s="2">
        <v>0.0</v>
      </c>
    </row>
    <row r="233">
      <c r="A233" s="6" t="s">
        <v>703</v>
      </c>
      <c r="B233" s="2">
        <v>0.0</v>
      </c>
    </row>
    <row r="234">
      <c r="A234" s="6" t="s">
        <v>273</v>
      </c>
      <c r="B234" s="2">
        <v>17.0</v>
      </c>
    </row>
    <row r="235">
      <c r="A235" s="6" t="s">
        <v>282</v>
      </c>
      <c r="B235" s="2">
        <v>0.0</v>
      </c>
    </row>
    <row r="236">
      <c r="A236" s="6" t="s">
        <v>271</v>
      </c>
      <c r="B236" s="2">
        <v>38.0</v>
      </c>
    </row>
    <row r="237">
      <c r="A237" s="6" t="s">
        <v>280</v>
      </c>
      <c r="B237" s="2">
        <v>0.0</v>
      </c>
    </row>
    <row r="238">
      <c r="A238" s="6" t="s">
        <v>269</v>
      </c>
      <c r="B238" s="2">
        <v>37.0</v>
      </c>
    </row>
    <row r="239">
      <c r="A239" s="6" t="s">
        <v>285</v>
      </c>
      <c r="B239" s="2">
        <v>0.0</v>
      </c>
    </row>
    <row r="240">
      <c r="A240" s="6" t="s">
        <v>277</v>
      </c>
      <c r="B240" s="2" t="e">
        <v>#NUM!</v>
      </c>
    </row>
    <row r="241">
      <c r="A241" s="6" t="s">
        <v>275</v>
      </c>
      <c r="B241" s="2">
        <v>34.0</v>
      </c>
    </row>
    <row r="242">
      <c r="A242" s="6" t="s">
        <v>567</v>
      </c>
      <c r="B242" s="2">
        <v>15.0</v>
      </c>
    </row>
    <row r="243">
      <c r="A243" s="6" t="s">
        <v>559</v>
      </c>
      <c r="B243" s="2">
        <v>12.0</v>
      </c>
    </row>
    <row r="244">
      <c r="A244" s="6" t="s">
        <v>564</v>
      </c>
      <c r="B244" s="2">
        <v>9.0</v>
      </c>
    </row>
    <row r="245">
      <c r="A245" s="6" t="s">
        <v>561</v>
      </c>
      <c r="B245" s="2">
        <v>13.0</v>
      </c>
    </row>
    <row r="246">
      <c r="A246" s="6" t="s">
        <v>733</v>
      </c>
      <c r="B246" s="2" t="e">
        <v>#NUM!</v>
      </c>
    </row>
    <row r="247">
      <c r="A247" s="6" t="s">
        <v>487</v>
      </c>
      <c r="B247" s="2" t="e">
        <v>#NUM!</v>
      </c>
    </row>
    <row r="248">
      <c r="A248" s="6" t="s">
        <v>742</v>
      </c>
      <c r="B248" s="2">
        <v>20.0</v>
      </c>
    </row>
    <row r="249">
      <c r="A249" s="6" t="s">
        <v>746</v>
      </c>
      <c r="B249" s="2">
        <v>28.0</v>
      </c>
    </row>
    <row r="250">
      <c r="A250" s="6" t="s">
        <v>732</v>
      </c>
      <c r="B250" s="2">
        <v>0.0</v>
      </c>
    </row>
    <row r="251">
      <c r="A251" s="6" t="s">
        <v>727</v>
      </c>
      <c r="B251" s="2" t="e">
        <v>#NUM!</v>
      </c>
    </row>
    <row r="252">
      <c r="A252" s="6" t="s">
        <v>735</v>
      </c>
      <c r="B252" s="2">
        <v>0.0</v>
      </c>
    </row>
    <row r="253">
      <c r="A253" s="6" t="s">
        <v>729</v>
      </c>
      <c r="B253" s="2">
        <v>0.0</v>
      </c>
    </row>
    <row r="254">
      <c r="A254" s="6" t="s">
        <v>704</v>
      </c>
      <c r="B254" s="2">
        <v>0.0</v>
      </c>
    </row>
    <row r="255">
      <c r="A255" s="6" t="s">
        <v>706</v>
      </c>
      <c r="B255" s="2">
        <v>0.0</v>
      </c>
    </row>
    <row r="256">
      <c r="A256" s="6" t="s">
        <v>708</v>
      </c>
      <c r="B256" s="2">
        <v>0.0</v>
      </c>
    </row>
    <row r="257">
      <c r="A257" s="6" t="s">
        <v>712</v>
      </c>
      <c r="B257" s="2">
        <v>0.0</v>
      </c>
    </row>
    <row r="258">
      <c r="A258" s="6" t="s">
        <v>714</v>
      </c>
      <c r="B258" s="2">
        <v>0.0</v>
      </c>
    </row>
    <row r="259">
      <c r="A259" s="6" t="s">
        <v>716</v>
      </c>
      <c r="B259" s="2">
        <v>0.0</v>
      </c>
    </row>
    <row r="260">
      <c r="A260" s="6" t="s">
        <v>718</v>
      </c>
      <c r="B260" s="2">
        <v>0.0</v>
      </c>
    </row>
    <row r="261">
      <c r="A261" s="6" t="s">
        <v>719</v>
      </c>
      <c r="B261" s="2">
        <v>0.0</v>
      </c>
    </row>
    <row r="262">
      <c r="A262" s="6" t="s">
        <v>720</v>
      </c>
      <c r="B262" s="2">
        <v>10.0</v>
      </c>
    </row>
    <row r="263">
      <c r="A263" s="6" t="s">
        <v>721</v>
      </c>
      <c r="B263" s="2">
        <v>10.0</v>
      </c>
    </row>
    <row r="264">
      <c r="A264" s="6" t="s">
        <v>722</v>
      </c>
      <c r="B264" s="2">
        <v>10.0</v>
      </c>
    </row>
    <row r="265">
      <c r="A265" s="6" t="s">
        <v>723</v>
      </c>
      <c r="B265" s="2">
        <v>0.0</v>
      </c>
    </row>
    <row r="266">
      <c r="A266" s="6" t="s">
        <v>775</v>
      </c>
      <c r="B266" s="2">
        <v>6.0</v>
      </c>
    </row>
    <row r="267">
      <c r="A267" s="6" t="s">
        <v>776</v>
      </c>
      <c r="B267" s="2" t="e">
        <v>#NUM!</v>
      </c>
    </row>
    <row r="268">
      <c r="A268" s="6" t="s">
        <v>777</v>
      </c>
      <c r="B268" s="2">
        <v>15.0</v>
      </c>
    </row>
    <row r="269">
      <c r="A269" s="6" t="s">
        <v>778</v>
      </c>
      <c r="B269" s="2">
        <v>0.0</v>
      </c>
    </row>
    <row r="270">
      <c r="A270" s="6" t="s">
        <v>544</v>
      </c>
      <c r="B270" s="2">
        <v>17.0</v>
      </c>
    </row>
    <row r="271">
      <c r="A271" s="6" t="s">
        <v>542</v>
      </c>
      <c r="B271" s="2">
        <v>38.0</v>
      </c>
    </row>
    <row r="272">
      <c r="A272" s="6" t="s">
        <v>538</v>
      </c>
      <c r="B272" s="2">
        <v>37.0</v>
      </c>
    </row>
    <row r="273">
      <c r="A273" s="6" t="s">
        <v>545</v>
      </c>
      <c r="B273" s="2">
        <v>34.0</v>
      </c>
    </row>
    <row r="274">
      <c r="A274" s="6" t="s">
        <v>501</v>
      </c>
      <c r="B274" s="2">
        <v>15.0</v>
      </c>
    </row>
    <row r="275">
      <c r="A275" s="6" t="s">
        <v>503</v>
      </c>
      <c r="B275" s="2">
        <v>26.0</v>
      </c>
    </row>
    <row r="276">
      <c r="A276" s="6" t="s">
        <v>498</v>
      </c>
      <c r="B276" s="2">
        <v>5.0</v>
      </c>
    </row>
    <row r="277">
      <c r="A277" s="6" t="s">
        <v>496</v>
      </c>
      <c r="B277" s="2">
        <v>20.0</v>
      </c>
    </row>
    <row r="278">
      <c r="A278" s="6" t="s">
        <v>784</v>
      </c>
      <c r="B278" s="2">
        <v>17.0</v>
      </c>
    </row>
    <row r="279">
      <c r="A279" s="6" t="s">
        <v>787</v>
      </c>
      <c r="B279" s="2">
        <v>34.0</v>
      </c>
    </row>
    <row r="280">
      <c r="A280" s="6" t="s">
        <v>790</v>
      </c>
      <c r="B280" s="2">
        <v>37.0</v>
      </c>
    </row>
    <row r="281">
      <c r="A281" s="6" t="s">
        <v>792</v>
      </c>
      <c r="B281" s="2">
        <v>38.0</v>
      </c>
    </row>
    <row r="282">
      <c r="A282" s="6" t="s">
        <v>724</v>
      </c>
      <c r="B282" s="2">
        <v>0.0</v>
      </c>
    </row>
    <row r="283">
      <c r="A283" s="6" t="s">
        <v>725</v>
      </c>
      <c r="B283" s="2">
        <v>0.0</v>
      </c>
    </row>
    <row r="284">
      <c r="A284" s="6" t="s">
        <v>726</v>
      </c>
      <c r="B284" s="2">
        <v>0.0</v>
      </c>
    </row>
    <row r="285">
      <c r="A285" s="6" t="s">
        <v>728</v>
      </c>
      <c r="B285" s="2">
        <v>0.0</v>
      </c>
    </row>
    <row r="286">
      <c r="A286" s="6" t="s">
        <v>730</v>
      </c>
      <c r="B286" s="2">
        <v>0.0</v>
      </c>
    </row>
    <row r="287">
      <c r="A287" s="6" t="s">
        <v>731</v>
      </c>
      <c r="B287" s="2">
        <v>0.0</v>
      </c>
    </row>
    <row r="288">
      <c r="A288" s="6" t="s">
        <v>734</v>
      </c>
      <c r="B288" s="2">
        <v>0.0</v>
      </c>
    </row>
    <row r="289">
      <c r="A289" s="6" t="s">
        <v>736</v>
      </c>
      <c r="B289" s="2">
        <v>0.0</v>
      </c>
    </row>
    <row r="290">
      <c r="A290" s="6" t="s">
        <v>795</v>
      </c>
      <c r="B290" s="2">
        <v>17.0</v>
      </c>
    </row>
    <row r="291">
      <c r="A291" s="6" t="s">
        <v>794</v>
      </c>
      <c r="B291" s="2">
        <v>37.0</v>
      </c>
    </row>
    <row r="292">
      <c r="A292" s="6" t="s">
        <v>796</v>
      </c>
      <c r="B292" s="2">
        <v>38.0</v>
      </c>
    </row>
    <row r="293">
      <c r="A293" s="6" t="s">
        <v>798</v>
      </c>
      <c r="B293" s="2">
        <v>34.0</v>
      </c>
    </row>
    <row r="294">
      <c r="A294" s="6" t="s">
        <v>799</v>
      </c>
      <c r="B294" s="2">
        <v>0.0</v>
      </c>
    </row>
    <row r="295">
      <c r="A295" s="6" t="s">
        <v>800</v>
      </c>
      <c r="B295" s="2" t="e">
        <v>#NUM!</v>
      </c>
    </row>
    <row r="296">
      <c r="A296" s="6" t="s">
        <v>801</v>
      </c>
      <c r="B296" s="2">
        <v>0.0</v>
      </c>
    </row>
    <row r="297">
      <c r="A297" s="6" t="s">
        <v>803</v>
      </c>
      <c r="B297" s="2">
        <v>0.0</v>
      </c>
    </row>
    <row r="298">
      <c r="A298" s="6" t="s">
        <v>700</v>
      </c>
      <c r="B298" s="2">
        <v>17.0</v>
      </c>
    </row>
    <row r="299">
      <c r="A299" s="6" t="s">
        <v>696</v>
      </c>
      <c r="B299" s="2">
        <v>37.0</v>
      </c>
    </row>
    <row r="300">
      <c r="A300" s="6" t="s">
        <v>701</v>
      </c>
      <c r="B300" s="2">
        <v>34.0</v>
      </c>
    </row>
    <row r="301">
      <c r="A301" s="6" t="s">
        <v>698</v>
      </c>
      <c r="B301" s="2">
        <v>38.0</v>
      </c>
    </row>
    <row r="302">
      <c r="A302" s="6" t="s">
        <v>677</v>
      </c>
      <c r="B302" s="2">
        <v>42.0</v>
      </c>
    </row>
    <row r="303">
      <c r="A303" s="6" t="s">
        <v>670</v>
      </c>
      <c r="B303" s="2">
        <v>35.0</v>
      </c>
    </row>
    <row r="304">
      <c r="A304" s="6" t="s">
        <v>680</v>
      </c>
      <c r="B304" s="2">
        <v>39.0</v>
      </c>
    </row>
    <row r="305">
      <c r="A305" s="6" t="s">
        <v>674</v>
      </c>
      <c r="B305" s="2">
        <v>54.0</v>
      </c>
    </row>
    <row r="306">
      <c r="A306" s="6" t="s">
        <v>693</v>
      </c>
      <c r="B306" s="2">
        <v>0.0</v>
      </c>
    </row>
    <row r="307">
      <c r="A307" s="6" t="s">
        <v>694</v>
      </c>
      <c r="B307" s="2">
        <v>0.0</v>
      </c>
    </row>
    <row r="308">
      <c r="A308" s="6" t="s">
        <v>691</v>
      </c>
      <c r="B308" s="2">
        <v>0.0</v>
      </c>
    </row>
    <row r="309">
      <c r="A309" s="6" t="s">
        <v>690</v>
      </c>
      <c r="B309" s="2" t="e">
        <v>#NUM!</v>
      </c>
    </row>
    <row r="310">
      <c r="A310" s="6" t="s">
        <v>522</v>
      </c>
      <c r="B310" s="2">
        <v>17.0</v>
      </c>
    </row>
    <row r="311">
      <c r="A311" s="6" t="s">
        <v>515</v>
      </c>
      <c r="B311" s="2">
        <v>37.0</v>
      </c>
    </row>
    <row r="312">
      <c r="A312" s="6" t="s">
        <v>525</v>
      </c>
      <c r="B312" s="2">
        <v>34.0</v>
      </c>
    </row>
    <row r="313">
      <c r="A313" s="6" t="s">
        <v>519</v>
      </c>
      <c r="B313" s="2">
        <v>38.0</v>
      </c>
    </row>
    <row r="314">
      <c r="A314" s="6" t="s">
        <v>739</v>
      </c>
      <c r="B314" s="2">
        <v>0.0</v>
      </c>
    </row>
    <row r="315">
      <c r="A315" s="6" t="s">
        <v>740</v>
      </c>
      <c r="B315" s="2">
        <v>0.0</v>
      </c>
    </row>
    <row r="316">
      <c r="A316" s="6" t="s">
        <v>743</v>
      </c>
      <c r="B316" s="2">
        <v>0.0</v>
      </c>
    </row>
    <row r="317">
      <c r="A317" s="6" t="s">
        <v>745</v>
      </c>
      <c r="B317" s="2">
        <v>0.0</v>
      </c>
    </row>
    <row r="318">
      <c r="A318" s="6" t="s">
        <v>449</v>
      </c>
      <c r="B318" s="2">
        <v>17.0</v>
      </c>
    </row>
    <row r="319">
      <c r="A319" s="6" t="s">
        <v>450</v>
      </c>
      <c r="B319" s="2">
        <v>34.0</v>
      </c>
    </row>
    <row r="320">
      <c r="A320" s="6" t="s">
        <v>448</v>
      </c>
      <c r="B320" s="2">
        <v>38.0</v>
      </c>
    </row>
    <row r="321">
      <c r="A321" s="6" t="s">
        <v>447</v>
      </c>
      <c r="B321" s="2">
        <v>37.0</v>
      </c>
    </row>
    <row r="322">
      <c r="A322" s="6" t="s">
        <v>814</v>
      </c>
      <c r="B322" s="2">
        <v>17.0</v>
      </c>
    </row>
    <row r="323">
      <c r="A323" s="6" t="s">
        <v>816</v>
      </c>
      <c r="B323" s="2">
        <v>37.0</v>
      </c>
    </row>
    <row r="324">
      <c r="A324" s="6" t="s">
        <v>818</v>
      </c>
      <c r="B324" s="2">
        <v>34.0</v>
      </c>
    </row>
    <row r="325">
      <c r="A325" s="6" t="s">
        <v>820</v>
      </c>
      <c r="B325" s="2">
        <v>38.0</v>
      </c>
    </row>
    <row r="326">
      <c r="A326" s="6" t="s">
        <v>748</v>
      </c>
      <c r="B326" s="2">
        <v>0.0</v>
      </c>
    </row>
    <row r="327">
      <c r="A327" s="6" t="s">
        <v>749</v>
      </c>
      <c r="B327" s="2">
        <v>0.0</v>
      </c>
    </row>
    <row r="328">
      <c r="A328" s="6" t="s">
        <v>750</v>
      </c>
      <c r="B328" s="2">
        <v>0.0</v>
      </c>
    </row>
    <row r="329">
      <c r="A329" s="6" t="s">
        <v>751</v>
      </c>
      <c r="B329" s="2">
        <v>0.0</v>
      </c>
    </row>
    <row r="330">
      <c r="A330" s="6" t="s">
        <v>621</v>
      </c>
      <c r="B330" s="2">
        <v>28.0</v>
      </c>
    </row>
    <row r="331">
      <c r="A331" s="6" t="s">
        <v>617</v>
      </c>
      <c r="B331" s="2">
        <v>34.0</v>
      </c>
    </row>
    <row r="332">
      <c r="A332" s="6" t="s">
        <v>789</v>
      </c>
      <c r="B332" s="2" t="e">
        <v>#NUM!</v>
      </c>
    </row>
    <row r="333">
      <c r="A333" s="6" t="s">
        <v>717</v>
      </c>
      <c r="B333" s="2">
        <v>20.0</v>
      </c>
    </row>
    <row r="334">
      <c r="A334" s="6" t="s">
        <v>388</v>
      </c>
      <c r="B334" s="2" t="e">
        <v>#NUM!</v>
      </c>
    </row>
    <row r="335">
      <c r="A335" s="6" t="s">
        <v>616</v>
      </c>
      <c r="B335" s="2">
        <v>17.0</v>
      </c>
    </row>
    <row r="336">
      <c r="A336" s="6" t="s">
        <v>611</v>
      </c>
      <c r="B336" s="2">
        <v>37.0</v>
      </c>
    </row>
    <row r="337">
      <c r="A337" s="6" t="s">
        <v>613</v>
      </c>
      <c r="B337" s="2">
        <v>38.0</v>
      </c>
    </row>
    <row r="338">
      <c r="A338" s="6" t="s">
        <v>15</v>
      </c>
      <c r="B338" s="2">
        <v>6.0</v>
      </c>
    </row>
    <row r="339">
      <c r="A339" s="6" t="s">
        <v>12</v>
      </c>
      <c r="B339" s="2" t="e">
        <v>#NUM!</v>
      </c>
    </row>
    <row r="340">
      <c r="A340" s="6" t="s">
        <v>6</v>
      </c>
      <c r="B340" s="2">
        <v>0.0</v>
      </c>
    </row>
    <row r="341">
      <c r="A341" s="6" t="s">
        <v>16</v>
      </c>
      <c r="B341" s="2">
        <v>5.0</v>
      </c>
    </row>
    <row r="342">
      <c r="A342" s="6" t="s">
        <v>64</v>
      </c>
      <c r="B342" s="2">
        <v>0.0</v>
      </c>
    </row>
    <row r="343">
      <c r="A343" s="6" t="s">
        <v>63</v>
      </c>
      <c r="B343" s="2">
        <v>0.0</v>
      </c>
    </row>
    <row r="344">
      <c r="A344" s="6" t="s">
        <v>61</v>
      </c>
      <c r="B344" s="2">
        <v>0.0</v>
      </c>
    </row>
    <row r="345">
      <c r="A345" s="6" t="s">
        <v>66</v>
      </c>
      <c r="B345" s="2">
        <v>0.0</v>
      </c>
    </row>
    <row r="346">
      <c r="A346" s="6" t="s">
        <v>51</v>
      </c>
      <c r="B346" s="2">
        <v>0.0</v>
      </c>
    </row>
    <row r="347">
      <c r="A347" s="6" t="s">
        <v>54</v>
      </c>
      <c r="B347" s="2">
        <v>12.0</v>
      </c>
    </row>
    <row r="348">
      <c r="A348" s="6" t="s">
        <v>50</v>
      </c>
      <c r="B348" s="2">
        <v>30.0</v>
      </c>
    </row>
    <row r="349">
      <c r="A349" s="6" t="s">
        <v>49</v>
      </c>
      <c r="B349" s="2">
        <v>34.0</v>
      </c>
    </row>
    <row r="350">
      <c r="A350" s="6" t="s">
        <v>373</v>
      </c>
      <c r="B350" s="2">
        <v>17.0</v>
      </c>
    </row>
    <row r="351">
      <c r="A351" s="6" t="s">
        <v>370</v>
      </c>
      <c r="B351" s="2">
        <v>37.0</v>
      </c>
    </row>
    <row r="352">
      <c r="A352" s="6" t="s">
        <v>375</v>
      </c>
      <c r="B352" s="2">
        <v>34.0</v>
      </c>
    </row>
    <row r="353">
      <c r="A353" s="6" t="s">
        <v>372</v>
      </c>
      <c r="B353" s="2">
        <v>38.0</v>
      </c>
    </row>
    <row r="354">
      <c r="A354" s="6" t="s">
        <v>831</v>
      </c>
      <c r="B354" s="2" t="e">
        <v>#NUM!</v>
      </c>
    </row>
    <row r="355">
      <c r="A355" s="6" t="s">
        <v>765</v>
      </c>
      <c r="B355" s="2">
        <v>20.0</v>
      </c>
    </row>
    <row r="356">
      <c r="A356" s="6" t="s">
        <v>832</v>
      </c>
      <c r="B356" s="2">
        <v>28.0</v>
      </c>
    </row>
    <row r="357">
      <c r="A357" s="6" t="s">
        <v>546</v>
      </c>
      <c r="B357" s="2" t="e">
        <v>#NUM!</v>
      </c>
    </row>
    <row r="358">
      <c r="A358" s="6" t="s">
        <v>428</v>
      </c>
      <c r="B358" s="2">
        <v>18.0</v>
      </c>
    </row>
    <row r="359">
      <c r="A359" s="6" t="s">
        <v>430</v>
      </c>
      <c r="B359" s="2">
        <v>24.0</v>
      </c>
    </row>
    <row r="360">
      <c r="A360" s="6" t="s">
        <v>424</v>
      </c>
      <c r="B360" s="2">
        <v>9.0</v>
      </c>
    </row>
    <row r="361">
      <c r="A361" s="6" t="s">
        <v>422</v>
      </c>
      <c r="B361" s="2">
        <v>18.0</v>
      </c>
    </row>
    <row r="362">
      <c r="A362" s="6" t="s">
        <v>598</v>
      </c>
      <c r="B362" s="2" t="e">
        <v>#NUM!</v>
      </c>
    </row>
    <row r="363">
      <c r="A363" s="6" t="s">
        <v>600</v>
      </c>
      <c r="B363" s="2">
        <v>15.0</v>
      </c>
    </row>
    <row r="364">
      <c r="A364" s="6" t="s">
        <v>597</v>
      </c>
      <c r="B364" s="2">
        <v>0.0</v>
      </c>
    </row>
    <row r="365">
      <c r="A365" s="6" t="s">
        <v>595</v>
      </c>
      <c r="B365" s="2">
        <v>0.0</v>
      </c>
    </row>
    <row r="366">
      <c r="A366" s="6" t="s">
        <v>653</v>
      </c>
      <c r="B366" s="2" t="e">
        <v>#NUM!</v>
      </c>
    </row>
    <row r="367">
      <c r="A367" s="6" t="s">
        <v>649</v>
      </c>
      <c r="B367" s="2">
        <v>0.0</v>
      </c>
    </row>
    <row r="368">
      <c r="A368" s="6" t="s">
        <v>654</v>
      </c>
      <c r="B368" s="2">
        <v>15.0</v>
      </c>
    </row>
    <row r="369">
      <c r="A369" s="6" t="s">
        <v>651</v>
      </c>
      <c r="B369" s="2">
        <v>0.0</v>
      </c>
    </row>
    <row r="370">
      <c r="A370" s="6" t="s">
        <v>772</v>
      </c>
      <c r="B370" s="2" t="e">
        <v>#NUM!</v>
      </c>
    </row>
    <row r="371">
      <c r="A371" s="6" t="s">
        <v>337</v>
      </c>
      <c r="B371" s="2" t="e">
        <v>#NUM!</v>
      </c>
    </row>
    <row r="372">
      <c r="A372" s="6" t="s">
        <v>362</v>
      </c>
      <c r="B372" s="2">
        <v>28.0</v>
      </c>
    </row>
    <row r="373">
      <c r="A373" s="6" t="s">
        <v>551</v>
      </c>
      <c r="B373" s="2">
        <v>20.0</v>
      </c>
    </row>
    <row r="374">
      <c r="A374" s="6" t="s">
        <v>744</v>
      </c>
      <c r="B374" s="2">
        <v>0.0</v>
      </c>
    </row>
    <row r="375">
      <c r="A375" s="6" t="s">
        <v>741</v>
      </c>
      <c r="B375" s="2">
        <v>30.0</v>
      </c>
    </row>
    <row r="376">
      <c r="A376" s="6" t="s">
        <v>747</v>
      </c>
      <c r="B376" s="2">
        <v>12.0</v>
      </c>
    </row>
    <row r="377">
      <c r="A377" s="6" t="s">
        <v>737</v>
      </c>
      <c r="B377" s="2">
        <v>34.0</v>
      </c>
    </row>
    <row r="378">
      <c r="A378" s="6" t="s">
        <v>666</v>
      </c>
      <c r="B378" s="2">
        <v>0.0</v>
      </c>
    </row>
    <row r="379">
      <c r="A379" s="6" t="s">
        <v>668</v>
      </c>
      <c r="B379" s="2">
        <v>0.0</v>
      </c>
    </row>
    <row r="380">
      <c r="A380" s="6" t="s">
        <v>665</v>
      </c>
      <c r="B380" s="2">
        <v>0.0</v>
      </c>
    </row>
    <row r="381">
      <c r="A381" s="6" t="s">
        <v>663</v>
      </c>
      <c r="B381" s="2" t="e">
        <v>#NUM!</v>
      </c>
    </row>
    <row r="382">
      <c r="A382" s="6" t="s">
        <v>686</v>
      </c>
      <c r="B382" s="2">
        <v>17.0</v>
      </c>
    </row>
    <row r="383">
      <c r="A383" s="6" t="s">
        <v>683</v>
      </c>
      <c r="B383" s="2">
        <v>11.0</v>
      </c>
    </row>
    <row r="384">
      <c r="A384" s="6" t="s">
        <v>688</v>
      </c>
      <c r="B384" s="2">
        <v>0.0</v>
      </c>
    </row>
    <row r="385">
      <c r="A385" s="6" t="s">
        <v>685</v>
      </c>
      <c r="B385" s="2">
        <v>23.0</v>
      </c>
    </row>
    <row r="386">
      <c r="A386" s="6" t="s">
        <v>420</v>
      </c>
      <c r="B386" s="2">
        <v>17.0</v>
      </c>
    </row>
    <row r="387">
      <c r="A387" s="6" t="s">
        <v>417</v>
      </c>
      <c r="B387" s="2">
        <v>37.0</v>
      </c>
    </row>
    <row r="388">
      <c r="A388" s="6" t="s">
        <v>418</v>
      </c>
      <c r="B388" s="2">
        <v>38.0</v>
      </c>
    </row>
    <row r="389">
      <c r="A389" s="6" t="s">
        <v>421</v>
      </c>
      <c r="B389" s="2">
        <v>34.0</v>
      </c>
    </row>
    <row r="390">
      <c r="A390" s="6" t="s">
        <v>311</v>
      </c>
      <c r="B390" s="2">
        <v>17.0</v>
      </c>
    </row>
    <row r="391">
      <c r="A391" s="6" t="s">
        <v>312</v>
      </c>
      <c r="B391" s="2">
        <v>0.0</v>
      </c>
    </row>
    <row r="392">
      <c r="A392" s="6" t="s">
        <v>309</v>
      </c>
      <c r="B392" s="2">
        <v>23.0</v>
      </c>
    </row>
    <row r="393">
      <c r="A393" s="6" t="s">
        <v>308</v>
      </c>
      <c r="B393" s="2">
        <v>11.0</v>
      </c>
    </row>
    <row r="394">
      <c r="A394" s="6" t="s">
        <v>409</v>
      </c>
      <c r="B394" s="2">
        <v>42.0</v>
      </c>
    </row>
    <row r="395">
      <c r="A395" s="6" t="s">
        <v>411</v>
      </c>
      <c r="B395" s="2">
        <v>39.0</v>
      </c>
    </row>
    <row r="396">
      <c r="A396" s="6" t="s">
        <v>408</v>
      </c>
      <c r="B396" s="2">
        <v>54.0</v>
      </c>
    </row>
    <row r="397">
      <c r="A397" s="6" t="s">
        <v>406</v>
      </c>
      <c r="B397" s="2">
        <v>35.0</v>
      </c>
    </row>
    <row r="398">
      <c r="A398" s="6" t="s">
        <v>854</v>
      </c>
      <c r="B398" s="2">
        <v>15.0</v>
      </c>
    </row>
    <row r="399">
      <c r="A399" s="6" t="s">
        <v>813</v>
      </c>
      <c r="B399" s="2">
        <v>14.0</v>
      </c>
    </row>
    <row r="400">
      <c r="A400" s="6" t="s">
        <v>811</v>
      </c>
      <c r="B400" s="2">
        <v>15.0</v>
      </c>
    </row>
    <row r="401">
      <c r="A401" s="6" t="s">
        <v>855</v>
      </c>
      <c r="B401" s="2">
        <v>12.0</v>
      </c>
    </row>
    <row r="402">
      <c r="A402" s="6" t="s">
        <v>296</v>
      </c>
      <c r="B402" s="2">
        <v>17.0</v>
      </c>
    </row>
    <row r="403">
      <c r="A403" s="6" t="s">
        <v>292</v>
      </c>
      <c r="B403" s="2">
        <v>11.0</v>
      </c>
    </row>
    <row r="404">
      <c r="A404" s="6" t="s">
        <v>298</v>
      </c>
      <c r="B404" s="2">
        <v>0.0</v>
      </c>
    </row>
    <row r="405">
      <c r="A405" s="6" t="s">
        <v>294</v>
      </c>
      <c r="B405" s="2">
        <v>23.0</v>
      </c>
    </row>
    <row r="406">
      <c r="A406" s="6" t="s">
        <v>350</v>
      </c>
      <c r="B406" s="2">
        <v>0.0</v>
      </c>
    </row>
    <row r="407">
      <c r="A407" s="6" t="s">
        <v>352</v>
      </c>
      <c r="B407" s="2">
        <v>0.0</v>
      </c>
    </row>
    <row r="408">
      <c r="A408" s="6" t="s">
        <v>343</v>
      </c>
      <c r="B408" s="2">
        <v>0.0</v>
      </c>
    </row>
    <row r="409">
      <c r="A409" s="6" t="s">
        <v>347</v>
      </c>
      <c r="B409" s="2">
        <v>0.0</v>
      </c>
    </row>
    <row r="410">
      <c r="A410" s="6" t="s">
        <v>317</v>
      </c>
      <c r="B410" s="2">
        <v>0.0</v>
      </c>
    </row>
    <row r="411">
      <c r="A411" s="6" t="s">
        <v>318</v>
      </c>
      <c r="B411" s="2">
        <v>12.0</v>
      </c>
    </row>
    <row r="412">
      <c r="A412" s="6" t="s">
        <v>315</v>
      </c>
      <c r="B412" s="2">
        <v>30.0</v>
      </c>
    </row>
    <row r="413">
      <c r="A413" s="6" t="s">
        <v>314</v>
      </c>
      <c r="B413" s="2">
        <v>34.0</v>
      </c>
    </row>
    <row r="414">
      <c r="A414" s="6" t="s">
        <v>823</v>
      </c>
      <c r="B414" s="2" t="e">
        <v>#NUM!</v>
      </c>
    </row>
    <row r="415">
      <c r="A415" s="6" t="s">
        <v>774</v>
      </c>
      <c r="B415" s="2">
        <v>28.0</v>
      </c>
    </row>
    <row r="416">
      <c r="A416" s="6" t="s">
        <v>760</v>
      </c>
      <c r="B416" s="2">
        <v>20.0</v>
      </c>
    </row>
    <row r="417">
      <c r="A417" s="6" t="s">
        <v>415</v>
      </c>
      <c r="B417" s="2" t="e">
        <v>#NUM!</v>
      </c>
    </row>
    <row r="418">
      <c r="A418" s="6" t="s">
        <v>510</v>
      </c>
      <c r="B418" s="2">
        <v>17.0</v>
      </c>
    </row>
    <row r="419">
      <c r="A419" s="6" t="s">
        <v>508</v>
      </c>
      <c r="B419" s="2">
        <v>23.0</v>
      </c>
    </row>
    <row r="420">
      <c r="A420" s="6" t="s">
        <v>506</v>
      </c>
      <c r="B420" s="2">
        <v>11.0</v>
      </c>
    </row>
    <row r="421">
      <c r="A421" s="6" t="s">
        <v>512</v>
      </c>
      <c r="B421" s="2">
        <v>0.0</v>
      </c>
    </row>
    <row r="422">
      <c r="A422" s="6" t="s">
        <v>819</v>
      </c>
      <c r="B422" s="2">
        <v>62.0</v>
      </c>
    </row>
    <row r="423">
      <c r="A423" s="6" t="s">
        <v>817</v>
      </c>
      <c r="B423" s="2">
        <v>58.0</v>
      </c>
    </row>
    <row r="424">
      <c r="A424" s="6" t="s">
        <v>815</v>
      </c>
      <c r="B424" s="2">
        <v>53.0</v>
      </c>
    </row>
    <row r="425">
      <c r="A425" s="6" t="s">
        <v>821</v>
      </c>
      <c r="B425" s="2">
        <v>47.0</v>
      </c>
    </row>
    <row r="426">
      <c r="A426" s="6" t="s">
        <v>709</v>
      </c>
      <c r="B426" s="2">
        <v>0.0</v>
      </c>
    </row>
    <row r="427">
      <c r="A427" s="6" t="s">
        <v>707</v>
      </c>
      <c r="B427" s="2">
        <v>30.0</v>
      </c>
    </row>
    <row r="428">
      <c r="A428" s="6" t="s">
        <v>705</v>
      </c>
      <c r="B428" s="2">
        <v>34.0</v>
      </c>
    </row>
    <row r="429">
      <c r="A429" s="6" t="s">
        <v>711</v>
      </c>
      <c r="B429" s="2">
        <v>12.0</v>
      </c>
    </row>
    <row r="430">
      <c r="A430" s="6" t="s">
        <v>822</v>
      </c>
      <c r="B430" s="2" t="e">
        <v>#NUM!</v>
      </c>
    </row>
    <row r="431">
      <c r="A431" s="6" t="s">
        <v>758</v>
      </c>
      <c r="B431" s="2">
        <v>20.0</v>
      </c>
    </row>
    <row r="432">
      <c r="A432" s="6" t="s">
        <v>413</v>
      </c>
      <c r="B432" s="2" t="e">
        <v>#NUM!</v>
      </c>
    </row>
    <row r="433">
      <c r="A433" s="6" t="s">
        <v>767</v>
      </c>
      <c r="B433" s="2">
        <v>28.0</v>
      </c>
    </row>
    <row r="434">
      <c r="A434" s="6" t="s">
        <v>35</v>
      </c>
      <c r="B434" s="2">
        <v>0.0</v>
      </c>
    </row>
    <row r="435">
      <c r="A435" s="6" t="s">
        <v>34</v>
      </c>
      <c r="B435" s="2">
        <v>0.0</v>
      </c>
    </row>
    <row r="436">
      <c r="A436" s="6" t="s">
        <v>32</v>
      </c>
      <c r="B436" s="2" t="e">
        <v>#NUM!</v>
      </c>
    </row>
    <row r="437">
      <c r="A437" s="6" t="s">
        <v>37</v>
      </c>
      <c r="B437" s="2">
        <v>0.0</v>
      </c>
    </row>
    <row r="438">
      <c r="A438" s="6" t="s">
        <v>28</v>
      </c>
      <c r="B438" s="2">
        <v>0.0</v>
      </c>
    </row>
    <row r="439">
      <c r="A439" s="6" t="s">
        <v>26</v>
      </c>
      <c r="B439" s="2">
        <v>0.0</v>
      </c>
    </row>
    <row r="440">
      <c r="A440" s="6" t="s">
        <v>23</v>
      </c>
      <c r="B440" s="2" t="e">
        <v>#NUM!</v>
      </c>
    </row>
    <row r="441">
      <c r="A441" s="6" t="s">
        <v>31</v>
      </c>
      <c r="B441" s="2">
        <v>0.0</v>
      </c>
    </row>
    <row r="442">
      <c r="A442" s="6" t="s">
        <v>41</v>
      </c>
      <c r="B442" s="2">
        <v>62.0</v>
      </c>
    </row>
    <row r="443">
      <c r="A443" s="6" t="s">
        <v>39</v>
      </c>
      <c r="B443" s="2">
        <v>58.0</v>
      </c>
    </row>
    <row r="444">
      <c r="A444" s="6" t="s">
        <v>38</v>
      </c>
      <c r="B444" s="2">
        <v>53.0</v>
      </c>
    </row>
    <row r="445">
      <c r="A445" s="6" t="s">
        <v>42</v>
      </c>
      <c r="B445" s="2">
        <v>47.0</v>
      </c>
    </row>
    <row r="446">
      <c r="A446" s="6" t="s">
        <v>21</v>
      </c>
      <c r="B446" s="2">
        <v>0.0</v>
      </c>
    </row>
    <row r="447">
      <c r="A447" s="6" t="s">
        <v>19</v>
      </c>
      <c r="B447" s="2">
        <v>30.0</v>
      </c>
    </row>
    <row r="448">
      <c r="A448" s="6" t="s">
        <v>17</v>
      </c>
      <c r="B448" s="2">
        <v>34.0</v>
      </c>
    </row>
    <row r="449">
      <c r="A449" s="6" t="s">
        <v>22</v>
      </c>
      <c r="B449" s="2">
        <v>12.0</v>
      </c>
    </row>
    <row r="450">
      <c r="A450" s="6" t="s">
        <v>628</v>
      </c>
      <c r="B450" s="2">
        <v>0.0</v>
      </c>
    </row>
    <row r="451">
      <c r="A451" s="6" t="s">
        <v>626</v>
      </c>
      <c r="B451" s="2">
        <v>0.0</v>
      </c>
    </row>
    <row r="452">
      <c r="A452" s="6" t="s">
        <v>622</v>
      </c>
      <c r="B452" s="2" t="e">
        <v>#NUM!</v>
      </c>
    </row>
    <row r="453">
      <c r="A453" s="6" t="s">
        <v>630</v>
      </c>
      <c r="B453" s="2">
        <v>0.0</v>
      </c>
    </row>
    <row r="454">
      <c r="A454" s="6" t="s">
        <v>661</v>
      </c>
      <c r="B454" s="2">
        <v>0.0</v>
      </c>
    </row>
    <row r="455">
      <c r="A455" s="6" t="s">
        <v>659</v>
      </c>
      <c r="B455" s="2" t="e">
        <v>#NUM!</v>
      </c>
    </row>
    <row r="456">
      <c r="A456" s="6" t="s">
        <v>660</v>
      </c>
      <c r="B456" s="2">
        <v>0.0</v>
      </c>
    </row>
    <row r="457">
      <c r="A457" s="6" t="s">
        <v>662</v>
      </c>
      <c r="B457" s="2">
        <v>0.0</v>
      </c>
    </row>
    <row r="458">
      <c r="A458" s="6" t="s">
        <v>657</v>
      </c>
      <c r="B458" s="2">
        <v>17.0</v>
      </c>
    </row>
    <row r="459">
      <c r="A459" s="6" t="s">
        <v>658</v>
      </c>
      <c r="B459" s="2">
        <v>34.0</v>
      </c>
    </row>
    <row r="460">
      <c r="A460" s="6" t="s">
        <v>655</v>
      </c>
      <c r="B460" s="2">
        <v>37.0</v>
      </c>
    </row>
    <row r="461">
      <c r="A461" s="6" t="s">
        <v>656</v>
      </c>
      <c r="B461" s="2">
        <v>38.0</v>
      </c>
    </row>
    <row r="462">
      <c r="A462" s="6" t="s">
        <v>848</v>
      </c>
      <c r="B462" s="2">
        <v>6.0</v>
      </c>
    </row>
    <row r="463">
      <c r="A463" s="6" t="s">
        <v>846</v>
      </c>
      <c r="B463" s="2" t="e">
        <v>#NUM!</v>
      </c>
    </row>
    <row r="464">
      <c r="A464" s="6" t="s">
        <v>849</v>
      </c>
      <c r="B464" s="2">
        <v>15.0</v>
      </c>
    </row>
    <row r="465">
      <c r="A465" s="6" t="s">
        <v>847</v>
      </c>
      <c r="B465" s="2">
        <v>0.0</v>
      </c>
    </row>
    <row r="466">
      <c r="A466" s="6" t="s">
        <v>852</v>
      </c>
      <c r="B466" s="2" t="e">
        <v>#NUM!</v>
      </c>
    </row>
    <row r="467">
      <c r="A467" s="6" t="s">
        <v>853</v>
      </c>
      <c r="B467" s="2">
        <v>15.0</v>
      </c>
    </row>
    <row r="468">
      <c r="A468" s="6" t="s">
        <v>850</v>
      </c>
      <c r="B468" s="2">
        <v>0.0</v>
      </c>
    </row>
    <row r="469">
      <c r="A469" s="6" t="s">
        <v>851</v>
      </c>
      <c r="B469" s="2">
        <v>0.0</v>
      </c>
    </row>
    <row r="470">
      <c r="A470" s="6" t="s">
        <v>836</v>
      </c>
      <c r="B470" s="2">
        <v>6.0</v>
      </c>
    </row>
    <row r="471">
      <c r="A471" s="6" t="s">
        <v>837</v>
      </c>
      <c r="B471" s="2">
        <v>15.0</v>
      </c>
    </row>
    <row r="472">
      <c r="A472" s="6" t="s">
        <v>834</v>
      </c>
      <c r="B472" s="2">
        <v>0.0</v>
      </c>
    </row>
    <row r="473">
      <c r="A473" s="6" t="s">
        <v>833</v>
      </c>
      <c r="B473" s="2" t="e">
        <v>#NUM!</v>
      </c>
    </row>
    <row r="474">
      <c r="A474" s="6" t="s">
        <v>840</v>
      </c>
      <c r="B474" s="2">
        <v>42.0</v>
      </c>
    </row>
    <row r="475">
      <c r="A475" s="6" t="s">
        <v>841</v>
      </c>
      <c r="B475" s="2">
        <v>39.0</v>
      </c>
    </row>
    <row r="476">
      <c r="A476" s="6" t="s">
        <v>839</v>
      </c>
      <c r="B476" s="2">
        <v>54.0</v>
      </c>
    </row>
    <row r="477">
      <c r="A477" s="6" t="s">
        <v>838</v>
      </c>
      <c r="B477" s="2">
        <v>35.0</v>
      </c>
    </row>
    <row r="478">
      <c r="A478" s="6" t="s">
        <v>472</v>
      </c>
      <c r="B478" s="2">
        <v>17.0</v>
      </c>
    </row>
    <row r="479">
      <c r="A479" s="6" t="s">
        <v>470</v>
      </c>
      <c r="B479" s="2">
        <v>38.0</v>
      </c>
    </row>
    <row r="480">
      <c r="A480" s="6" t="s">
        <v>467</v>
      </c>
      <c r="B480" s="2">
        <v>37.0</v>
      </c>
    </row>
    <row r="481">
      <c r="A481" s="6" t="s">
        <v>482</v>
      </c>
      <c r="B481" s="2">
        <v>34.0</v>
      </c>
    </row>
    <row r="482">
      <c r="A482" s="6" t="s">
        <v>830</v>
      </c>
      <c r="B482" s="2" t="e">
        <v>#NUM!</v>
      </c>
    </row>
    <row r="483">
      <c r="A483" s="6" t="s">
        <v>764</v>
      </c>
      <c r="B483" s="2">
        <v>20.0</v>
      </c>
    </row>
    <row r="484">
      <c r="A484" s="6" t="s">
        <v>490</v>
      </c>
      <c r="B484" s="2" t="e">
        <v>#NUM!</v>
      </c>
    </row>
    <row r="485">
      <c r="A485" s="6" t="s">
        <v>825</v>
      </c>
      <c r="B485" s="2">
        <v>28.0</v>
      </c>
    </row>
    <row r="486">
      <c r="A486" s="6" t="s">
        <v>828</v>
      </c>
      <c r="B486" s="2" t="e">
        <v>#NUM!</v>
      </c>
    </row>
    <row r="487">
      <c r="A487" s="6" t="s">
        <v>829</v>
      </c>
      <c r="B487" s="2">
        <v>15.0</v>
      </c>
    </row>
    <row r="488">
      <c r="A488" s="6" t="s">
        <v>827</v>
      </c>
      <c r="B488" s="2">
        <v>0.0</v>
      </c>
    </row>
    <row r="489">
      <c r="A489" s="6" t="s">
        <v>826</v>
      </c>
      <c r="B489" s="2">
        <v>0.0</v>
      </c>
    </row>
    <row r="490">
      <c r="A490" s="6" t="s">
        <v>770</v>
      </c>
      <c r="B490" s="2">
        <v>9.0</v>
      </c>
    </row>
    <row r="491">
      <c r="A491" s="6" t="s">
        <v>769</v>
      </c>
      <c r="B491" s="2">
        <v>13.0</v>
      </c>
    </row>
    <row r="492">
      <c r="A492" s="6" t="s">
        <v>768</v>
      </c>
      <c r="B492" s="2">
        <v>12.0</v>
      </c>
    </row>
    <row r="493">
      <c r="A493" s="6" t="s">
        <v>771</v>
      </c>
      <c r="B493" s="2">
        <v>15.0</v>
      </c>
    </row>
    <row r="494">
      <c r="A494" s="6" t="s">
        <v>635</v>
      </c>
      <c r="B494" s="2">
        <v>0.0</v>
      </c>
    </row>
    <row r="495">
      <c r="A495" s="6" t="s">
        <v>634</v>
      </c>
      <c r="B495" s="2" t="e">
        <v>#NUM!</v>
      </c>
    </row>
    <row r="496">
      <c r="A496" s="6" t="s">
        <v>637</v>
      </c>
      <c r="B496" s="2">
        <v>15.0</v>
      </c>
    </row>
    <row r="497">
      <c r="A497" s="6" t="s">
        <v>636</v>
      </c>
      <c r="B497" s="2">
        <v>6.0</v>
      </c>
    </row>
    <row r="498">
      <c r="A498" s="6" t="s">
        <v>463</v>
      </c>
      <c r="B498" s="2">
        <v>17.0</v>
      </c>
    </row>
    <row r="499">
      <c r="A499" s="6" t="s">
        <v>465</v>
      </c>
      <c r="B499" s="2">
        <v>0.0</v>
      </c>
    </row>
    <row r="500">
      <c r="A500" s="6" t="s">
        <v>460</v>
      </c>
      <c r="B500" s="2">
        <v>23.0</v>
      </c>
    </row>
    <row r="501">
      <c r="A501" s="6" t="s">
        <v>457</v>
      </c>
      <c r="B501" s="2">
        <v>11.0</v>
      </c>
    </row>
    <row r="502">
      <c r="A502" s="6" t="s">
        <v>302</v>
      </c>
      <c r="B502" s="2">
        <v>38.0</v>
      </c>
    </row>
    <row r="503">
      <c r="A503" s="6" t="s">
        <v>304</v>
      </c>
      <c r="B503" s="2">
        <v>17.0</v>
      </c>
    </row>
    <row r="504">
      <c r="A504" s="6" t="s">
        <v>306</v>
      </c>
      <c r="B504" s="2">
        <v>34.0</v>
      </c>
    </row>
    <row r="505">
      <c r="A505" s="6" t="s">
        <v>300</v>
      </c>
      <c r="B505" s="2">
        <v>37.0</v>
      </c>
    </row>
    <row r="506">
      <c r="A506" s="6" t="s">
        <v>638</v>
      </c>
      <c r="B506" s="2" t="e">
        <v>#NUM!</v>
      </c>
    </row>
    <row r="507">
      <c r="A507" s="6" t="s">
        <v>644</v>
      </c>
      <c r="B507" s="2">
        <v>0.0</v>
      </c>
    </row>
    <row r="508">
      <c r="A508" s="6" t="s">
        <v>641</v>
      </c>
      <c r="B508" s="2">
        <v>0.0</v>
      </c>
    </row>
    <row r="509">
      <c r="A509" s="6" t="s">
        <v>640</v>
      </c>
      <c r="B509" s="2">
        <v>0.0</v>
      </c>
    </row>
    <row r="510">
      <c r="A510" s="6" t="s">
        <v>608</v>
      </c>
      <c r="B510" s="2">
        <v>6.0</v>
      </c>
    </row>
    <row r="511">
      <c r="A511" s="6" t="s">
        <v>602</v>
      </c>
      <c r="B511" s="2" t="e">
        <v>#NUM!</v>
      </c>
    </row>
    <row r="512">
      <c r="A512" s="6" t="s">
        <v>605</v>
      </c>
      <c r="B512" s="2">
        <v>0.0</v>
      </c>
    </row>
    <row r="513">
      <c r="A513" s="6" t="s">
        <v>610</v>
      </c>
      <c r="B513" s="2">
        <v>15.0</v>
      </c>
    </row>
    <row r="514">
      <c r="A514" s="6" t="s">
        <v>412</v>
      </c>
      <c r="B514" s="2" t="e">
        <v>#NUM!</v>
      </c>
    </row>
    <row r="515">
      <c r="A515" s="6" t="s">
        <v>763</v>
      </c>
      <c r="B515" s="2">
        <v>28.0</v>
      </c>
    </row>
    <row r="516">
      <c r="A516" s="6" t="s">
        <v>757</v>
      </c>
      <c r="B516" s="2">
        <v>20.0</v>
      </c>
    </row>
    <row r="517">
      <c r="A517" s="6" t="s">
        <v>805</v>
      </c>
      <c r="B517" s="2" t="e">
        <v>#NUM!</v>
      </c>
    </row>
    <row r="518">
      <c r="A518" s="6" t="s">
        <v>759</v>
      </c>
      <c r="B518" s="2">
        <v>28.0</v>
      </c>
    </row>
    <row r="519">
      <c r="A519" s="6" t="s">
        <v>804</v>
      </c>
      <c r="B519" s="2" t="e">
        <v>#NUM!</v>
      </c>
    </row>
    <row r="520">
      <c r="A520" s="6" t="s">
        <v>756</v>
      </c>
      <c r="B520" s="2">
        <v>20.0</v>
      </c>
    </row>
    <row r="521">
      <c r="A521" s="6" t="s">
        <v>390</v>
      </c>
      <c r="B521" s="2" t="e">
        <v>#NUM!</v>
      </c>
    </row>
    <row r="522">
      <c r="A522" s="6" t="s">
        <v>451</v>
      </c>
      <c r="B522" s="2">
        <v>8.0</v>
      </c>
    </row>
    <row r="523">
      <c r="A523" s="6" t="s">
        <v>452</v>
      </c>
      <c r="B523" s="2">
        <v>9.0</v>
      </c>
    </row>
    <row r="524">
      <c r="A524" s="6" t="s">
        <v>453</v>
      </c>
      <c r="B524" s="2" t="e">
        <v>#NUM!</v>
      </c>
    </row>
    <row r="525">
      <c r="A525" s="6" t="s">
        <v>455</v>
      </c>
      <c r="B525" s="2">
        <v>6.0</v>
      </c>
    </row>
    <row r="526">
      <c r="A526" s="6" t="s">
        <v>788</v>
      </c>
      <c r="B526" s="2" t="e">
        <v>#NUM!</v>
      </c>
    </row>
    <row r="527">
      <c r="A527" s="6" t="s">
        <v>361</v>
      </c>
      <c r="B527" s="2" t="e">
        <v>#NUM!</v>
      </c>
    </row>
    <row r="528">
      <c r="A528" s="6" t="s">
        <v>553</v>
      </c>
      <c r="B528" s="2">
        <v>28.0</v>
      </c>
    </row>
    <row r="529">
      <c r="A529" s="6" t="s">
        <v>715</v>
      </c>
      <c r="B529" s="2">
        <v>20.0</v>
      </c>
    </row>
    <row r="530">
      <c r="A530" s="6" t="s">
        <v>860</v>
      </c>
      <c r="B530" s="2">
        <v>0.0</v>
      </c>
    </row>
    <row r="531">
      <c r="A531" s="6" t="s">
        <v>859</v>
      </c>
      <c r="B531" s="2">
        <v>0.0</v>
      </c>
    </row>
    <row r="532">
      <c r="A532" s="6" t="s">
        <v>858</v>
      </c>
      <c r="B532" s="2">
        <v>0.0</v>
      </c>
    </row>
    <row r="533">
      <c r="A533" s="6" t="s">
        <v>856</v>
      </c>
      <c r="B533" s="2" t="e">
        <v>#NUM!</v>
      </c>
    </row>
    <row r="534">
      <c r="A534" s="6" t="s">
        <v>791</v>
      </c>
      <c r="B534" s="2">
        <v>28.0</v>
      </c>
    </row>
    <row r="535">
      <c r="A535" s="6" t="s">
        <v>824</v>
      </c>
      <c r="B535" s="2" t="e">
        <v>#NUM!</v>
      </c>
    </row>
    <row r="536">
      <c r="A536" s="6" t="s">
        <v>485</v>
      </c>
      <c r="B536" s="2" t="e">
        <v>#NUM!</v>
      </c>
    </row>
    <row r="537">
      <c r="A537" s="6" t="s">
        <v>761</v>
      </c>
      <c r="B537" s="2">
        <v>20.0</v>
      </c>
    </row>
    <row r="538">
      <c r="A538" s="6" t="s">
        <v>577</v>
      </c>
      <c r="B538" s="2">
        <v>17.0</v>
      </c>
    </row>
    <row r="539">
      <c r="A539" s="6" t="s">
        <v>572</v>
      </c>
      <c r="B539" s="2">
        <v>37.0</v>
      </c>
    </row>
    <row r="540">
      <c r="A540" s="6" t="s">
        <v>579</v>
      </c>
      <c r="B540" s="2">
        <v>34.0</v>
      </c>
    </row>
    <row r="541">
      <c r="A541" s="6" t="s">
        <v>574</v>
      </c>
      <c r="B541" s="2">
        <v>38.0</v>
      </c>
    </row>
    <row r="542">
      <c r="A542" s="6" t="s">
        <v>359</v>
      </c>
      <c r="B542" s="2" t="e">
        <v>#NUM!</v>
      </c>
    </row>
    <row r="543">
      <c r="A543" s="6" t="s">
        <v>786</v>
      </c>
      <c r="B543" s="2" t="e">
        <v>#NUM!</v>
      </c>
    </row>
    <row r="544">
      <c r="A544" s="6" t="s">
        <v>493</v>
      </c>
      <c r="B544" s="2">
        <v>28.0</v>
      </c>
    </row>
    <row r="545">
      <c r="A545" s="6" t="s">
        <v>620</v>
      </c>
      <c r="B545" s="2">
        <v>20.0</v>
      </c>
    </row>
    <row r="546">
      <c r="A546" s="6" t="s">
        <v>781</v>
      </c>
      <c r="B546" s="2">
        <v>58.0</v>
      </c>
    </row>
    <row r="547">
      <c r="A547" s="6" t="s">
        <v>780</v>
      </c>
      <c r="B547" s="2">
        <v>53.0</v>
      </c>
    </row>
    <row r="548">
      <c r="A548" s="6" t="s">
        <v>785</v>
      </c>
      <c r="B548" s="2">
        <v>47.0</v>
      </c>
    </row>
    <row r="549">
      <c r="A549" s="6" t="s">
        <v>782</v>
      </c>
      <c r="B549" s="2">
        <v>62.0</v>
      </c>
    </row>
    <row r="550">
      <c r="A550" s="6" t="s">
        <v>865</v>
      </c>
      <c r="B550" s="2">
        <v>34.0</v>
      </c>
    </row>
    <row r="551">
      <c r="A551" s="6" t="s">
        <v>868</v>
      </c>
      <c r="B551" s="2">
        <v>12.0</v>
      </c>
    </row>
    <row r="552">
      <c r="A552" s="6" t="s">
        <v>866</v>
      </c>
      <c r="B552" s="2">
        <v>30.0</v>
      </c>
    </row>
    <row r="553">
      <c r="A553" s="6" t="s">
        <v>867</v>
      </c>
      <c r="B553" s="2">
        <v>0.0</v>
      </c>
    </row>
    <row r="554">
      <c r="A554" s="6" t="s">
        <v>440</v>
      </c>
      <c r="B554" s="2">
        <v>36.0</v>
      </c>
    </row>
    <row r="555">
      <c r="A555" s="6" t="s">
        <v>446</v>
      </c>
      <c r="B555" s="2">
        <v>25.0</v>
      </c>
    </row>
    <row r="556">
      <c r="A556" s="6" t="s">
        <v>442</v>
      </c>
      <c r="B556" s="2">
        <v>57.0</v>
      </c>
    </row>
    <row r="557">
      <c r="A557" s="6" t="s">
        <v>444</v>
      </c>
      <c r="B557" s="2">
        <v>31.0</v>
      </c>
    </row>
    <row r="558">
      <c r="A558" s="6" t="s">
        <v>807</v>
      </c>
      <c r="B558" s="2">
        <v>30.0</v>
      </c>
    </row>
    <row r="559">
      <c r="A559" s="6" t="s">
        <v>808</v>
      </c>
      <c r="B559" s="2">
        <v>0.0</v>
      </c>
    </row>
    <row r="560">
      <c r="A560" s="6" t="s">
        <v>806</v>
      </c>
      <c r="B560" s="2">
        <v>34.0</v>
      </c>
    </row>
    <row r="561">
      <c r="A561" s="6" t="s">
        <v>809</v>
      </c>
      <c r="B561" s="2">
        <v>12.0</v>
      </c>
    </row>
    <row r="562">
      <c r="A562" s="6" t="s">
        <v>434</v>
      </c>
      <c r="B562" s="2">
        <v>58.0</v>
      </c>
    </row>
    <row r="563">
      <c r="A563" s="6" t="s">
        <v>432</v>
      </c>
      <c r="B563" s="2">
        <v>53.0</v>
      </c>
    </row>
    <row r="564">
      <c r="A564" s="6" t="s">
        <v>436</v>
      </c>
      <c r="B564" s="2">
        <v>62.0</v>
      </c>
    </row>
    <row r="565">
      <c r="A565" s="6" t="s">
        <v>438</v>
      </c>
      <c r="B565" s="2">
        <v>47.0</v>
      </c>
    </row>
    <row r="566">
      <c r="A566" s="6" t="s">
        <v>405</v>
      </c>
      <c r="B566" s="2">
        <v>12.0</v>
      </c>
    </row>
    <row r="567">
      <c r="A567" s="6" t="s">
        <v>402</v>
      </c>
      <c r="B567" s="2">
        <v>30.0</v>
      </c>
    </row>
    <row r="568">
      <c r="A568" s="6" t="s">
        <v>403</v>
      </c>
      <c r="B568" s="2">
        <v>0.0</v>
      </c>
    </row>
    <row r="569">
      <c r="A569" s="6" t="s">
        <v>401</v>
      </c>
      <c r="B569" s="2">
        <v>34.0</v>
      </c>
    </row>
    <row r="570">
      <c r="A570" s="6" t="s">
        <v>752</v>
      </c>
      <c r="B570" s="2">
        <v>0.0</v>
      </c>
    </row>
    <row r="571">
      <c r="A571" s="6" t="s">
        <v>753</v>
      </c>
      <c r="B571" s="2">
        <v>0.0</v>
      </c>
    </row>
    <row r="572">
      <c r="A572" s="6" t="s">
        <v>754</v>
      </c>
      <c r="B572" s="2">
        <v>0.0</v>
      </c>
    </row>
    <row r="573">
      <c r="A573" s="6" t="s">
        <v>755</v>
      </c>
      <c r="B573" s="2">
        <v>0.0</v>
      </c>
    </row>
    <row r="574">
      <c r="A574" s="6" t="s">
        <v>618</v>
      </c>
      <c r="B574" s="2">
        <v>20.0</v>
      </c>
    </row>
    <row r="575">
      <c r="A575" s="6" t="s">
        <v>339</v>
      </c>
      <c r="B575" s="2" t="e">
        <v>#NUM!</v>
      </c>
    </row>
    <row r="576">
      <c r="A576" s="6" t="s">
        <v>391</v>
      </c>
      <c r="B576" s="2">
        <v>28.0</v>
      </c>
    </row>
    <row r="577">
      <c r="A577" s="6" t="s">
        <v>773</v>
      </c>
      <c r="B577" s="2" t="e">
        <v>#NUM!</v>
      </c>
    </row>
    <row r="578">
      <c r="A578" s="6" t="s">
        <v>399</v>
      </c>
      <c r="B578" s="2">
        <v>47.0</v>
      </c>
    </row>
    <row r="579">
      <c r="A579" s="6" t="s">
        <v>396</v>
      </c>
      <c r="B579" s="2">
        <v>53.0</v>
      </c>
    </row>
    <row r="580">
      <c r="A580" s="6" t="s">
        <v>398</v>
      </c>
      <c r="B580" s="2">
        <v>62.0</v>
      </c>
    </row>
    <row r="581">
      <c r="A581" s="6" t="s">
        <v>397</v>
      </c>
      <c r="B581" s="2">
        <v>58.0</v>
      </c>
    </row>
    <row r="582">
      <c r="A582" s="6" t="s">
        <v>862</v>
      </c>
      <c r="B582" s="2">
        <v>47.0</v>
      </c>
    </row>
    <row r="583">
      <c r="A583" s="6" t="s">
        <v>864</v>
      </c>
      <c r="B583" s="2">
        <v>17.0</v>
      </c>
    </row>
    <row r="584">
      <c r="A584" s="6" t="s">
        <v>863</v>
      </c>
      <c r="B584" s="2">
        <v>20.0</v>
      </c>
    </row>
    <row r="585">
      <c r="A585" s="6" t="s">
        <v>861</v>
      </c>
      <c r="B585" s="2">
        <v>33.0</v>
      </c>
    </row>
    <row r="586">
      <c r="A586" s="6" t="s">
        <v>844</v>
      </c>
      <c r="B586" s="2">
        <v>0.0</v>
      </c>
    </row>
    <row r="587">
      <c r="A587" s="6" t="s">
        <v>843</v>
      </c>
      <c r="B587" s="2">
        <v>0.0</v>
      </c>
    </row>
    <row r="588">
      <c r="A588" s="6" t="s">
        <v>842</v>
      </c>
      <c r="B588" s="2" t="e">
        <v>#NUM!</v>
      </c>
    </row>
    <row r="589">
      <c r="A589" s="6" t="s">
        <v>845</v>
      </c>
      <c r="B589" s="2">
        <v>0.0</v>
      </c>
    </row>
    <row r="590">
      <c r="A590" s="6" t="s">
        <v>591</v>
      </c>
      <c r="B590" s="2">
        <v>0.0</v>
      </c>
    </row>
    <row r="591">
      <c r="A591" s="6" t="s">
        <v>593</v>
      </c>
      <c r="B591" s="2">
        <v>0.0</v>
      </c>
    </row>
    <row r="592">
      <c r="A592" s="6" t="s">
        <v>589</v>
      </c>
      <c r="B592" s="2">
        <v>0.0</v>
      </c>
    </row>
    <row r="593">
      <c r="A593" s="6" t="s">
        <v>588</v>
      </c>
      <c r="B593" s="2">
        <v>0.0</v>
      </c>
    </row>
    <row r="594">
      <c r="A594" s="6" t="s">
        <v>890</v>
      </c>
      <c r="B594" s="2">
        <v>7.0</v>
      </c>
    </row>
    <row r="595">
      <c r="A595" s="6" t="s">
        <v>893</v>
      </c>
      <c r="B595" s="2">
        <v>7.0</v>
      </c>
    </row>
    <row r="596">
      <c r="A596" s="6" t="s">
        <v>891</v>
      </c>
      <c r="B596" s="2">
        <v>17.0</v>
      </c>
    </row>
    <row r="597">
      <c r="A597" s="6" t="s">
        <v>892</v>
      </c>
      <c r="B597" s="2">
        <v>10.0</v>
      </c>
    </row>
    <row r="598">
      <c r="A598" s="6" t="s">
        <v>896</v>
      </c>
      <c r="B598" s="2">
        <v>10.0</v>
      </c>
    </row>
    <row r="599">
      <c r="A599" s="6" t="s">
        <v>894</v>
      </c>
      <c r="B599" s="2">
        <v>7.0</v>
      </c>
    </row>
    <row r="600">
      <c r="A600" s="6" t="s">
        <v>897</v>
      </c>
      <c r="B600" s="2">
        <v>7.0</v>
      </c>
    </row>
    <row r="601">
      <c r="A601" s="6" t="s">
        <v>895</v>
      </c>
      <c r="B601" s="2">
        <v>17.0</v>
      </c>
    </row>
    <row r="602">
      <c r="A602" s="6" t="s">
        <v>873</v>
      </c>
      <c r="B602" s="2">
        <v>7.0</v>
      </c>
    </row>
    <row r="603">
      <c r="A603" s="6" t="s">
        <v>875</v>
      </c>
      <c r="B603" s="2">
        <v>10.0</v>
      </c>
    </row>
    <row r="604">
      <c r="A604" s="6" t="s">
        <v>874</v>
      </c>
      <c r="B604" s="2">
        <v>17.0</v>
      </c>
    </row>
    <row r="605">
      <c r="A605" s="6" t="s">
        <v>876</v>
      </c>
      <c r="B605" s="2">
        <v>7.0</v>
      </c>
    </row>
    <row r="606">
      <c r="A606" s="6" t="s">
        <v>888</v>
      </c>
      <c r="B606" s="2">
        <v>10.0</v>
      </c>
    </row>
    <row r="607">
      <c r="A607" s="6" t="s">
        <v>885</v>
      </c>
      <c r="B607" s="2">
        <v>7.0</v>
      </c>
    </row>
    <row r="608">
      <c r="A608" s="6" t="s">
        <v>887</v>
      </c>
      <c r="B608" s="2">
        <v>17.0</v>
      </c>
    </row>
    <row r="609">
      <c r="A609" s="6" t="s">
        <v>889</v>
      </c>
      <c r="B609" s="2">
        <v>7.0</v>
      </c>
    </row>
    <row r="610">
      <c r="A610" s="6" t="s">
        <v>869</v>
      </c>
      <c r="B610" s="2">
        <v>7.0</v>
      </c>
    </row>
    <row r="611">
      <c r="A611" s="6" t="s">
        <v>871</v>
      </c>
      <c r="B611" s="2">
        <v>10.0</v>
      </c>
    </row>
    <row r="612">
      <c r="A612" s="6" t="s">
        <v>870</v>
      </c>
      <c r="B612" s="2">
        <v>17.0</v>
      </c>
    </row>
    <row r="613">
      <c r="A613" s="6" t="s">
        <v>872</v>
      </c>
      <c r="B613" s="2">
        <v>7.0</v>
      </c>
    </row>
    <row r="614">
      <c r="A614" s="6" t="s">
        <v>880</v>
      </c>
      <c r="B614" s="2">
        <v>7.0</v>
      </c>
    </row>
    <row r="615">
      <c r="A615" s="6" t="s">
        <v>879</v>
      </c>
      <c r="B615" s="2">
        <v>10.0</v>
      </c>
    </row>
    <row r="616">
      <c r="A616" s="6" t="s">
        <v>878</v>
      </c>
      <c r="B616" s="2">
        <v>17.0</v>
      </c>
    </row>
    <row r="617">
      <c r="A617" s="6" t="s">
        <v>877</v>
      </c>
      <c r="B617" s="2">
        <v>7.0</v>
      </c>
    </row>
    <row r="618">
      <c r="A618" s="6" t="s">
        <v>881</v>
      </c>
      <c r="B618" s="2">
        <v>7.0</v>
      </c>
    </row>
    <row r="619">
      <c r="A619" s="6" t="s">
        <v>884</v>
      </c>
      <c r="B619" s="2">
        <v>7.0</v>
      </c>
    </row>
    <row r="620">
      <c r="A620" s="6" t="s">
        <v>882</v>
      </c>
      <c r="B620" s="2">
        <v>17.0</v>
      </c>
    </row>
    <row r="621">
      <c r="A621" s="6" t="s">
        <v>883</v>
      </c>
      <c r="B621" s="2">
        <v>10.0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0"/>
  </cols>
  <sheetData>
    <row r="1">
      <c r="A1" s="1" t="s">
        <v>1</v>
      </c>
      <c r="B1" s="2" t="s">
        <v>5</v>
      </c>
    </row>
    <row r="2">
      <c r="A2" s="2"/>
      <c r="B2" s="2"/>
    </row>
    <row r="3">
      <c r="A3" s="2"/>
      <c r="B3" s="2"/>
    </row>
    <row r="4">
      <c r="A4" s="2"/>
      <c r="B4" s="2"/>
    </row>
    <row r="5">
      <c r="A5" s="2"/>
      <c r="B5" s="2"/>
    </row>
    <row r="6">
      <c r="A6" s="2"/>
      <c r="B6" s="2"/>
    </row>
    <row r="7">
      <c r="A7" s="2"/>
      <c r="B7" s="2"/>
    </row>
    <row r="8">
      <c r="A8" s="2"/>
      <c r="B8" s="2"/>
    </row>
    <row r="9">
      <c r="A9" s="2"/>
      <c r="B9" s="2"/>
    </row>
    <row r="10">
      <c r="A10" s="2"/>
      <c r="B10" s="2"/>
    </row>
    <row r="11">
      <c r="A11" s="2"/>
      <c r="B11" s="2"/>
    </row>
    <row r="12">
      <c r="A12" s="2"/>
      <c r="B12" s="2"/>
    </row>
    <row r="13">
      <c r="A13" s="2"/>
      <c r="B13" s="2"/>
    </row>
    <row r="14">
      <c r="A14" s="2"/>
      <c r="B14" s="2"/>
    </row>
    <row r="15">
      <c r="A15" s="2"/>
      <c r="B15" s="2"/>
    </row>
    <row r="16">
      <c r="A16" s="2"/>
      <c r="B16" s="2"/>
    </row>
    <row r="17">
      <c r="A17" s="2"/>
      <c r="B17" s="2"/>
    </row>
    <row r="18">
      <c r="A18" s="2"/>
      <c r="B18" s="2"/>
    </row>
    <row r="19">
      <c r="A19" s="2"/>
      <c r="B19" s="2"/>
    </row>
    <row r="20">
      <c r="A20" s="2"/>
      <c r="B20" s="2"/>
    </row>
    <row r="21">
      <c r="A21" s="2"/>
      <c r="B21" s="2"/>
    </row>
    <row r="22">
      <c r="A22" s="2"/>
      <c r="B22" s="2"/>
    </row>
    <row r="23">
      <c r="A23" s="2"/>
      <c r="B23" s="2"/>
    </row>
    <row r="24">
      <c r="A24" s="2"/>
      <c r="B24" s="2"/>
    </row>
    <row r="25">
      <c r="A25" s="2"/>
      <c r="B25" s="2"/>
    </row>
    <row r="26">
      <c r="A26" s="2"/>
      <c r="B26" s="2"/>
    </row>
    <row r="27">
      <c r="A27" s="2"/>
      <c r="B27" s="2"/>
    </row>
    <row r="28">
      <c r="A28" s="2"/>
      <c r="B28" s="2"/>
    </row>
    <row r="29">
      <c r="A29" s="2"/>
      <c r="B29" s="2"/>
    </row>
    <row r="30">
      <c r="A30" s="2"/>
      <c r="B30" s="2"/>
    </row>
    <row r="31">
      <c r="A31" s="2"/>
      <c r="B31" s="2"/>
    </row>
    <row r="32">
      <c r="A32" s="2"/>
      <c r="B32" s="2"/>
    </row>
    <row r="33">
      <c r="A33" s="2"/>
      <c r="B33" s="2"/>
    </row>
    <row r="34">
      <c r="A34" s="2"/>
      <c r="B34" s="2"/>
    </row>
    <row r="35">
      <c r="A35" s="2"/>
      <c r="B35" s="2"/>
    </row>
    <row r="36">
      <c r="A36" s="2"/>
      <c r="B36" s="2"/>
    </row>
    <row r="37">
      <c r="A37" s="2"/>
      <c r="B37" s="2"/>
    </row>
    <row r="38">
      <c r="A38" s="2"/>
      <c r="B38" s="2"/>
    </row>
    <row r="39">
      <c r="A39" s="2"/>
      <c r="B39" s="2"/>
    </row>
    <row r="40">
      <c r="A40" s="2"/>
      <c r="B40" s="2"/>
    </row>
    <row r="41">
      <c r="A41" s="2"/>
      <c r="B41" s="2"/>
    </row>
    <row r="42">
      <c r="A42" s="2"/>
      <c r="B42" s="2"/>
    </row>
    <row r="43">
      <c r="A43" s="2"/>
      <c r="B43" s="2"/>
    </row>
    <row r="44">
      <c r="A44" s="2"/>
      <c r="B44" s="2"/>
    </row>
    <row r="45">
      <c r="A45" s="2"/>
      <c r="B45" s="2"/>
    </row>
    <row r="46">
      <c r="A46" s="2"/>
      <c r="B46" s="2"/>
    </row>
    <row r="47">
      <c r="A47" s="2"/>
      <c r="B47" s="2"/>
    </row>
    <row r="48">
      <c r="A48" s="2"/>
      <c r="B48" s="2"/>
    </row>
    <row r="49">
      <c r="A49" s="2"/>
      <c r="B49" s="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13"/>
    <col customWidth="1" min="2" max="2" width="16.75"/>
  </cols>
  <sheetData>
    <row r="1">
      <c r="A1" s="10" t="s">
        <v>194</v>
      </c>
      <c r="B1" s="10" t="s">
        <v>201</v>
      </c>
    </row>
    <row r="2">
      <c r="A2" s="2" t="s">
        <v>67</v>
      </c>
      <c r="B2" s="11">
        <v>46279.80265046296</v>
      </c>
    </row>
    <row r="3">
      <c r="A3" s="2" t="s">
        <v>68</v>
      </c>
      <c r="B3" s="11">
        <v>46279.80265046296</v>
      </c>
    </row>
    <row r="4">
      <c r="A4" s="2" t="s">
        <v>70</v>
      </c>
      <c r="B4" s="11">
        <v>46279.80265046296</v>
      </c>
    </row>
    <row r="5">
      <c r="A5" s="2" t="s">
        <v>71</v>
      </c>
      <c r="B5" s="11">
        <v>46279.80265046296</v>
      </c>
    </row>
    <row r="6">
      <c r="A6" s="2" t="s">
        <v>72</v>
      </c>
      <c r="B6" s="11">
        <v>46279.80265046296</v>
      </c>
    </row>
    <row r="7">
      <c r="A7" s="2" t="s">
        <v>74</v>
      </c>
      <c r="B7" s="11">
        <v>46279.80265046296</v>
      </c>
    </row>
    <row r="8">
      <c r="A8" s="2" t="s">
        <v>75</v>
      </c>
      <c r="B8" s="11">
        <v>46279.80265046296</v>
      </c>
    </row>
    <row r="9">
      <c r="A9" s="2" t="s">
        <v>77</v>
      </c>
      <c r="B9" s="11">
        <v>46279.80265046296</v>
      </c>
    </row>
    <row r="10">
      <c r="A10" s="2" t="s">
        <v>104</v>
      </c>
      <c r="B10" s="11">
        <v>46279.80265046296</v>
      </c>
    </row>
    <row r="11">
      <c r="A11" s="2" t="s">
        <v>105</v>
      </c>
      <c r="B11" s="11">
        <v>46279.80265046296</v>
      </c>
    </row>
    <row r="12">
      <c r="A12" s="2" t="s">
        <v>107</v>
      </c>
      <c r="B12" s="11">
        <v>46279.80265046296</v>
      </c>
    </row>
    <row r="13">
      <c r="A13" s="2" t="s">
        <v>108</v>
      </c>
      <c r="B13" s="11">
        <v>46279.80265046296</v>
      </c>
    </row>
    <row r="14">
      <c r="A14" s="2" t="s">
        <v>188</v>
      </c>
      <c r="B14" s="11">
        <v>46279.80265046296</v>
      </c>
    </row>
    <row r="15">
      <c r="A15" s="2" t="s">
        <v>190</v>
      </c>
      <c r="B15" s="11">
        <v>46279.80265046296</v>
      </c>
    </row>
    <row r="16">
      <c r="A16" s="2" t="s">
        <v>192</v>
      </c>
      <c r="B16" s="11">
        <v>46279.80265046296</v>
      </c>
    </row>
    <row r="17">
      <c r="A17" s="2" t="s">
        <v>195</v>
      </c>
      <c r="B17" s="11">
        <v>46279.80265046296</v>
      </c>
    </row>
    <row r="18">
      <c r="A18" s="2" t="s">
        <v>215</v>
      </c>
      <c r="B18" s="11">
        <v>46279.80265046296</v>
      </c>
    </row>
    <row r="19">
      <c r="A19" s="2" t="s">
        <v>217</v>
      </c>
      <c r="B19" s="11">
        <v>46279.80265046296</v>
      </c>
    </row>
    <row r="20">
      <c r="A20" s="2" t="s">
        <v>218</v>
      </c>
      <c r="B20" s="11">
        <v>46279.80265046296</v>
      </c>
    </row>
    <row r="21">
      <c r="A21" s="2" t="s">
        <v>221</v>
      </c>
      <c r="B21" s="11">
        <v>46279.80265046296</v>
      </c>
    </row>
    <row r="22">
      <c r="A22" s="2" t="s">
        <v>224</v>
      </c>
      <c r="B22" s="11">
        <v>46279.80265046296</v>
      </c>
    </row>
    <row r="23">
      <c r="A23" s="2" t="s">
        <v>225</v>
      </c>
      <c r="B23" s="11">
        <v>46279.80265046296</v>
      </c>
    </row>
    <row r="24">
      <c r="A24" s="2" t="s">
        <v>227</v>
      </c>
      <c r="B24" s="11">
        <v>46279.80265046296</v>
      </c>
    </row>
    <row r="25">
      <c r="A25" s="2" t="s">
        <v>229</v>
      </c>
      <c r="B25" s="11">
        <v>46279.80265046296</v>
      </c>
    </row>
    <row r="26">
      <c r="A26" s="2" t="s">
        <v>230</v>
      </c>
      <c r="B26" s="11">
        <v>46279.80265046296</v>
      </c>
    </row>
    <row r="27">
      <c r="A27" s="2" t="s">
        <v>232</v>
      </c>
      <c r="B27" s="11">
        <v>46279.80265046296</v>
      </c>
    </row>
    <row r="28">
      <c r="A28" s="2" t="s">
        <v>234</v>
      </c>
      <c r="B28" s="11">
        <v>46279.80265046296</v>
      </c>
    </row>
    <row r="29">
      <c r="A29" s="2" t="s">
        <v>235</v>
      </c>
      <c r="B29" s="11">
        <v>46279.80265046296</v>
      </c>
    </row>
    <row r="30">
      <c r="A30" s="2" t="s">
        <v>237</v>
      </c>
      <c r="B30" s="11">
        <v>46279.80265046296</v>
      </c>
    </row>
    <row r="31">
      <c r="A31" s="2" t="s">
        <v>239</v>
      </c>
      <c r="B31" s="11">
        <v>46279.80265046296</v>
      </c>
    </row>
    <row r="32">
      <c r="A32" s="2" t="s">
        <v>241</v>
      </c>
      <c r="B32" s="11">
        <v>46279.80265046296</v>
      </c>
    </row>
    <row r="33">
      <c r="A33" s="2" t="s">
        <v>242</v>
      </c>
      <c r="B33" s="11">
        <v>46279.80265046296</v>
      </c>
    </row>
    <row r="34">
      <c r="A34" s="2" t="s">
        <v>244</v>
      </c>
      <c r="B34" s="11">
        <v>46279.80265046296</v>
      </c>
    </row>
    <row r="35">
      <c r="A35" s="2" t="s">
        <v>246</v>
      </c>
      <c r="B35" s="11">
        <v>46279.80265046296</v>
      </c>
    </row>
    <row r="36">
      <c r="A36" s="2" t="s">
        <v>248</v>
      </c>
      <c r="B36" s="11">
        <v>46279.80265046296</v>
      </c>
    </row>
    <row r="37">
      <c r="A37" s="2" t="s">
        <v>249</v>
      </c>
      <c r="B37" s="11">
        <v>46279.80265046296</v>
      </c>
    </row>
    <row r="38">
      <c r="A38" s="2" t="s">
        <v>251</v>
      </c>
      <c r="B38" s="11">
        <v>46279.80265046296</v>
      </c>
    </row>
    <row r="39">
      <c r="A39" s="2" t="s">
        <v>253</v>
      </c>
      <c r="B39" s="11">
        <v>46279.80265046296</v>
      </c>
    </row>
    <row r="40">
      <c r="A40" s="2" t="s">
        <v>255</v>
      </c>
      <c r="B40" s="11">
        <v>46279.80265046296</v>
      </c>
    </row>
    <row r="41">
      <c r="A41" s="2" t="s">
        <v>256</v>
      </c>
      <c r="B41" s="11">
        <v>46279.80265046296</v>
      </c>
    </row>
    <row r="42">
      <c r="A42" s="2" t="s">
        <v>257</v>
      </c>
      <c r="B42" s="11">
        <v>46279.80265046296</v>
      </c>
    </row>
    <row r="43">
      <c r="A43" s="2" t="s">
        <v>259</v>
      </c>
      <c r="B43" s="11">
        <v>46279.80265046296</v>
      </c>
    </row>
    <row r="44">
      <c r="A44" s="2" t="s">
        <v>260</v>
      </c>
      <c r="B44" s="11">
        <v>46279.80265046296</v>
      </c>
    </row>
    <row r="45">
      <c r="A45" s="2" t="s">
        <v>262</v>
      </c>
      <c r="B45" s="11">
        <v>46279.80265046296</v>
      </c>
    </row>
    <row r="46">
      <c r="A46" s="2" t="s">
        <v>263</v>
      </c>
      <c r="B46" s="11">
        <v>46279.80265046296</v>
      </c>
    </row>
    <row r="47">
      <c r="A47" s="2" t="s">
        <v>265</v>
      </c>
      <c r="B47" s="11">
        <v>46279.80265046296</v>
      </c>
    </row>
    <row r="48">
      <c r="A48" s="2" t="s">
        <v>267</v>
      </c>
      <c r="B48" s="11">
        <v>46279.80265046296</v>
      </c>
    </row>
    <row r="49">
      <c r="A49" s="2" t="s">
        <v>268</v>
      </c>
      <c r="B49" s="11">
        <v>46279.80265046296</v>
      </c>
    </row>
    <row r="50">
      <c r="A50" s="2" t="s">
        <v>270</v>
      </c>
      <c r="B50" s="11">
        <v>46279.80265046296</v>
      </c>
    </row>
    <row r="51">
      <c r="A51" s="2" t="s">
        <v>272</v>
      </c>
      <c r="B51" s="11">
        <v>46279.80265046296</v>
      </c>
    </row>
    <row r="52">
      <c r="A52" s="2" t="s">
        <v>274</v>
      </c>
      <c r="B52" s="11">
        <v>46279.80265046296</v>
      </c>
    </row>
    <row r="53">
      <c r="A53" s="2" t="s">
        <v>276</v>
      </c>
      <c r="B53" s="11">
        <v>46279.80265046296</v>
      </c>
    </row>
    <row r="54">
      <c r="A54" s="2" t="s">
        <v>279</v>
      </c>
      <c r="B54" s="11">
        <v>46279.80265046296</v>
      </c>
    </row>
    <row r="55">
      <c r="A55" s="2" t="s">
        <v>281</v>
      </c>
      <c r="B55" s="11">
        <v>46279.80265046296</v>
      </c>
    </row>
    <row r="56">
      <c r="A56" s="2" t="s">
        <v>284</v>
      </c>
      <c r="B56" s="11">
        <v>46279.80265046296</v>
      </c>
    </row>
    <row r="57">
      <c r="A57" s="2" t="s">
        <v>286</v>
      </c>
      <c r="B57" s="11">
        <v>46279.80265046296</v>
      </c>
    </row>
    <row r="58">
      <c r="A58" s="2" t="s">
        <v>287</v>
      </c>
      <c r="B58" s="11">
        <v>46279.80265046296</v>
      </c>
    </row>
    <row r="59">
      <c r="A59" s="2" t="s">
        <v>288</v>
      </c>
      <c r="B59" s="11">
        <v>46279.80265046296</v>
      </c>
    </row>
    <row r="60">
      <c r="A60" s="2" t="s">
        <v>289</v>
      </c>
      <c r="B60" s="11">
        <v>46279.80265046296</v>
      </c>
    </row>
    <row r="61">
      <c r="A61" s="2" t="s">
        <v>290</v>
      </c>
      <c r="B61" s="11">
        <v>46279.80265046296</v>
      </c>
    </row>
    <row r="62">
      <c r="A62" s="2" t="s">
        <v>291</v>
      </c>
      <c r="B62" s="11">
        <v>46279.80265046296</v>
      </c>
    </row>
    <row r="63">
      <c r="A63" s="2" t="s">
        <v>293</v>
      </c>
      <c r="B63" s="11">
        <v>46279.80265046296</v>
      </c>
    </row>
    <row r="64">
      <c r="A64" s="2" t="s">
        <v>295</v>
      </c>
      <c r="B64" s="11">
        <v>46279.80265046296</v>
      </c>
    </row>
    <row r="65">
      <c r="A65" s="2" t="s">
        <v>297</v>
      </c>
      <c r="B65" s="11">
        <v>46279.80265046296</v>
      </c>
    </row>
    <row r="66">
      <c r="A66" s="2" t="s">
        <v>299</v>
      </c>
      <c r="B66" s="11">
        <v>46279.80265046296</v>
      </c>
    </row>
    <row r="67">
      <c r="A67" s="2" t="s">
        <v>301</v>
      </c>
      <c r="B67" s="11">
        <v>46279.80265046296</v>
      </c>
    </row>
    <row r="68">
      <c r="A68" s="2" t="s">
        <v>303</v>
      </c>
      <c r="B68" s="11">
        <v>46279.80265046296</v>
      </c>
    </row>
    <row r="69">
      <c r="A69" s="2" t="s">
        <v>305</v>
      </c>
      <c r="B69" s="11">
        <v>46279.80265046296</v>
      </c>
    </row>
    <row r="70">
      <c r="A70" s="2" t="s">
        <v>307</v>
      </c>
      <c r="B70" s="11">
        <v>46279.80265046296</v>
      </c>
    </row>
    <row r="71">
      <c r="A71" s="2" t="s">
        <v>310</v>
      </c>
      <c r="B71" s="11">
        <v>46279.80265046296</v>
      </c>
    </row>
    <row r="72">
      <c r="A72" s="2" t="s">
        <v>313</v>
      </c>
      <c r="B72" s="11">
        <v>46279.80265046296</v>
      </c>
    </row>
    <row r="73">
      <c r="A73" s="2" t="s">
        <v>316</v>
      </c>
      <c r="B73" s="11">
        <v>46279.80265046296</v>
      </c>
    </row>
    <row r="74">
      <c r="A74" s="2" t="s">
        <v>319</v>
      </c>
      <c r="B74" s="11">
        <v>46279.80265046296</v>
      </c>
    </row>
    <row r="75">
      <c r="A75" s="2" t="s">
        <v>320</v>
      </c>
      <c r="B75" s="11">
        <v>46279.80265046296</v>
      </c>
    </row>
    <row r="76">
      <c r="A76" s="2" t="s">
        <v>321</v>
      </c>
      <c r="B76" s="11">
        <v>46279.80265046296</v>
      </c>
    </row>
    <row r="77">
      <c r="A77" s="2" t="s">
        <v>322</v>
      </c>
      <c r="B77" s="11">
        <v>46279.80265046296</v>
      </c>
    </row>
    <row r="78">
      <c r="A78" s="2" t="s">
        <v>323</v>
      </c>
      <c r="B78" s="11">
        <v>46279.80265046296</v>
      </c>
    </row>
    <row r="79">
      <c r="A79" s="2" t="s">
        <v>325</v>
      </c>
      <c r="B79" s="11">
        <v>46279.80265046296</v>
      </c>
    </row>
    <row r="80">
      <c r="A80" s="2" t="s">
        <v>327</v>
      </c>
      <c r="B80" s="11">
        <v>46279.80265046296</v>
      </c>
    </row>
    <row r="81">
      <c r="A81" s="2" t="s">
        <v>329</v>
      </c>
      <c r="B81" s="11">
        <v>46279.80265046296</v>
      </c>
    </row>
    <row r="82">
      <c r="A82" s="2" t="s">
        <v>331</v>
      </c>
      <c r="B82" s="11">
        <v>46279.80265046296</v>
      </c>
    </row>
    <row r="83">
      <c r="A83" s="2" t="s">
        <v>332</v>
      </c>
      <c r="B83" s="11">
        <v>46279.80265046296</v>
      </c>
    </row>
    <row r="84">
      <c r="A84" s="2" t="s">
        <v>333</v>
      </c>
      <c r="B84" s="11">
        <v>46279.80265046296</v>
      </c>
    </row>
    <row r="85">
      <c r="A85" s="2" t="s">
        <v>334</v>
      </c>
      <c r="B85" s="11">
        <v>46279.80265046296</v>
      </c>
    </row>
    <row r="86">
      <c r="A86" s="2" t="s">
        <v>336</v>
      </c>
      <c r="B86" s="11">
        <v>46279.80265046296</v>
      </c>
    </row>
    <row r="87">
      <c r="A87" s="2" t="s">
        <v>338</v>
      </c>
      <c r="B87" s="11">
        <v>46279.80265046296</v>
      </c>
    </row>
    <row r="88">
      <c r="A88" s="2" t="s">
        <v>340</v>
      </c>
      <c r="B88" s="11">
        <v>46279.80265046296</v>
      </c>
    </row>
    <row r="89">
      <c r="A89" s="2" t="s">
        <v>342</v>
      </c>
      <c r="B89" s="11">
        <v>46279.80265046296</v>
      </c>
    </row>
    <row r="90">
      <c r="A90" s="2" t="s">
        <v>344</v>
      </c>
      <c r="B90" s="11">
        <v>46279.80265046296</v>
      </c>
    </row>
    <row r="91">
      <c r="A91" s="2" t="s">
        <v>346</v>
      </c>
      <c r="B91" s="11">
        <v>46279.80265046296</v>
      </c>
    </row>
    <row r="92">
      <c r="A92" s="2" t="s">
        <v>348</v>
      </c>
      <c r="B92" s="11">
        <v>46279.80265046296</v>
      </c>
    </row>
    <row r="93">
      <c r="A93" s="2" t="s">
        <v>351</v>
      </c>
      <c r="B93" s="11">
        <v>46279.80265046296</v>
      </c>
    </row>
    <row r="94">
      <c r="A94" s="2" t="s">
        <v>353</v>
      </c>
      <c r="B94" s="11">
        <v>46279.80265046296</v>
      </c>
    </row>
    <row r="95">
      <c r="A95" s="2" t="s">
        <v>354</v>
      </c>
      <c r="B95" s="11">
        <v>46279.80265046296</v>
      </c>
    </row>
    <row r="96">
      <c r="A96" s="2" t="s">
        <v>355</v>
      </c>
      <c r="B96" s="11">
        <v>46279.80265046296</v>
      </c>
    </row>
    <row r="97">
      <c r="A97" s="2" t="s">
        <v>356</v>
      </c>
      <c r="B97" s="11">
        <v>46279.80265046296</v>
      </c>
    </row>
    <row r="98">
      <c r="A98" s="2" t="s">
        <v>357</v>
      </c>
      <c r="B98" s="11">
        <v>46279.80265046296</v>
      </c>
    </row>
    <row r="99">
      <c r="A99" s="2" t="s">
        <v>358</v>
      </c>
      <c r="B99" s="11">
        <v>46279.80265046296</v>
      </c>
    </row>
    <row r="100">
      <c r="A100" s="2" t="s">
        <v>360</v>
      </c>
      <c r="B100" s="11">
        <v>46279.80265046296</v>
      </c>
    </row>
    <row r="101">
      <c r="A101" s="2" t="s">
        <v>363</v>
      </c>
      <c r="B101" s="11">
        <v>46279.80265046296</v>
      </c>
    </row>
    <row r="102">
      <c r="A102" s="2" t="s">
        <v>364</v>
      </c>
      <c r="B102" s="11">
        <v>46279.80265046296</v>
      </c>
    </row>
    <row r="103">
      <c r="A103" s="2" t="s">
        <v>365</v>
      </c>
      <c r="B103" s="11">
        <v>46279.80265046296</v>
      </c>
    </row>
    <row r="104">
      <c r="A104" s="2" t="s">
        <v>366</v>
      </c>
      <c r="B104" s="11">
        <v>46279.80265046296</v>
      </c>
    </row>
    <row r="105">
      <c r="A105" s="2" t="s">
        <v>367</v>
      </c>
      <c r="B105" s="11">
        <v>46279.80265046296</v>
      </c>
    </row>
    <row r="106">
      <c r="A106" s="2" t="s">
        <v>368</v>
      </c>
      <c r="B106" s="11">
        <v>46279.80265046296</v>
      </c>
    </row>
    <row r="107">
      <c r="A107" s="2" t="s">
        <v>369</v>
      </c>
      <c r="B107" s="11">
        <v>46279.80265046296</v>
      </c>
    </row>
    <row r="108">
      <c r="A108" s="2" t="s">
        <v>371</v>
      </c>
      <c r="B108" s="11">
        <v>46279.80265046296</v>
      </c>
    </row>
    <row r="109">
      <c r="A109" s="2" t="s">
        <v>374</v>
      </c>
      <c r="B109" s="11">
        <v>46279.80265046296</v>
      </c>
    </row>
    <row r="110">
      <c r="A110" s="2" t="s">
        <v>376</v>
      </c>
      <c r="B110" s="11">
        <v>46279.80265046296</v>
      </c>
    </row>
    <row r="111">
      <c r="A111" s="2" t="s">
        <v>379</v>
      </c>
      <c r="B111" s="11">
        <v>46279.80265046296</v>
      </c>
    </row>
    <row r="112">
      <c r="A112" s="2" t="s">
        <v>382</v>
      </c>
      <c r="B112" s="11">
        <v>46279.80265046296</v>
      </c>
    </row>
    <row r="113">
      <c r="A113" s="2" t="s">
        <v>385</v>
      </c>
      <c r="B113" s="11">
        <v>46279.80265046296</v>
      </c>
    </row>
    <row r="114">
      <c r="A114" s="2" t="s">
        <v>404</v>
      </c>
      <c r="B114" s="11">
        <v>46279.80265046296</v>
      </c>
    </row>
    <row r="115">
      <c r="A115" s="2" t="s">
        <v>407</v>
      </c>
      <c r="B115" s="11">
        <v>46279.80265046296</v>
      </c>
    </row>
    <row r="116">
      <c r="A116" s="2" t="s">
        <v>410</v>
      </c>
      <c r="B116" s="11">
        <v>46279.80265046296</v>
      </c>
    </row>
    <row r="117">
      <c r="A117" s="2" t="s">
        <v>414</v>
      </c>
      <c r="B117" s="11">
        <v>46279.80265046296</v>
      </c>
    </row>
    <row r="118">
      <c r="A118" s="2" t="s">
        <v>416</v>
      </c>
      <c r="B118" s="11">
        <v>46279.80265046296</v>
      </c>
    </row>
    <row r="119">
      <c r="A119" s="2" t="s">
        <v>419</v>
      </c>
      <c r="B119" s="11">
        <v>46279.80265046296</v>
      </c>
    </row>
    <row r="120">
      <c r="A120" s="2" t="s">
        <v>423</v>
      </c>
      <c r="B120" s="11">
        <v>46279.80265046296</v>
      </c>
    </row>
    <row r="121">
      <c r="A121" s="2" t="s">
        <v>425</v>
      </c>
      <c r="B121" s="11">
        <v>46279.80265046296</v>
      </c>
    </row>
    <row r="122">
      <c r="A122" s="2" t="s">
        <v>426</v>
      </c>
      <c r="B122" s="11">
        <v>46279.80265046296</v>
      </c>
    </row>
    <row r="123">
      <c r="A123" s="2" t="s">
        <v>427</v>
      </c>
      <c r="B123" s="11">
        <v>46279.80265046296</v>
      </c>
    </row>
    <row r="124">
      <c r="A124" s="2" t="s">
        <v>429</v>
      </c>
      <c r="B124" s="11">
        <v>46279.80265046296</v>
      </c>
    </row>
    <row r="125">
      <c r="A125" s="2" t="s">
        <v>431</v>
      </c>
      <c r="B125" s="11">
        <v>46279.80265046296</v>
      </c>
    </row>
    <row r="126">
      <c r="A126" s="2" t="s">
        <v>433</v>
      </c>
      <c r="B126" s="11">
        <v>46279.80265046296</v>
      </c>
    </row>
    <row r="127">
      <c r="A127" s="2" t="s">
        <v>435</v>
      </c>
      <c r="B127" s="11">
        <v>46279.80265046296</v>
      </c>
    </row>
    <row r="128">
      <c r="A128" s="2" t="s">
        <v>437</v>
      </c>
      <c r="B128" s="11">
        <v>46279.80265046296</v>
      </c>
    </row>
    <row r="129">
      <c r="A129" s="2" t="s">
        <v>439</v>
      </c>
      <c r="B129" s="11">
        <v>46279.80265046296</v>
      </c>
    </row>
    <row r="130">
      <c r="A130" s="2" t="s">
        <v>441</v>
      </c>
      <c r="B130" s="11">
        <v>46279.80265046296</v>
      </c>
    </row>
    <row r="131">
      <c r="A131" s="2" t="s">
        <v>443</v>
      </c>
      <c r="B131" s="11">
        <v>46279.80265046296</v>
      </c>
    </row>
    <row r="132">
      <c r="A132" s="2" t="s">
        <v>445</v>
      </c>
      <c r="B132" s="11">
        <v>46279.80265046296</v>
      </c>
    </row>
    <row r="133">
      <c r="A133" s="2" t="s">
        <v>454</v>
      </c>
      <c r="B133" s="11">
        <v>46279.80265046296</v>
      </c>
    </row>
    <row r="134">
      <c r="A134" s="2" t="s">
        <v>456</v>
      </c>
      <c r="B134" s="11">
        <v>46279.80265046296</v>
      </c>
    </row>
    <row r="135">
      <c r="A135" s="2" t="s">
        <v>458</v>
      </c>
      <c r="B135" s="11">
        <v>46279.80265046296</v>
      </c>
    </row>
    <row r="136">
      <c r="A136" s="2" t="s">
        <v>459</v>
      </c>
      <c r="B136" s="11">
        <v>46279.80265046296</v>
      </c>
    </row>
    <row r="137">
      <c r="A137" s="2" t="s">
        <v>461</v>
      </c>
      <c r="B137" s="11">
        <v>46279.80265046296</v>
      </c>
    </row>
    <row r="138">
      <c r="A138" s="2" t="s">
        <v>462</v>
      </c>
      <c r="B138" s="11">
        <v>46279.80265046296</v>
      </c>
    </row>
    <row r="139">
      <c r="A139" s="2" t="s">
        <v>464</v>
      </c>
      <c r="B139" s="11">
        <v>46279.80265046296</v>
      </c>
    </row>
    <row r="140">
      <c r="A140" s="2" t="s">
        <v>466</v>
      </c>
      <c r="B140" s="11">
        <v>46279.80265046296</v>
      </c>
    </row>
    <row r="141">
      <c r="A141" s="2" t="s">
        <v>468</v>
      </c>
      <c r="B141" s="11">
        <v>46279.80265046296</v>
      </c>
    </row>
    <row r="142">
      <c r="A142" s="2" t="s">
        <v>469</v>
      </c>
      <c r="B142" s="11">
        <v>46279.80265046296</v>
      </c>
    </row>
    <row r="143">
      <c r="A143" s="2" t="s">
        <v>471</v>
      </c>
      <c r="B143" s="11">
        <v>46279.80265046296</v>
      </c>
    </row>
    <row r="144">
      <c r="A144" s="2" t="s">
        <v>473</v>
      </c>
      <c r="B144" s="11">
        <v>46279.80265046296</v>
      </c>
    </row>
    <row r="145">
      <c r="A145" s="2" t="s">
        <v>474</v>
      </c>
      <c r="B145" s="11">
        <v>46279.80265046296</v>
      </c>
    </row>
    <row r="146">
      <c r="A146" s="2" t="s">
        <v>475</v>
      </c>
      <c r="B146" s="11">
        <v>46279.80265046296</v>
      </c>
    </row>
    <row r="147">
      <c r="A147" s="2" t="s">
        <v>476</v>
      </c>
      <c r="B147" s="11">
        <v>46279.80265046296</v>
      </c>
    </row>
    <row r="148">
      <c r="A148" s="2" t="s">
        <v>477</v>
      </c>
      <c r="B148" s="11">
        <v>46279.80265046296</v>
      </c>
    </row>
    <row r="149">
      <c r="A149" s="2" t="s">
        <v>478</v>
      </c>
      <c r="B149" s="11">
        <v>46279.80265046296</v>
      </c>
    </row>
    <row r="150">
      <c r="A150" s="2" t="s">
        <v>479</v>
      </c>
      <c r="B150" s="11">
        <v>46279.80265046296</v>
      </c>
    </row>
    <row r="151">
      <c r="A151" s="2" t="s">
        <v>480</v>
      </c>
      <c r="B151" s="11">
        <v>46279.80265046296</v>
      </c>
    </row>
    <row r="152">
      <c r="A152" s="2" t="s">
        <v>481</v>
      </c>
      <c r="B152" s="11">
        <v>46279.80265046296</v>
      </c>
    </row>
    <row r="153">
      <c r="A153" s="2" t="s">
        <v>483</v>
      </c>
      <c r="B153" s="11">
        <v>46279.80265046296</v>
      </c>
    </row>
    <row r="154">
      <c r="A154" s="2" t="s">
        <v>486</v>
      </c>
      <c r="B154" s="11">
        <v>46279.80265046296</v>
      </c>
    </row>
    <row r="155">
      <c r="A155" s="2" t="s">
        <v>488</v>
      </c>
      <c r="B155" s="11">
        <v>46279.80265046296</v>
      </c>
    </row>
    <row r="156">
      <c r="A156" s="2" t="s">
        <v>489</v>
      </c>
      <c r="B156" s="11">
        <v>46279.80265046296</v>
      </c>
    </row>
    <row r="157">
      <c r="A157" s="2" t="s">
        <v>492</v>
      </c>
      <c r="B157" s="11">
        <v>46279.80265046296</v>
      </c>
    </row>
    <row r="158">
      <c r="A158" s="2" t="s">
        <v>494</v>
      </c>
      <c r="B158" s="11">
        <v>46279.80265046296</v>
      </c>
    </row>
    <row r="159">
      <c r="A159" s="2" t="s">
        <v>495</v>
      </c>
      <c r="B159" s="11">
        <v>46279.80265046296</v>
      </c>
    </row>
    <row r="160">
      <c r="A160" s="2" t="s">
        <v>497</v>
      </c>
      <c r="B160" s="11">
        <v>46279.80265046296</v>
      </c>
    </row>
    <row r="161">
      <c r="A161" s="2" t="s">
        <v>499</v>
      </c>
      <c r="B161" s="11">
        <v>46279.80265046296</v>
      </c>
    </row>
    <row r="162">
      <c r="A162" s="2" t="s">
        <v>500</v>
      </c>
      <c r="B162" s="11">
        <v>46279.80265046296</v>
      </c>
    </row>
    <row r="163">
      <c r="A163" s="2" t="s">
        <v>502</v>
      </c>
      <c r="B163" s="11">
        <v>46279.80265046296</v>
      </c>
    </row>
    <row r="164">
      <c r="A164" s="2" t="s">
        <v>504</v>
      </c>
      <c r="B164" s="11">
        <v>46279.80265046296</v>
      </c>
    </row>
    <row r="165">
      <c r="A165" s="2" t="s">
        <v>505</v>
      </c>
      <c r="B165" s="11">
        <v>46279.80265046296</v>
      </c>
    </row>
    <row r="166">
      <c r="A166" s="2" t="s">
        <v>507</v>
      </c>
      <c r="B166" s="11">
        <v>46279.80265046296</v>
      </c>
    </row>
    <row r="167">
      <c r="A167" s="2" t="s">
        <v>509</v>
      </c>
      <c r="B167" s="11">
        <v>46279.80265046296</v>
      </c>
    </row>
    <row r="168">
      <c r="A168" s="2" t="s">
        <v>511</v>
      </c>
      <c r="B168" s="11">
        <v>46279.80265046296</v>
      </c>
    </row>
    <row r="169">
      <c r="A169" s="2" t="s">
        <v>513</v>
      </c>
      <c r="B169" s="11">
        <v>46279.80265046296</v>
      </c>
    </row>
    <row r="170">
      <c r="A170" s="2" t="s">
        <v>514</v>
      </c>
      <c r="B170" s="11">
        <v>46279.80265046296</v>
      </c>
    </row>
    <row r="171">
      <c r="A171" s="2" t="s">
        <v>516</v>
      </c>
      <c r="B171" s="11">
        <v>46279.80265046296</v>
      </c>
    </row>
    <row r="172">
      <c r="A172" s="2" t="s">
        <v>517</v>
      </c>
      <c r="B172" s="11">
        <v>46279.80265046296</v>
      </c>
    </row>
    <row r="173">
      <c r="A173" s="2" t="s">
        <v>518</v>
      </c>
      <c r="B173" s="11">
        <v>46279.80265046296</v>
      </c>
    </row>
    <row r="174">
      <c r="A174" s="2" t="s">
        <v>520</v>
      </c>
      <c r="B174" s="11">
        <v>46279.80265046296</v>
      </c>
    </row>
    <row r="175">
      <c r="A175" s="2" t="s">
        <v>521</v>
      </c>
      <c r="B175" s="11">
        <v>46279.80265046296</v>
      </c>
    </row>
    <row r="176">
      <c r="A176" s="2" t="s">
        <v>523</v>
      </c>
      <c r="B176" s="11">
        <v>46279.80265046296</v>
      </c>
    </row>
    <row r="177">
      <c r="A177" s="2" t="s">
        <v>524</v>
      </c>
      <c r="B177" s="11">
        <v>46279.80265046296</v>
      </c>
    </row>
    <row r="178">
      <c r="A178" s="2" t="s">
        <v>526</v>
      </c>
      <c r="B178" s="11">
        <v>46279.80265046296</v>
      </c>
    </row>
    <row r="179">
      <c r="A179" s="2" t="s">
        <v>527</v>
      </c>
      <c r="B179" s="11">
        <v>46279.80265046296</v>
      </c>
    </row>
    <row r="180">
      <c r="A180" s="2" t="s">
        <v>529</v>
      </c>
      <c r="B180" s="11">
        <v>46279.80265046296</v>
      </c>
    </row>
    <row r="181">
      <c r="A181" s="2" t="s">
        <v>530</v>
      </c>
      <c r="B181" s="11">
        <v>46279.80265046296</v>
      </c>
    </row>
    <row r="182">
      <c r="A182" s="2" t="s">
        <v>532</v>
      </c>
      <c r="B182" s="11">
        <v>46279.80265046296</v>
      </c>
    </row>
    <row r="183">
      <c r="A183" s="2" t="s">
        <v>534</v>
      </c>
      <c r="B183" s="11">
        <v>46279.80265046296</v>
      </c>
    </row>
    <row r="184">
      <c r="A184" s="2" t="s">
        <v>535</v>
      </c>
      <c r="B184" s="11">
        <v>46279.80265046296</v>
      </c>
    </row>
    <row r="185">
      <c r="A185" s="2" t="s">
        <v>537</v>
      </c>
      <c r="B185" s="11">
        <v>46279.80265046296</v>
      </c>
    </row>
    <row r="186">
      <c r="A186" s="2" t="s">
        <v>539</v>
      </c>
      <c r="B186" s="11">
        <v>46279.80265046296</v>
      </c>
    </row>
    <row r="187">
      <c r="A187" s="2" t="s">
        <v>540</v>
      </c>
      <c r="B187" s="11">
        <v>46279.80265046296</v>
      </c>
    </row>
    <row r="188">
      <c r="A188" s="2" t="s">
        <v>541</v>
      </c>
      <c r="B188" s="11">
        <v>46279.80265046296</v>
      </c>
    </row>
    <row r="189">
      <c r="A189" s="2" t="s">
        <v>543</v>
      </c>
      <c r="B189" s="11">
        <v>46279.80265046296</v>
      </c>
    </row>
    <row r="190">
      <c r="A190" s="2" t="s">
        <v>549</v>
      </c>
      <c r="B190" s="11">
        <v>46279.80265046296</v>
      </c>
    </row>
    <row r="191">
      <c r="A191" s="2" t="s">
        <v>552</v>
      </c>
      <c r="B191" s="11">
        <v>46279.80265046296</v>
      </c>
    </row>
    <row r="192">
      <c r="A192" s="2" t="s">
        <v>554</v>
      </c>
      <c r="B192" s="11">
        <v>46279.80265046296</v>
      </c>
    </row>
    <row r="193">
      <c r="A193" s="2" t="s">
        <v>556</v>
      </c>
      <c r="B193" s="11">
        <v>46279.80265046296</v>
      </c>
    </row>
    <row r="194">
      <c r="A194" s="2" t="s">
        <v>557</v>
      </c>
      <c r="B194" s="11">
        <v>46279.80265046296</v>
      </c>
    </row>
    <row r="195">
      <c r="A195" s="2" t="s">
        <v>558</v>
      </c>
      <c r="B195" s="11">
        <v>46279.80265046296</v>
      </c>
    </row>
    <row r="196">
      <c r="A196" s="2" t="s">
        <v>560</v>
      </c>
      <c r="B196" s="11">
        <v>46279.80265046296</v>
      </c>
    </row>
    <row r="197">
      <c r="A197" s="2" t="s">
        <v>563</v>
      </c>
      <c r="B197" s="11">
        <v>46279.80265046296</v>
      </c>
    </row>
    <row r="198">
      <c r="A198" s="2" t="s">
        <v>565</v>
      </c>
      <c r="B198" s="11">
        <v>46279.80265046296</v>
      </c>
    </row>
    <row r="199">
      <c r="A199" s="2" t="s">
        <v>568</v>
      </c>
      <c r="B199" s="11">
        <v>46279.80265046296</v>
      </c>
    </row>
    <row r="200">
      <c r="A200" s="2" t="s">
        <v>569</v>
      </c>
      <c r="B200" s="11">
        <v>46279.80265046296</v>
      </c>
    </row>
    <row r="201">
      <c r="A201" s="2" t="s">
        <v>571</v>
      </c>
      <c r="B201" s="11">
        <v>46279.80265046296</v>
      </c>
    </row>
    <row r="202">
      <c r="A202" s="2" t="s">
        <v>573</v>
      </c>
      <c r="B202" s="11">
        <v>46279.80265046296</v>
      </c>
    </row>
    <row r="203">
      <c r="A203" s="2" t="s">
        <v>576</v>
      </c>
      <c r="B203" s="11">
        <v>46279.80265046296</v>
      </c>
    </row>
    <row r="204">
      <c r="A204" s="2" t="s">
        <v>578</v>
      </c>
      <c r="B204" s="11">
        <v>46279.80265046296</v>
      </c>
    </row>
    <row r="205">
      <c r="A205" s="2" t="s">
        <v>580</v>
      </c>
      <c r="B205" s="11">
        <v>46279.80265046296</v>
      </c>
    </row>
    <row r="206">
      <c r="A206" s="2" t="s">
        <v>581</v>
      </c>
      <c r="B206" s="11">
        <v>46279.80265046296</v>
      </c>
    </row>
    <row r="207">
      <c r="A207" s="2" t="s">
        <v>582</v>
      </c>
      <c r="B207" s="11">
        <v>46279.80265046296</v>
      </c>
    </row>
    <row r="208">
      <c r="A208" s="2" t="s">
        <v>583</v>
      </c>
      <c r="B208" s="11">
        <v>46279.80265046296</v>
      </c>
    </row>
    <row r="209">
      <c r="A209" s="2" t="s">
        <v>584</v>
      </c>
      <c r="B209" s="11">
        <v>46279.80265046296</v>
      </c>
    </row>
    <row r="210">
      <c r="A210" s="2" t="s">
        <v>585</v>
      </c>
      <c r="B210" s="11">
        <v>46279.80265046296</v>
      </c>
    </row>
    <row r="211">
      <c r="A211" s="2" t="s">
        <v>586</v>
      </c>
      <c r="B211" s="11">
        <v>46279.80265046296</v>
      </c>
    </row>
    <row r="212">
      <c r="A212" s="2" t="s">
        <v>587</v>
      </c>
      <c r="B212" s="11">
        <v>46279.80265046296</v>
      </c>
    </row>
    <row r="213">
      <c r="A213" s="2" t="s">
        <v>590</v>
      </c>
      <c r="B213" s="11">
        <v>46279.80265046296</v>
      </c>
    </row>
    <row r="214">
      <c r="A214" s="2" t="s">
        <v>592</v>
      </c>
      <c r="B214" s="11">
        <v>46279.80265046296</v>
      </c>
    </row>
    <row r="215">
      <c r="A215" s="2" t="s">
        <v>594</v>
      </c>
      <c r="B215" s="11">
        <v>46279.80265046296</v>
      </c>
    </row>
    <row r="216">
      <c r="A216" s="2" t="s">
        <v>596</v>
      </c>
      <c r="B216" s="11">
        <v>46279.80265046296</v>
      </c>
    </row>
    <row r="217">
      <c r="A217" s="2" t="s">
        <v>599</v>
      </c>
      <c r="B217" s="11">
        <v>46279.80265046296</v>
      </c>
    </row>
    <row r="218">
      <c r="A218" s="2" t="s">
        <v>601</v>
      </c>
      <c r="B218" s="11">
        <v>46279.80265046296</v>
      </c>
    </row>
    <row r="219">
      <c r="A219" s="2" t="s">
        <v>603</v>
      </c>
      <c r="B219" s="11">
        <v>46279.80265046296</v>
      </c>
    </row>
    <row r="220">
      <c r="A220" s="2" t="s">
        <v>606</v>
      </c>
      <c r="B220" s="11">
        <v>46279.80265046296</v>
      </c>
    </row>
    <row r="221">
      <c r="A221" s="2" t="s">
        <v>607</v>
      </c>
      <c r="B221" s="11">
        <v>46279.80265046296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88"/>
  </cols>
  <sheetData>
    <row r="1">
      <c r="A1" s="13" t="s">
        <v>672</v>
      </c>
      <c r="B1" s="13" t="s">
        <v>676</v>
      </c>
    </row>
    <row r="2">
      <c r="A2" s="2" t="s">
        <v>629</v>
      </c>
      <c r="B2" s="2" t="s">
        <v>682</v>
      </c>
    </row>
    <row r="3">
      <c r="A3" s="2" t="s">
        <v>631</v>
      </c>
      <c r="B3" s="2" t="s">
        <v>682</v>
      </c>
    </row>
    <row r="4">
      <c r="A4" s="2" t="s">
        <v>632</v>
      </c>
      <c r="B4" s="2" t="s">
        <v>682</v>
      </c>
    </row>
    <row r="5">
      <c r="A5" s="2" t="s">
        <v>633</v>
      </c>
      <c r="B5" s="2" t="s">
        <v>682</v>
      </c>
    </row>
    <row r="6">
      <c r="A6" s="2" t="s">
        <v>687</v>
      </c>
      <c r="B6" s="2" t="s">
        <v>682</v>
      </c>
    </row>
    <row r="7">
      <c r="A7" s="2" t="s">
        <v>689</v>
      </c>
      <c r="B7" s="2" t="s">
        <v>682</v>
      </c>
    </row>
    <row r="8">
      <c r="A8" s="2" t="s">
        <v>692</v>
      </c>
      <c r="B8" s="2" t="s">
        <v>682</v>
      </c>
    </row>
    <row r="9">
      <c r="A9" s="2" t="s">
        <v>695</v>
      </c>
      <c r="B9" s="2" t="s">
        <v>682</v>
      </c>
    </row>
    <row r="10">
      <c r="A10" s="2" t="s">
        <v>697</v>
      </c>
      <c r="B10" s="2" t="s">
        <v>682</v>
      </c>
    </row>
    <row r="11">
      <c r="A11" s="2" t="s">
        <v>699</v>
      </c>
      <c r="B11" s="2" t="s">
        <v>682</v>
      </c>
    </row>
    <row r="12">
      <c r="A12" s="2" t="s">
        <v>702</v>
      </c>
      <c r="B12" s="2" t="s">
        <v>682</v>
      </c>
    </row>
    <row r="13">
      <c r="A13" s="2" t="s">
        <v>703</v>
      </c>
      <c r="B13" s="2" t="s">
        <v>682</v>
      </c>
    </row>
    <row r="14">
      <c r="A14" s="2" t="s">
        <v>704</v>
      </c>
      <c r="B14" s="2" t="s">
        <v>682</v>
      </c>
    </row>
    <row r="15">
      <c r="A15" s="2" t="s">
        <v>706</v>
      </c>
      <c r="B15" s="2" t="s">
        <v>682</v>
      </c>
    </row>
    <row r="16">
      <c r="A16" s="2" t="s">
        <v>708</v>
      </c>
      <c r="B16" s="2" t="s">
        <v>682</v>
      </c>
    </row>
    <row r="17">
      <c r="A17" s="2" t="s">
        <v>712</v>
      </c>
      <c r="B17" s="2" t="s">
        <v>682</v>
      </c>
    </row>
    <row r="18">
      <c r="A18" s="2" t="s">
        <v>714</v>
      </c>
      <c r="B18" s="2" t="s">
        <v>682</v>
      </c>
    </row>
    <row r="19">
      <c r="A19" s="2" t="s">
        <v>716</v>
      </c>
      <c r="B19" s="2" t="s">
        <v>682</v>
      </c>
    </row>
    <row r="20">
      <c r="A20" s="2" t="s">
        <v>718</v>
      </c>
      <c r="B20" s="2" t="s">
        <v>682</v>
      </c>
    </row>
    <row r="21">
      <c r="A21" s="2" t="s">
        <v>719</v>
      </c>
      <c r="B21" s="2" t="s">
        <v>682</v>
      </c>
    </row>
    <row r="22">
      <c r="A22" s="2" t="s">
        <v>720</v>
      </c>
      <c r="B22" s="2" t="s">
        <v>682</v>
      </c>
    </row>
    <row r="23">
      <c r="A23" s="2" t="s">
        <v>721</v>
      </c>
      <c r="B23" s="2" t="s">
        <v>682</v>
      </c>
    </row>
    <row r="24">
      <c r="A24" s="2" t="s">
        <v>722</v>
      </c>
      <c r="B24" s="2" t="s">
        <v>682</v>
      </c>
    </row>
    <row r="25">
      <c r="A25" s="2" t="s">
        <v>723</v>
      </c>
      <c r="B25" s="2" t="s">
        <v>682</v>
      </c>
    </row>
    <row r="26">
      <c r="A26" s="2" t="s">
        <v>724</v>
      </c>
      <c r="B26" s="2" t="s">
        <v>682</v>
      </c>
    </row>
    <row r="27">
      <c r="A27" s="2" t="s">
        <v>725</v>
      </c>
      <c r="B27" s="2" t="s">
        <v>682</v>
      </c>
    </row>
    <row r="28">
      <c r="A28" s="2" t="s">
        <v>726</v>
      </c>
      <c r="B28" s="2" t="s">
        <v>682</v>
      </c>
    </row>
    <row r="29">
      <c r="A29" s="2" t="s">
        <v>728</v>
      </c>
      <c r="B29" s="2" t="s">
        <v>682</v>
      </c>
    </row>
    <row r="30">
      <c r="A30" s="2" t="s">
        <v>730</v>
      </c>
      <c r="B30" s="2" t="s">
        <v>682</v>
      </c>
    </row>
    <row r="31">
      <c r="A31" s="2" t="s">
        <v>731</v>
      </c>
      <c r="B31" s="2" t="s">
        <v>682</v>
      </c>
    </row>
    <row r="32">
      <c r="A32" s="2" t="s">
        <v>734</v>
      </c>
      <c r="B32" s="2" t="s">
        <v>682</v>
      </c>
    </row>
    <row r="33">
      <c r="A33" s="2" t="s">
        <v>736</v>
      </c>
      <c r="B33" s="2" t="s">
        <v>682</v>
      </c>
    </row>
    <row r="34">
      <c r="A34" s="2" t="s">
        <v>739</v>
      </c>
      <c r="B34" s="2" t="s">
        <v>682</v>
      </c>
    </row>
    <row r="35">
      <c r="A35" s="2" t="s">
        <v>740</v>
      </c>
      <c r="B35" s="2" t="s">
        <v>682</v>
      </c>
    </row>
    <row r="36">
      <c r="A36" s="2" t="s">
        <v>743</v>
      </c>
      <c r="B36" s="2" t="s">
        <v>682</v>
      </c>
    </row>
    <row r="37">
      <c r="A37" s="2" t="s">
        <v>745</v>
      </c>
      <c r="B37" s="2" t="s">
        <v>682</v>
      </c>
    </row>
    <row r="38">
      <c r="A38" s="2" t="s">
        <v>748</v>
      </c>
      <c r="B38" s="2" t="s">
        <v>682</v>
      </c>
    </row>
    <row r="39">
      <c r="A39" s="2" t="s">
        <v>749</v>
      </c>
      <c r="B39" s="2" t="s">
        <v>682</v>
      </c>
    </row>
    <row r="40">
      <c r="A40" s="2" t="s">
        <v>750</v>
      </c>
      <c r="B40" s="2" t="s">
        <v>682</v>
      </c>
    </row>
    <row r="41">
      <c r="A41" s="2" t="s">
        <v>751</v>
      </c>
      <c r="B41" s="2" t="s">
        <v>682</v>
      </c>
    </row>
    <row r="42">
      <c r="A42" s="2" t="s">
        <v>752</v>
      </c>
      <c r="B42" s="2" t="s">
        <v>682</v>
      </c>
    </row>
    <row r="43">
      <c r="A43" s="2" t="s">
        <v>753</v>
      </c>
      <c r="B43" s="2" t="s">
        <v>682</v>
      </c>
    </row>
    <row r="44">
      <c r="A44" s="2" t="s">
        <v>754</v>
      </c>
      <c r="B44" s="2" t="s">
        <v>682</v>
      </c>
    </row>
    <row r="45">
      <c r="A45" s="2" t="s">
        <v>755</v>
      </c>
      <c r="B45" s="2" t="s">
        <v>682</v>
      </c>
    </row>
  </sheetData>
  <drawing r:id="rId1"/>
</worksheet>
</file>