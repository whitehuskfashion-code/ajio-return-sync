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expense tracker\ajio\Return Automation\ajio-return-sync\"/>
    </mc:Choice>
  </mc:AlternateContent>
  <xr:revisionPtr revIDLastSave="0" documentId="13_ncr:1_{6A76BACF-BFE0-408E-B964-333A5C83F9EC}" xr6:coauthVersionLast="47" xr6:coauthVersionMax="47" xr10:uidLastSave="{00000000-0000-0000-0000-000000000000}"/>
  <bookViews>
    <workbookView xWindow="-108" yWindow="-108" windowWidth="23256" windowHeight="12576" firstSheet="3" activeTab="7" xr2:uid="{00000000-000D-0000-FFFF-FFFF00000000}"/>
  </bookViews>
  <sheets>
    <sheet name="test sheet" sheetId="1" r:id="rId1"/>
    <sheet name="DTF Mtrs tracking" sheetId="2" r:id="rId2"/>
    <sheet name="DTF PRO Printing Tracking" sheetId="3" r:id="rId3"/>
    <sheet name="Mapping Sheet" sheetId="4" r:id="rId4"/>
    <sheet name="Bundle_SKU_Mapping" sheetId="5" r:id="rId5"/>
    <sheet name="master_inventory" sheetId="6" r:id="rId6"/>
    <sheet name="inventory_lookup" sheetId="7" r:id="rId7"/>
    <sheet name="tier_rules" sheetId="8" r:id="rId8"/>
    <sheet name="roll_config" sheetId="9" r:id="rId9"/>
  </sheets>
  <definedNames>
    <definedName name="_xlnm._FilterDatabase" localSheetId="0" hidden="1">'test sheet'!$A$1:$N$134</definedName>
  </definedNames>
  <calcPr calcId="191029"/>
</workbook>
</file>

<file path=xl/calcChain.xml><?xml version="1.0" encoding="utf-8"?>
<calcChain xmlns="http://schemas.openxmlformats.org/spreadsheetml/2006/main">
  <c r="C140" i="3" l="1"/>
  <c r="J140" i="3" s="1"/>
  <c r="C139" i="3"/>
  <c r="J139" i="3" s="1"/>
  <c r="C138" i="3"/>
  <c r="J138" i="3" s="1"/>
  <c r="C137" i="3"/>
  <c r="J137" i="3" s="1"/>
  <c r="C136" i="3"/>
  <c r="J136" i="3" s="1"/>
  <c r="C135" i="3"/>
  <c r="J135" i="3" s="1"/>
  <c r="C134" i="3"/>
  <c r="J134" i="3" s="1"/>
  <c r="C133" i="3"/>
  <c r="J133" i="3" s="1"/>
  <c r="C132" i="3"/>
  <c r="J132" i="3" s="1"/>
  <c r="C131" i="3"/>
  <c r="J131" i="3" s="1"/>
  <c r="C130" i="3"/>
  <c r="J130" i="3" s="1"/>
  <c r="C129" i="3"/>
  <c r="J129" i="3" s="1"/>
  <c r="C128" i="3"/>
  <c r="J128" i="3" s="1"/>
  <c r="C127" i="3"/>
  <c r="J127" i="3" s="1"/>
  <c r="C126" i="3"/>
  <c r="J126" i="3" s="1"/>
  <c r="C125" i="3"/>
  <c r="J125" i="3" s="1"/>
  <c r="C124" i="3"/>
  <c r="J124" i="3" s="1"/>
  <c r="C123" i="3"/>
  <c r="J123" i="3" s="1"/>
  <c r="C122" i="3"/>
  <c r="J122" i="3" s="1"/>
  <c r="C121" i="3"/>
  <c r="J121" i="3" s="1"/>
  <c r="C120" i="3"/>
  <c r="J120" i="3" s="1"/>
  <c r="C119" i="3"/>
  <c r="J119" i="3" s="1"/>
  <c r="C118" i="3"/>
  <c r="J118" i="3" s="1"/>
  <c r="C117" i="3"/>
  <c r="J117" i="3" s="1"/>
  <c r="C116" i="3"/>
  <c r="J116" i="3" s="1"/>
  <c r="C115" i="3"/>
  <c r="J115" i="3" s="1"/>
  <c r="C114" i="3"/>
  <c r="J114" i="3" s="1"/>
  <c r="C113" i="3"/>
  <c r="J113" i="3" s="1"/>
  <c r="C112" i="3"/>
  <c r="J112" i="3" s="1"/>
  <c r="C111" i="3"/>
  <c r="J111" i="3" s="1"/>
  <c r="C110" i="3"/>
  <c r="J110" i="3" s="1"/>
  <c r="C109" i="3"/>
  <c r="J109" i="3" s="1"/>
  <c r="C108" i="3"/>
  <c r="J108" i="3" s="1"/>
  <c r="C107" i="3"/>
  <c r="J107" i="3" s="1"/>
  <c r="C106" i="3"/>
  <c r="J106" i="3" s="1"/>
  <c r="C105" i="3"/>
  <c r="J105" i="3" s="1"/>
  <c r="C104" i="3"/>
  <c r="J104" i="3" s="1"/>
  <c r="C103" i="3"/>
  <c r="J103" i="3" s="1"/>
  <c r="C102" i="3"/>
  <c r="J102" i="3" s="1"/>
  <c r="C101" i="3"/>
  <c r="J101" i="3" s="1"/>
  <c r="C100" i="3"/>
  <c r="J100" i="3" s="1"/>
  <c r="C99" i="3"/>
  <c r="J99" i="3" s="1"/>
  <c r="C98" i="3"/>
  <c r="J98" i="3" s="1"/>
  <c r="C97" i="3"/>
  <c r="J97" i="3" s="1"/>
  <c r="C96" i="3"/>
  <c r="J96" i="3" s="1"/>
  <c r="C95" i="3"/>
  <c r="J95" i="3" s="1"/>
  <c r="C94" i="3"/>
  <c r="J94" i="3" s="1"/>
  <c r="C93" i="3"/>
  <c r="J93" i="3" s="1"/>
  <c r="C92" i="3"/>
  <c r="J92" i="3" s="1"/>
  <c r="C91" i="3"/>
  <c r="J91" i="3" s="1"/>
  <c r="C90" i="3"/>
  <c r="J90" i="3" s="1"/>
  <c r="C89" i="3"/>
  <c r="J89" i="3" s="1"/>
  <c r="C88" i="3"/>
  <c r="J88" i="3" s="1"/>
  <c r="C87" i="3"/>
  <c r="J87" i="3" s="1"/>
  <c r="C86" i="3"/>
  <c r="J86" i="3" s="1"/>
  <c r="C85" i="3"/>
  <c r="J85" i="3" s="1"/>
  <c r="C84" i="3"/>
  <c r="J84" i="3" s="1"/>
  <c r="C83" i="3"/>
  <c r="J83" i="3" s="1"/>
  <c r="J82" i="3"/>
  <c r="C82" i="3"/>
  <c r="C81" i="3"/>
  <c r="J81" i="3" s="1"/>
  <c r="J80" i="3"/>
  <c r="C80" i="3"/>
  <c r="C79" i="3"/>
  <c r="J79" i="3" s="1"/>
  <c r="J78" i="3"/>
  <c r="C78" i="3"/>
  <c r="C77" i="3"/>
  <c r="J77" i="3" s="1"/>
  <c r="J76" i="3"/>
  <c r="C76" i="3"/>
  <c r="C75" i="3"/>
  <c r="J75" i="3" s="1"/>
  <c r="J74" i="3"/>
  <c r="C74" i="3"/>
  <c r="C73" i="3"/>
  <c r="J73" i="3" s="1"/>
  <c r="J72" i="3"/>
  <c r="C72" i="3"/>
  <c r="C71" i="3"/>
  <c r="J71" i="3" s="1"/>
  <c r="J70" i="3"/>
  <c r="C70" i="3"/>
  <c r="C69" i="3"/>
  <c r="J69" i="3" s="1"/>
  <c r="J68" i="3"/>
  <c r="C68" i="3"/>
  <c r="C67" i="3"/>
  <c r="J67" i="3" s="1"/>
  <c r="J66" i="3"/>
  <c r="C66" i="3"/>
  <c r="C65" i="3"/>
  <c r="J65" i="3" s="1"/>
  <c r="J64" i="3"/>
  <c r="C64" i="3"/>
  <c r="C63" i="3"/>
  <c r="J63" i="3" s="1"/>
  <c r="J62" i="3"/>
  <c r="C62" i="3"/>
  <c r="C61" i="3"/>
  <c r="J61" i="3" s="1"/>
  <c r="J60" i="3"/>
  <c r="C60" i="3"/>
  <c r="C59" i="3"/>
  <c r="J59" i="3" s="1"/>
  <c r="J58" i="3"/>
  <c r="C58" i="3"/>
  <c r="C57" i="3"/>
  <c r="J57" i="3" s="1"/>
  <c r="J56" i="3"/>
  <c r="C56" i="3"/>
  <c r="C55" i="3"/>
  <c r="J55" i="3" s="1"/>
  <c r="J54" i="3"/>
  <c r="C54" i="3"/>
  <c r="C53" i="3"/>
  <c r="J53" i="3" s="1"/>
  <c r="J52" i="3"/>
  <c r="C52" i="3"/>
  <c r="C51" i="3"/>
  <c r="J51" i="3" s="1"/>
  <c r="J50" i="3"/>
  <c r="C50" i="3"/>
  <c r="C49" i="3"/>
  <c r="J49" i="3" s="1"/>
  <c r="J48" i="3"/>
  <c r="C48" i="3"/>
  <c r="C47" i="3"/>
  <c r="J47" i="3" s="1"/>
  <c r="J46" i="3"/>
  <c r="C46" i="3"/>
  <c r="C45" i="3"/>
  <c r="J45" i="3" s="1"/>
  <c r="J44" i="3"/>
  <c r="C44" i="3"/>
  <c r="C43" i="3"/>
  <c r="J43" i="3" s="1"/>
  <c r="J42" i="3"/>
  <c r="C42" i="3"/>
  <c r="C41" i="3"/>
  <c r="J41" i="3" s="1"/>
  <c r="J40" i="3"/>
  <c r="C40" i="3"/>
  <c r="C39" i="3"/>
  <c r="J39" i="3" s="1"/>
  <c r="J38" i="3"/>
  <c r="C38" i="3"/>
  <c r="C37" i="3"/>
  <c r="J37" i="3" s="1"/>
  <c r="J36" i="3"/>
  <c r="C36" i="3"/>
  <c r="C35" i="3"/>
  <c r="J35" i="3" s="1"/>
  <c r="J34" i="3"/>
  <c r="C34" i="3"/>
  <c r="C33" i="3"/>
  <c r="J33" i="3" s="1"/>
  <c r="J32" i="3"/>
  <c r="C32" i="3"/>
  <c r="C31" i="3"/>
  <c r="J31" i="3" s="1"/>
  <c r="J30" i="3"/>
  <c r="C30" i="3"/>
  <c r="C29" i="3"/>
  <c r="J29" i="3" s="1"/>
  <c r="J28" i="3"/>
  <c r="C28" i="3"/>
  <c r="C27" i="3"/>
  <c r="J27" i="3" s="1"/>
  <c r="J26" i="3"/>
  <c r="C26" i="3"/>
  <c r="C25" i="3"/>
  <c r="J25" i="3" s="1"/>
  <c r="J24" i="3"/>
  <c r="C24" i="3"/>
  <c r="C23" i="3"/>
  <c r="J23" i="3" s="1"/>
  <c r="J22" i="3"/>
  <c r="C22" i="3"/>
  <c r="C21" i="3"/>
  <c r="J21" i="3" s="1"/>
  <c r="J20" i="3"/>
  <c r="C20" i="3"/>
  <c r="C19" i="3"/>
  <c r="J19" i="3" s="1"/>
  <c r="J18" i="3"/>
  <c r="C18" i="3"/>
  <c r="C17" i="3"/>
  <c r="J17" i="3" s="1"/>
  <c r="J16" i="3"/>
  <c r="C16" i="3"/>
  <c r="C15" i="3"/>
  <c r="J15" i="3" s="1"/>
  <c r="J14" i="3"/>
  <c r="C14" i="3"/>
  <c r="C13" i="3"/>
  <c r="J13" i="3" s="1"/>
  <c r="J12" i="3"/>
  <c r="C12" i="3"/>
  <c r="C11" i="3"/>
  <c r="J11" i="3" s="1"/>
  <c r="J10" i="3"/>
  <c r="C10" i="3"/>
  <c r="C9" i="3"/>
  <c r="J9" i="3" s="1"/>
  <c r="J8" i="3"/>
  <c r="C8" i="3"/>
  <c r="C7" i="3"/>
  <c r="J7" i="3" s="1"/>
  <c r="J6" i="3"/>
  <c r="C6" i="3"/>
  <c r="C5" i="3"/>
  <c r="J5" i="3" s="1"/>
  <c r="J4" i="3"/>
  <c r="C4" i="3"/>
  <c r="C3" i="3"/>
  <c r="J3" i="3" s="1"/>
  <c r="J2" i="3"/>
  <c r="C2" i="3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M1" i="2" s="1"/>
  <c r="C3" i="2"/>
  <c r="C2" i="2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N1" i="1"/>
  <c r="M1" i="1"/>
  <c r="O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tc={9c9ca142-d93b-4337-a47d-46f09cff7c3a}</author>
    <author>tc={b592ebba-cc60-4010-be23-f9a2f7a15dad}</author>
    <author>tc={c7a7454e-f2ce-4aaa-8449-bc0e422fa407}</author>
    <author>tc={0b0c6fe5-6f45-4c89-94cc-a553e5480ff1}</author>
    <author>tc={986ab143-a267-4005-8881-014d988980db}</author>
    <author>tc={828e8b8e-a028-4169-99c7-6da7651b7c6c}</author>
    <author>tc={1e83a3dd-8b61-4acc-8d2c-a9ba1ddf0c94}</author>
    <author>tc={c24a9a8f-029d-4a71-89c3-d81b763334ad}</author>
    <author>tc={4bc2ea82-9f37-4452-b08d-9635d68df514}</author>
    <author>tc={be3f1f57-a27e-4fe2-8af8-8de833b39cdc}</author>
    <author>tc={f03cf2a0-7ec9-4ce5-a97f-e7e7fd8b0b52}</author>
  </authors>
  <commentList>
    <comment ref="F5" authorId="0" shapeId="0" xr:uid="{9C9CA142-D93B-4337-A47D-46F09CFF7C3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to ensure wallet balance matches
</t>
        </r>
      </text>
    </comment>
    <comment ref="E7" authorId="1" shapeId="0" xr:uid="{B592EBBA-CC60-4010-BE23-F9A2F7A15DA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 part has given on 21 Aug
</t>
        </r>
      </text>
    </comment>
    <comment ref="F8" authorId="2" shapeId="0" xr:uid="{C7A7454E-F2CE-4AAA-8449-BC0E422FA40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madhav custom print
</t>
        </r>
      </text>
    </comment>
    <comment ref="E15" authorId="3" shapeId="0" xr:uid="{0B0C6FE5-6F45-4C89-94CC-A553E5480FF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vagabond
</t>
        </r>
      </text>
    </comment>
    <comment ref="F15" authorId="4" shapeId="0" xr:uid="{986AB143-A267-4005-8881-014D988980D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loffers Adjustment
</t>
        </r>
      </text>
    </comment>
    <comment ref="E16" authorId="5" shapeId="0" xr:uid="{828E8B8E-A028-4169-99C7-6DA7651B7C6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Thorfin new final shirt
</t>
        </r>
      </text>
    </comment>
    <comment ref="G17" authorId="6" shapeId="0" xr:uid="{1E83A3DD-8B61-4ACC-8D2C-A9BA1DDF0C9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Ace emblem
</t>
        </r>
      </text>
    </comment>
    <comment ref="I17" authorId="7" shapeId="0" xr:uid="{C24A9A8F-029D-4A71-89C3-D81B763334A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 to sync wallet balance
</t>
        </r>
      </text>
    </comment>
    <comment ref="F29" authorId="8" shapeId="0" xr:uid="{4BC2EA82-9F37-4452-B08D-9635D68DF51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DTF order-not whitehusk
</t>
        </r>
      </text>
    </comment>
    <comment ref="J29" authorId="9" shapeId="0" xr:uid="{BE3F1F57-A27E-4FE2-8AF8-8DE833B39CD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reglar fit tshirt
</t>
        </r>
      </text>
    </comment>
    <comment ref="J30" authorId="10" shapeId="0" xr:uid="{F03CF2A0-7EC9-4CE5-A97F-E7E7FD8B0B5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to match wallet balance
</t>
        </r>
      </text>
    </comment>
  </commentList>
</comments>
</file>

<file path=xl/sharedStrings.xml><?xml version="1.0" encoding="utf-8"?>
<sst xmlns="http://schemas.openxmlformats.org/spreadsheetml/2006/main" count="3245" uniqueCount="1836">
  <si>
    <t>Group</t>
  </si>
  <si>
    <t xml:space="preserve">Date </t>
  </si>
  <si>
    <t>Print</t>
  </si>
  <si>
    <t>Number of Print</t>
  </si>
  <si>
    <t>Day</t>
  </si>
  <si>
    <t>Inventory</t>
  </si>
  <si>
    <t>Mtrs per day</t>
  </si>
  <si>
    <t>Threshold</t>
  </si>
  <si>
    <t>Print Size (mtr)</t>
  </si>
  <si>
    <t xml:space="preserve">product </t>
  </si>
  <si>
    <t>Slot 1</t>
  </si>
  <si>
    <t>Slot 2</t>
  </si>
  <si>
    <t>Slot 3</t>
  </si>
  <si>
    <t>Slot 4</t>
  </si>
  <si>
    <t>Slot 5</t>
  </si>
  <si>
    <t>Slot 6</t>
  </si>
  <si>
    <t>Balance Added</t>
  </si>
  <si>
    <t>PAID</t>
  </si>
  <si>
    <t>S</t>
  </si>
  <si>
    <t>M</t>
  </si>
  <si>
    <t>L</t>
  </si>
  <si>
    <t>Order</t>
  </si>
  <si>
    <t>XL</t>
  </si>
  <si>
    <t>Pending Payment</t>
  </si>
  <si>
    <t>Mtr</t>
  </si>
  <si>
    <t>'''PUT SKUs HERE'''</t>
  </si>
  <si>
    <t>Wallet</t>
  </si>
  <si>
    <t xml:space="preserve">Process Status </t>
  </si>
  <si>
    <t>DTF Print Order</t>
  </si>
  <si>
    <t>Total</t>
  </si>
  <si>
    <t>01 - Ace for Black</t>
  </si>
  <si>
    <t>Ace for Black</t>
  </si>
  <si>
    <t>black_tshirt</t>
  </si>
  <si>
    <t>OS-0004-S-Black</t>
  </si>
  <si>
    <t>OS-0004-M-Black</t>
  </si>
  <si>
    <t>OS-0004-L-Black</t>
  </si>
  <si>
    <t>OS-0004-XL-Black</t>
  </si>
  <si>
    <t>WHF-OS-ACE-BLACK-S</t>
  </si>
  <si>
    <t>WHF-OS-ACE-BLACK-M</t>
  </si>
  <si>
    <t>WHF-OS-ACE-BLACK-L</t>
  </si>
  <si>
    <t>Saturday</t>
  </si>
  <si>
    <t>WHF-OS-ACE-BLACK-XL</t>
  </si>
  <si>
    <t>02 - Ace for White</t>
  </si>
  <si>
    <t>Ace for White</t>
  </si>
  <si>
    <t>Friday</t>
  </si>
  <si>
    <t>white_tshirt</t>
  </si>
  <si>
    <t>Group 1</t>
  </si>
  <si>
    <t>OS-0004-S-White</t>
  </si>
  <si>
    <t>OS-0004-M-White</t>
  </si>
  <si>
    <t>OS-0004-L-White</t>
  </si>
  <si>
    <t>OS-0004-XL-White</t>
  </si>
  <si>
    <t>WHF-OS-ACE-WHITE-S</t>
  </si>
  <si>
    <t>WHF-OS-ACE-WHITE-M</t>
  </si>
  <si>
    <t>WHF-OS-ACE-WHITE-L</t>
  </si>
  <si>
    <t>WHF-OS-ACE-WHITE-XL</t>
  </si>
  <si>
    <t>WHF-OS-DIVINE-TOUCH-M</t>
  </si>
  <si>
    <t>Print: ✅ (1 decremented) | Plain/Ready Merch: ✅ (1 decremented)</t>
  </si>
  <si>
    <t>03 - Ackerman's Will</t>
  </si>
  <si>
    <t>Sunday</t>
  </si>
  <si>
    <t>04 - Almighty x1</t>
  </si>
  <si>
    <t>Ackerman's Will</t>
  </si>
  <si>
    <t>Monday</t>
  </si>
  <si>
    <t>36 - Levi White x1</t>
  </si>
  <si>
    <t>Joker Hoodie. S. 1</t>
  </si>
  <si>
    <t>cream_tshirt</t>
  </si>
  <si>
    <t>Levi-Cream-S</t>
  </si>
  <si>
    <t>Levi-Cream-M</t>
  </si>
  <si>
    <t>Levi-Cream-L</t>
  </si>
  <si>
    <t>Tuesday</t>
  </si>
  <si>
    <t>Levi-Cream-XL</t>
  </si>
  <si>
    <t>WHF-OS-ALMIGHTY-XL</t>
  </si>
  <si>
    <t>WHF-OS-LEVI-ACKR-WLL-S</t>
  </si>
  <si>
    <t>113 - Divine Touch 30May26 x2</t>
  </si>
  <si>
    <t>WHF-OS-LEVI-ACKR-WLL-M</t>
  </si>
  <si>
    <t>Almighty.</t>
  </si>
  <si>
    <t>WHF-OS-LEVI-ACKR-WLL-L</t>
  </si>
  <si>
    <t>04 - Almighty</t>
  </si>
  <si>
    <t>WHF-OS-LEVI-ACKR-WLL-XL</t>
  </si>
  <si>
    <t>WHF-OS-LEVI-White-L</t>
  </si>
  <si>
    <t>M. 1</t>
  </si>
  <si>
    <t>Almighty</t>
  </si>
  <si>
    <t>05 - Baki</t>
  </si>
  <si>
    <t>black_acid_wash_tshirt</t>
  </si>
  <si>
    <t>Wednesday</t>
  </si>
  <si>
    <t>OS-almighty-S</t>
  </si>
  <si>
    <t>OS-almighty-M</t>
  </si>
  <si>
    <t>OS-almighty-L</t>
  </si>
  <si>
    <t>OS-almighty-XL</t>
  </si>
  <si>
    <t>WHF-OS-ALMIGHTY-S</t>
  </si>
  <si>
    <t>WHF-OS-ALMIGHTY-M</t>
  </si>
  <si>
    <t>WHF-OS-ALMIGHTY-L</t>
  </si>
  <si>
    <t>Thursday</t>
  </si>
  <si>
    <t>Almighty Hoodie</t>
  </si>
  <si>
    <t>black_acid_wash_hoodie</t>
  </si>
  <si>
    <t>WHF-HO-ALMIGHTY-S</t>
  </si>
  <si>
    <t>WHF-HO-ALMIGHTY-M</t>
  </si>
  <si>
    <t>WHF-HO-ALMIGHTY-L</t>
  </si>
  <si>
    <t>WHF-HO-ALMIGHTY-XL</t>
  </si>
  <si>
    <t>WHF-HO-ALMIGHTY-HOODIE-S</t>
  </si>
  <si>
    <t>WHF-HO-ALMIGHTY-HOODIE-M</t>
  </si>
  <si>
    <t>WHF-HO-ALMIGHTY-HOODIE-L</t>
  </si>
  <si>
    <t>WHF-HO-ALMIGHTY-HOODIE-XL</t>
  </si>
  <si>
    <t>Baki</t>
  </si>
  <si>
    <t>L. 1</t>
  </si>
  <si>
    <t>WHF-OS-BAKIHAMNA-S</t>
  </si>
  <si>
    <t>WHF-OS-BAKIHAMNA-M</t>
  </si>
  <si>
    <t>06 - Bankai Hoodie</t>
  </si>
  <si>
    <t>WHF-OS-BAKIHAMNA-L</t>
  </si>
  <si>
    <t>WHF-OS-BAKIHAMNA-XL</t>
  </si>
  <si>
    <t>Bankai Hoodie</t>
  </si>
  <si>
    <t>black_hoodie</t>
  </si>
  <si>
    <t>H-Bankai-S</t>
  </si>
  <si>
    <t>H-Bankai-M</t>
  </si>
  <si>
    <t>H-Bankai-L</t>
  </si>
  <si>
    <t>H-Bankai-XL</t>
  </si>
  <si>
    <t>WHF-HO-BANKAI-S</t>
  </si>
  <si>
    <t>WHF-HO-BANKAI-M</t>
  </si>
  <si>
    <t>WHF-HO-BANKAI-L</t>
  </si>
  <si>
    <t>WHF-HO-BANKAI-XL</t>
  </si>
  <si>
    <t>07 - Blades of Chaos</t>
  </si>
  <si>
    <t>Blades of Chaos</t>
  </si>
  <si>
    <t>OS-Chaos-S</t>
  </si>
  <si>
    <t>OS-Chaos-M</t>
  </si>
  <si>
    <t>OS-Chaos-L</t>
  </si>
  <si>
    <t>Gojo Navy. L. 1</t>
  </si>
  <si>
    <t>OS-Chaos-XL</t>
  </si>
  <si>
    <t>WHF-OS-Blade-S</t>
  </si>
  <si>
    <t>WHF-OS-Blade-M</t>
  </si>
  <si>
    <t>WHF-OS-Blade-L</t>
  </si>
  <si>
    <t>WHF-OS-Blade-XL</t>
  </si>
  <si>
    <t>08 - Bungee 09Jan2026</t>
  </si>
  <si>
    <t>Bungee</t>
  </si>
  <si>
    <t>OS-Bungee-S</t>
  </si>
  <si>
    <t>OS-Bungee-M</t>
  </si>
  <si>
    <t>OS-Bungee-L</t>
  </si>
  <si>
    <t>OS-Bungee-XL</t>
  </si>
  <si>
    <t>WHF-OS-Bungee-S</t>
  </si>
  <si>
    <t>WHF-OS-Bungee-M</t>
  </si>
  <si>
    <t>WHF-OS-Bungee-L</t>
  </si>
  <si>
    <t>WHF-OS-Bungee-XL</t>
  </si>
  <si>
    <t>Bungee Hoodie</t>
  </si>
  <si>
    <t>WHF-HO-BUNGEE-HOODIE-S</t>
  </si>
  <si>
    <t>WHF-HO-BUNGEE-HOODIE-M</t>
  </si>
  <si>
    <t>WHF-HO-BUNGEE-HOODIE-L</t>
  </si>
  <si>
    <t>WHF-HO-BUNGEE-HOODIE-XL</t>
  </si>
  <si>
    <t>Bankai Hoodie. Xl. 1</t>
  </si>
  <si>
    <t>09 - Chain Hoodie</t>
  </si>
  <si>
    <t>Chain Hoodie</t>
  </si>
  <si>
    <t>Chain-Hoodie-S</t>
  </si>
  <si>
    <t>Chain-Hoodie-M</t>
  </si>
  <si>
    <t>Chain-Hoodie-L</t>
  </si>
  <si>
    <t>Chain-Hoodie-XL</t>
  </si>
  <si>
    <t>WHF-HO-CHAIN-S</t>
  </si>
  <si>
    <t>WHF-HO-CHAIN-M</t>
  </si>
  <si>
    <t>WHF-HO-CHAIN-XL</t>
  </si>
  <si>
    <t>WHF-HO-CHAIN-L</t>
  </si>
  <si>
    <t>10 - Chain</t>
  </si>
  <si>
    <t>Chain</t>
  </si>
  <si>
    <t>OS-Chain-S</t>
  </si>
  <si>
    <t>OS-Chain-M</t>
  </si>
  <si>
    <t>OS-Chain-L</t>
  </si>
  <si>
    <t>OS-Chain-XL</t>
  </si>
  <si>
    <t>WHF-OS-CHAIN-S</t>
  </si>
  <si>
    <t>WHF-OS-CHAIN-M</t>
  </si>
  <si>
    <t>Sasuke. L. 1</t>
  </si>
  <si>
    <t>WHF-OS-CHAIN-L</t>
  </si>
  <si>
    <t>WHF-OS-CHAIN-XL</t>
  </si>
  <si>
    <t>11 - Chainsawman</t>
  </si>
  <si>
    <t>Chainsawman</t>
  </si>
  <si>
    <t>WHF-OS-CHAINSAWMAN-S</t>
  </si>
  <si>
    <t>WHF-OS-CHAINSAWMAN-M</t>
  </si>
  <si>
    <t>WHF-OS-CHAINSAWMAN-L</t>
  </si>
  <si>
    <t>WHF-OS-CHAINSAWMAN-XL</t>
  </si>
  <si>
    <t>12 - Dandadan</t>
  </si>
  <si>
    <t>Dandadan</t>
  </si>
  <si>
    <t>OS-Dandadan-S</t>
  </si>
  <si>
    <t>OS-Dandadan-M</t>
  </si>
  <si>
    <t>Dandadan. S. 1</t>
  </si>
  <si>
    <t>OS-Dandadan-L</t>
  </si>
  <si>
    <t>OS-Dandadan-XL</t>
  </si>
  <si>
    <t>WHF-OS-DANDADAN-S</t>
  </si>
  <si>
    <t>WHF-OS-DANDADAN-M</t>
  </si>
  <si>
    <t>WHF-OS-DANDADAN-L</t>
  </si>
  <si>
    <t>WHF-OS-DANDADAN-XL</t>
  </si>
  <si>
    <t>13 - Death Note</t>
  </si>
  <si>
    <t>Death Note</t>
  </si>
  <si>
    <t>Haikyu Cream. S. 1</t>
  </si>
  <si>
    <t>taupe_tshirt</t>
  </si>
  <si>
    <t>OS-DEATH-NOTE-S</t>
  </si>
  <si>
    <t>OS-DEATH-NOTE-M</t>
  </si>
  <si>
    <t>OS-DEATH-NOTE-L</t>
  </si>
  <si>
    <t>OS-DEATH-NOTE-XL</t>
  </si>
  <si>
    <t>WHF-OS-DeathNote-S</t>
  </si>
  <si>
    <t>Cifer.</t>
  </si>
  <si>
    <t>WHF-OS-DeathNote-M</t>
  </si>
  <si>
    <t>WHF-OS-DeathNote-L</t>
  </si>
  <si>
    <t>WHF-OS-DeathNote-XL</t>
  </si>
  <si>
    <t>14 - Dragon Slayer</t>
  </si>
  <si>
    <t>Dragon Slayer</t>
  </si>
  <si>
    <t>OS-Berserk-S</t>
  </si>
  <si>
    <t>OS-Berserk-M</t>
  </si>
  <si>
    <t>OS-Berserk-L</t>
  </si>
  <si>
    <t>OS-Berserk-XL</t>
  </si>
  <si>
    <t>WHF-OS-BERSERK-S</t>
  </si>
  <si>
    <t>WHF-OS-BERSERK-M</t>
  </si>
  <si>
    <t>WHF-OS-BERSERK-L</t>
  </si>
  <si>
    <t>WHF-OS-BERSERK-XL</t>
  </si>
  <si>
    <t>Dragon Slayer Hoodie</t>
  </si>
  <si>
    <t>off_white_hoodie</t>
  </si>
  <si>
    <t>WHF-HO-BERSERK-HOODIE-S</t>
  </si>
  <si>
    <t>WHF-HO-BERSERK-HOODIE-M</t>
  </si>
  <si>
    <t>WHF-HO-BERSERK-HOODIE-L</t>
  </si>
  <si>
    <t>Group 2</t>
  </si>
  <si>
    <t>WHF-HO-BERSERK-HOODIE-XL</t>
  </si>
  <si>
    <t>15 - Eren Black</t>
  </si>
  <si>
    <t>Eren Black</t>
  </si>
  <si>
    <t>OS-0013S-Black</t>
  </si>
  <si>
    <t>OS-0013M-Black</t>
  </si>
  <si>
    <t>OS-0013L-Black</t>
  </si>
  <si>
    <t>OS-0013XL-Black</t>
  </si>
  <si>
    <t>WHF-OS-EREN-S</t>
  </si>
  <si>
    <t>WHF-OS-EREN-M</t>
  </si>
  <si>
    <t>WHF-OS-EREN-L</t>
  </si>
  <si>
    <t>WHF-OS-EREN-XL</t>
  </si>
  <si>
    <t>16 - Gaara Fire</t>
  </si>
  <si>
    <t>Xl. 1</t>
  </si>
  <si>
    <t>Gaara Fire</t>
  </si>
  <si>
    <t>WHF-OS-GAARA-FIRE-S</t>
  </si>
  <si>
    <t>WHF-OS-GAARA-FIRE-M</t>
  </si>
  <si>
    <t>WHF-OS-GAARA-FIRE-L</t>
  </si>
  <si>
    <t>WHF-OS-GAARA-FIRE-XL</t>
  </si>
  <si>
    <t>Cherry Blossom Tshirt. M. 1</t>
  </si>
  <si>
    <t>Divine Touch Tshirt. M. 1</t>
  </si>
  <si>
    <t>Ghost. L. 1</t>
  </si>
  <si>
    <t>17 - Gaara Hands</t>
  </si>
  <si>
    <t>Mjolnir Navy Blue. L. 1</t>
  </si>
  <si>
    <t>18 - Gaara Sand</t>
  </si>
  <si>
    <t>Ackerman's Will. S. 1</t>
  </si>
  <si>
    <t>Gaara Hands Black</t>
  </si>
  <si>
    <t>19 - Garou</t>
  </si>
  <si>
    <t>WHF-OS-GAARA-HAND-Black-S</t>
  </si>
  <si>
    <t>WHF-OS-GAARA-HAND-Black-M</t>
  </si>
  <si>
    <t>WHF-OS-GAARA-HAND-Black-L</t>
  </si>
  <si>
    <t>WHF-OS-GAARA-HAND-Black-XL</t>
  </si>
  <si>
    <t>Eagle. M. 1</t>
  </si>
  <si>
    <t>Gaara Hands White</t>
  </si>
  <si>
    <t>20 - Gear 5</t>
  </si>
  <si>
    <t>WHF-OS-GAARA-HAND-White-S</t>
  </si>
  <si>
    <t>Jin Woo. L. 1</t>
  </si>
  <si>
    <t>khotu che aa</t>
  </si>
  <si>
    <t>21 - Genius</t>
  </si>
  <si>
    <t>WHF-OS-GAARA-HAND-White-M</t>
  </si>
  <si>
    <t>WHF-OS-GAARA-HAND-White-L</t>
  </si>
  <si>
    <t>WHF-OS-GAARA-HAND-White-XL</t>
  </si>
  <si>
    <t>Gaara Hands Taupe</t>
  </si>
  <si>
    <t>Fox Devil. L. 2</t>
  </si>
  <si>
    <t>22 - Geto</t>
  </si>
  <si>
    <t>WHF-OS-GAARA-HAND-Taupe-S</t>
  </si>
  <si>
    <t>WHF-OS-GAARA-HAND-Taupe-M</t>
  </si>
  <si>
    <t>WHF-OS-GAARA-HAND-Taupe-L</t>
  </si>
  <si>
    <t>WHF-OS-GAARA-HAND-Taupe-XL</t>
  </si>
  <si>
    <t>Eren Black. L. 1</t>
  </si>
  <si>
    <t>23 - Ghost</t>
  </si>
  <si>
    <t>Gaara Sand</t>
  </si>
  <si>
    <t>WHF-OS-GAARA-SAND-S</t>
  </si>
  <si>
    <t>WHF-OS-GAARA-SAND-M</t>
  </si>
  <si>
    <t>Isagi. L. 1</t>
  </si>
  <si>
    <t>WHF-OS-GAARA-SAND-L</t>
  </si>
  <si>
    <t>24 - Gojo</t>
  </si>
  <si>
    <t>WHF-OS-GAARA-SAND-XL</t>
  </si>
  <si>
    <t>Garou</t>
  </si>
  <si>
    <t>os-garou-s</t>
  </si>
  <si>
    <t>os-garou-m</t>
  </si>
  <si>
    <t>Akaza. Xl. 1</t>
  </si>
  <si>
    <t>os-garou-l</t>
  </si>
  <si>
    <t>os-garou-xl</t>
  </si>
  <si>
    <t>Group 3</t>
  </si>
  <si>
    <t>WHF-OS-GAROU-S</t>
  </si>
  <si>
    <t>WHF-OS-GAROU-M</t>
  </si>
  <si>
    <t>WHF-OS-GAROU-L</t>
  </si>
  <si>
    <t>WHF-OS-GAROU-XL</t>
  </si>
  <si>
    <t>25 - Grimmjow website</t>
  </si>
  <si>
    <t>Gear 5</t>
  </si>
  <si>
    <t>PB-01-S-Thunder</t>
  </si>
  <si>
    <t>PB-01-M-Thunder</t>
  </si>
  <si>
    <t>PB-01-L-Thunder</t>
  </si>
  <si>
    <t>PB-01-XL-Thunder</t>
  </si>
  <si>
    <t>WHF-OS-GEAR5-S</t>
  </si>
  <si>
    <t>WHF-OS-GEAR5-M</t>
  </si>
  <si>
    <t>WHF-OS-GEAR5-L</t>
  </si>
  <si>
    <t>WHF-OS-GEAR5-XL</t>
  </si>
  <si>
    <t>26 - Haikyu</t>
  </si>
  <si>
    <t>Gear 5 Hoodie</t>
  </si>
  <si>
    <t>27 - Igris</t>
  </si>
  <si>
    <t>WHF-HO-GEAR-5-HOODIE-S</t>
  </si>
  <si>
    <t>WHF-HO-GEAR-5-HOODIE-M</t>
  </si>
  <si>
    <t>WHF-HO-GEAR-5-HOODIE-L</t>
  </si>
  <si>
    <t>WHF-HO-GEAR-5-HOODIE-XL</t>
  </si>
  <si>
    <t>Genius - Nagi</t>
  </si>
  <si>
    <t>28 - Isagi</t>
  </si>
  <si>
    <t>29 - Itachi</t>
  </si>
  <si>
    <t>grey_tshirt</t>
  </si>
  <si>
    <t>OS-Nagi-S</t>
  </si>
  <si>
    <t>OS-Nagi-M</t>
  </si>
  <si>
    <t>OS-Nagi-L</t>
  </si>
  <si>
    <t>OS-Nagi-XL</t>
  </si>
  <si>
    <t>WH-OS-NAGI-S</t>
  </si>
  <si>
    <t>30 - Jin Woo 9Dec25</t>
  </si>
  <si>
    <t>WH-OS-NAGI-M</t>
  </si>
  <si>
    <t>WH-OS-NAGI-L</t>
  </si>
  <si>
    <t>WH-OS-NAGI-XL</t>
  </si>
  <si>
    <t>Geto</t>
  </si>
  <si>
    <t>31 - Jiraya</t>
  </si>
  <si>
    <t>bottle_green_tshirt</t>
  </si>
  <si>
    <t>OS-Geto-S</t>
  </si>
  <si>
    <t>OS-Geto-M</t>
  </si>
  <si>
    <t>OS-Geto-L</t>
  </si>
  <si>
    <t>OS-Geto-XL</t>
  </si>
  <si>
    <t>WHF-OS-GETO-S</t>
  </si>
  <si>
    <t>WHF-OS-GETO-M</t>
  </si>
  <si>
    <t>WHF-OS-GETO-L</t>
  </si>
  <si>
    <t>WHF-OS-GETO-XL</t>
  </si>
  <si>
    <t>32 - Kakashi</t>
  </si>
  <si>
    <t>Ghost</t>
  </si>
  <si>
    <t>royal_blue_tshirt</t>
  </si>
  <si>
    <t>33 - Killua</t>
  </si>
  <si>
    <t>OS-GHOST-S</t>
  </si>
  <si>
    <t>OS-GHOST-M</t>
  </si>
  <si>
    <t>OS-GHOST-L</t>
  </si>
  <si>
    <t>OS-GHOST-XL</t>
  </si>
  <si>
    <t>WH-OS-GHOST-S</t>
  </si>
  <si>
    <t>WH-OS-GHOST-M</t>
  </si>
  <si>
    <t>WH-OS-GHOST-L</t>
  </si>
  <si>
    <t>WH-OS-GHOST-XL</t>
  </si>
  <si>
    <t>112 - Cherry Blossom 26May26 x1</t>
  </si>
  <si>
    <t>34 - Kira</t>
  </si>
  <si>
    <t>Gojo Navy</t>
  </si>
  <si>
    <t>navy_tshirt</t>
  </si>
  <si>
    <t>OS-Gojo-S-Navy</t>
  </si>
  <si>
    <t>OS-Gojo-M-Navy</t>
  </si>
  <si>
    <t>OS-Gojo-L-Navy</t>
  </si>
  <si>
    <t>OS-Gojo-XL-Navy</t>
  </si>
  <si>
    <t>WHF-OS-GOJO-NAVY-S</t>
  </si>
  <si>
    <t>35 - Levi Taupe</t>
  </si>
  <si>
    <t>WHF-OS-GOJO-NAVY-M</t>
  </si>
  <si>
    <t>WHF-OS-GOJO-NAVY-L</t>
  </si>
  <si>
    <t>WHF-OS-GOJO-NAVY-XL</t>
  </si>
  <si>
    <t>Gojo Black</t>
  </si>
  <si>
    <t>36 - Levi White</t>
  </si>
  <si>
    <t>OS-Gojo-S-Black</t>
  </si>
  <si>
    <t>OS-Gojo-M-Black</t>
  </si>
  <si>
    <t>OS-Gojo-L-Black</t>
  </si>
  <si>
    <t>OS-Gojo-XL-Black</t>
  </si>
  <si>
    <t>WHF-OS-GOJO-BLACK-S</t>
  </si>
  <si>
    <t>WHF-OS-GOJO-BLACK-M</t>
  </si>
  <si>
    <t>WHF-OS-GOJO-BLACK-L</t>
  </si>
  <si>
    <t>WHF-OS-GOJO-BLACK-XL</t>
  </si>
  <si>
    <t>Grimmjow website</t>
  </si>
  <si>
    <t>Group 4</t>
  </si>
  <si>
    <t>37 - Levithan Axe</t>
  </si>
  <si>
    <t>Haikyu Cream</t>
  </si>
  <si>
    <t>Haikyu-S-Cream</t>
  </si>
  <si>
    <t>Haikyu-M-Cream</t>
  </si>
  <si>
    <t>38 - Limitless Big</t>
  </si>
  <si>
    <t>Haikyu-L-Cream</t>
  </si>
  <si>
    <t>Haikyu-XL-Cream</t>
  </si>
  <si>
    <t>WHF-OS-Haikyuu-Cream-S</t>
  </si>
  <si>
    <t>WHF-OS-Haikyuu-Cream-M</t>
  </si>
  <si>
    <t>WHF-OS-Haikyuu-Cream-L</t>
  </si>
  <si>
    <t>WHF-OS-Haikyuu-Cream-XL</t>
  </si>
  <si>
    <t>39 - Mikey</t>
  </si>
  <si>
    <t>Haikyu Black</t>
  </si>
  <si>
    <t>Haikyu-S-Black</t>
  </si>
  <si>
    <t>Haikyu-M-Black</t>
  </si>
  <si>
    <t>Haikyu-L-Black</t>
  </si>
  <si>
    <t>Haikyu-XL-Black</t>
  </si>
  <si>
    <t>WHF-OS-Haikyuu-Black-S</t>
  </si>
  <si>
    <t>WHF-OS-Haikyuu-Black-M</t>
  </si>
  <si>
    <t>WHF-OS-Haikyuu-Black-L</t>
  </si>
  <si>
    <t>WHF-OS-Haikyuu-Black-XL</t>
  </si>
  <si>
    <t>40 - Mjolnir</t>
  </si>
  <si>
    <t>Igris</t>
  </si>
  <si>
    <t>ice_blue_tshirt</t>
  </si>
  <si>
    <t>OS-Igris-S</t>
  </si>
  <si>
    <t>OS-Igris-M</t>
  </si>
  <si>
    <t>OS-Igris-L</t>
  </si>
  <si>
    <t>OS-Igris-XL</t>
  </si>
  <si>
    <t>WHF-OS-Igris-S</t>
  </si>
  <si>
    <t>WHF-OS-Igris-M</t>
  </si>
  <si>
    <t>WHF-OS-Igris-L</t>
  </si>
  <si>
    <t>WHF-OS-Igris-XL</t>
  </si>
  <si>
    <t>41 - Naru Hina</t>
  </si>
  <si>
    <t>Isagi</t>
  </si>
  <si>
    <t>OS-Isagi-S</t>
  </si>
  <si>
    <t>OS-Isagi-M</t>
  </si>
  <si>
    <t>OS-Isagi-L</t>
  </si>
  <si>
    <t>OS-Isagi-XL</t>
  </si>
  <si>
    <t>WHF-OS-Isagi-S</t>
  </si>
  <si>
    <t>WHF-OS-Isagi-M</t>
  </si>
  <si>
    <t>WHF-OS-Isagi-L</t>
  </si>
  <si>
    <t>WHF-OS-Isagi-XL</t>
  </si>
  <si>
    <t>Itachi</t>
  </si>
  <si>
    <t>sage_green_tshirt</t>
  </si>
  <si>
    <t>OS-200-Itachi-S</t>
  </si>
  <si>
    <t>OS-200-Itachi-M</t>
  </si>
  <si>
    <t>OS-200-Itachi-L</t>
  </si>
  <si>
    <t>OS-200-Itachi-XL</t>
  </si>
  <si>
    <t>WHF-OS-ITACHI-S</t>
  </si>
  <si>
    <t>WHF-OS-ITACHI-M</t>
  </si>
  <si>
    <t>WHF-OS-ITACHI-L</t>
  </si>
  <si>
    <t>WHF-OS-ITACHI-XL</t>
  </si>
  <si>
    <t>Jin Woo</t>
  </si>
  <si>
    <t>OS-Jinwoo-S</t>
  </si>
  <si>
    <t>OS-Jinwoo-M</t>
  </si>
  <si>
    <t>OS-Jinwoo-L</t>
  </si>
  <si>
    <t>OS-Jinwoo-XL</t>
  </si>
  <si>
    <t>WHF-OS-JinWoo-S</t>
  </si>
  <si>
    <t>WHF-OS-JinWoo-M</t>
  </si>
  <si>
    <t>WHF-OS-JinWoo-L</t>
  </si>
  <si>
    <t>WHF-OS-JinWoo-XL</t>
  </si>
  <si>
    <t>Jin Woo Hoodie</t>
  </si>
  <si>
    <t>WHF-HO-JINWOO-S</t>
  </si>
  <si>
    <t>WHF-HO-JINWOO-M</t>
  </si>
  <si>
    <t>WHF-HO-JINWOO-L</t>
  </si>
  <si>
    <t>WHF-HO-JINWOO-XL</t>
  </si>
  <si>
    <t>WHF-HO-JINWOO-HOODIE-S</t>
  </si>
  <si>
    <t>WHF-HO-JINWOO-HOODIE-M</t>
  </si>
  <si>
    <t>WHF-HO-JINWOO-HOODIE-L</t>
  </si>
  <si>
    <t>WHF-HO-JINWOO-HOODIE-XL</t>
  </si>
  <si>
    <t>Jiraya</t>
  </si>
  <si>
    <t>OS-Jiraya-S</t>
  </si>
  <si>
    <t>OS-Jiraya-M</t>
  </si>
  <si>
    <t>OS-Jiraya-L</t>
  </si>
  <si>
    <t>OS-Jiraya-XL</t>
  </si>
  <si>
    <t>WHF-OS-JIRAYA-S</t>
  </si>
  <si>
    <t>WHF-OS-JIRAYA-M</t>
  </si>
  <si>
    <t>WHF-OS-JIRAYA-L</t>
  </si>
  <si>
    <t>WHF-OS-JIRAYA-XL</t>
  </si>
  <si>
    <t>Kakashi White</t>
  </si>
  <si>
    <t>OS-0018-S-White</t>
  </si>
  <si>
    <t>OS-0018-M-White</t>
  </si>
  <si>
    <t>OS-0018-L-White</t>
  </si>
  <si>
    <t>OS-0018-XL-White</t>
  </si>
  <si>
    <t>WHF-OS-KAKASHI-WHITE-S</t>
  </si>
  <si>
    <t>WHF-OS-KAKASHI-WHITE-M</t>
  </si>
  <si>
    <t>WHF-OS-KAKASHI-WHITE-L</t>
  </si>
  <si>
    <t>WHF-OS-KAKASHI-WHITE-XL</t>
  </si>
  <si>
    <t>Kakashi Taupe</t>
  </si>
  <si>
    <t>OS-0018-S-Taupe</t>
  </si>
  <si>
    <t>OS-0018-M-Taupe</t>
  </si>
  <si>
    <t>OS-0018-L-Taupe</t>
  </si>
  <si>
    <t>OS-0018-XL-Taupe</t>
  </si>
  <si>
    <t>WHF-OS-KAKASHI-TAUPE-S</t>
  </si>
  <si>
    <t>WHF-OS-KAKASHI-TAUPE-M</t>
  </si>
  <si>
    <t>WHF-OS-KAKASHI-TAUPE-L</t>
  </si>
  <si>
    <t>WHF-OS-KAKASHI-TAUPE-XL</t>
  </si>
  <si>
    <t>Killua</t>
  </si>
  <si>
    <t>OS_Killua_S</t>
  </si>
  <si>
    <t>OS_Killua_M</t>
  </si>
  <si>
    <t>OS_Killua_L</t>
  </si>
  <si>
    <t>42 - Naruto Streetwear</t>
  </si>
  <si>
    <t>OS_Killua_XL</t>
  </si>
  <si>
    <t>WHF-OS-KILLUA-S</t>
  </si>
  <si>
    <t>WHF-OS-KILLUA-M</t>
  </si>
  <si>
    <t>WHF-OS-KILLUA-L</t>
  </si>
  <si>
    <t>WHF-OS-KILLUA-XL</t>
  </si>
  <si>
    <t>Kira</t>
  </si>
  <si>
    <t>OS-KIRA-S-Taupe</t>
  </si>
  <si>
    <t>OS-KIRA-M-Taupe</t>
  </si>
  <si>
    <t>OS-KIRA-L-Taupe</t>
  </si>
  <si>
    <t>OS-KIRA-XL-Taupe</t>
  </si>
  <si>
    <t>WHF-OS-KIRA-S</t>
  </si>
  <si>
    <t>WHF-OS-KIRA-M</t>
  </si>
  <si>
    <t>WHF-OS-KIRA-L</t>
  </si>
  <si>
    <t>WHF-OS-KIRA-XL</t>
  </si>
  <si>
    <t>43 - Pain</t>
  </si>
  <si>
    <t>Levi Taupe</t>
  </si>
  <si>
    <t>OS-0009-S-Taupe</t>
  </si>
  <si>
    <t>OS-0009-M-Taupe</t>
  </si>
  <si>
    <t>OS-0009-L-Taupe</t>
  </si>
  <si>
    <t>OS-0009-XL-Taupe</t>
  </si>
  <si>
    <t>WHF-OS-LEVI-Taupe-S</t>
  </si>
  <si>
    <t>WHF-OS-LEVI-Taupe-M</t>
  </si>
  <si>
    <t>WHF-OS-LEVI-Taupe-L</t>
  </si>
  <si>
    <t>WHF-OS-LEVI-Taupe-XL</t>
  </si>
  <si>
    <t>Levi White</t>
  </si>
  <si>
    <t>OS-0009-S-White</t>
  </si>
  <si>
    <t>OS-0009-M-White</t>
  </si>
  <si>
    <t>OS-0009-L-White</t>
  </si>
  <si>
    <t>OS-0009-XL-White</t>
  </si>
  <si>
    <t>WHF-OS-LEVI-White-S</t>
  </si>
  <si>
    <t>WHF-OS-LEVI-White-M</t>
  </si>
  <si>
    <t>WHF-OS-LEVI-White-XL</t>
  </si>
  <si>
    <t>Levithan Axe</t>
  </si>
  <si>
    <t>OS-Leviathan-S</t>
  </si>
  <si>
    <t>OS-Leviathan-M</t>
  </si>
  <si>
    <t>OS-Leviathan-L</t>
  </si>
  <si>
    <t>44 - Saitama 15Dec2025</t>
  </si>
  <si>
    <t>OS-Leviathan-XL</t>
  </si>
  <si>
    <t>WHF-OS-Leviathan-S</t>
  </si>
  <si>
    <t>WHF-OS-Leviathan-M</t>
  </si>
  <si>
    <t>WHF-OS-Leviathan-L</t>
  </si>
  <si>
    <t>WHF-OS-Leviathan-XL</t>
  </si>
  <si>
    <t>Limitless Big</t>
  </si>
  <si>
    <t>Mikey</t>
  </si>
  <si>
    <t>OS-0005-S</t>
  </si>
  <si>
    <t>OS-0005-M</t>
  </si>
  <si>
    <t>OS-0005-L</t>
  </si>
  <si>
    <t>OS-0005-XL</t>
  </si>
  <si>
    <t>WHF-OS-MIKEY-S</t>
  </si>
  <si>
    <t>WHF-OS-MIKEY-M</t>
  </si>
  <si>
    <t>WHF-OS-MIKEY-L</t>
  </si>
  <si>
    <t>WHF-OS-MIKEY-XL</t>
  </si>
  <si>
    <t>Mjolnir Navy Blue</t>
  </si>
  <si>
    <t>OS-Mjolnir-S</t>
  </si>
  <si>
    <t>OS-Mjolnir-M</t>
  </si>
  <si>
    <t>OS-Mjolnir-L</t>
  </si>
  <si>
    <t>OS-Mjolnir-XL</t>
  </si>
  <si>
    <t>WHF-OS-Mjolnir-S</t>
  </si>
  <si>
    <t>WHF-OS-Mjolnir-M</t>
  </si>
  <si>
    <t>WHF-OS-Mjolnir-L</t>
  </si>
  <si>
    <t>WHF-OS-Mjolnir-XL</t>
  </si>
  <si>
    <t>Naru Hina</t>
  </si>
  <si>
    <t>45 - Sasuke</t>
  </si>
  <si>
    <t>OS-NaruHina-S</t>
  </si>
  <si>
    <t>OS-NaruHina-M</t>
  </si>
  <si>
    <t>OS-NaruHina-L</t>
  </si>
  <si>
    <t>OS-NaruHina-XL</t>
  </si>
  <si>
    <t>WHF-OS-NARU-HINA-S</t>
  </si>
  <si>
    <t>WHF-OS-NARU-HINA-M</t>
  </si>
  <si>
    <t>WHF-OS-NARU-HINA-L</t>
  </si>
  <si>
    <t>WHF-OS-NARU-HINA-XL</t>
  </si>
  <si>
    <t>Naru Hina Hoodie</t>
  </si>
  <si>
    <t>WHF-HO-NARU-HINA-HOODIE-S</t>
  </si>
  <si>
    <t>WHF-HO-NARU-HINA-HOODIE-M</t>
  </si>
  <si>
    <t>WHF-HO-NARU-HINA-HOODIE-L</t>
  </si>
  <si>
    <t>WHF-HO-NARU-HINA-HOODIE-XL</t>
  </si>
  <si>
    <t>46 - Shenron</t>
  </si>
  <si>
    <t>WHF-HO-NARUHINA-HOODIE-S</t>
  </si>
  <si>
    <t>WHF-HO-NARUHINA-HOODIE-M</t>
  </si>
  <si>
    <t>WHF-HO-NARUHINA-HOODIE-L</t>
  </si>
  <si>
    <t>WHF-HO-NARUHINA-HOODIE-XL</t>
  </si>
  <si>
    <t>Naruto Streetwear</t>
  </si>
  <si>
    <t>WHF-OS-NARUTOSTRT-S</t>
  </si>
  <si>
    <t>WHF-OS-NARUTOSTRT-M</t>
  </si>
  <si>
    <t>WHF-OS-NARUTOSTRT-L</t>
  </si>
  <si>
    <t>WHF-OS-NARUTOSTRT-XL</t>
  </si>
  <si>
    <t>Pain</t>
  </si>
  <si>
    <t>WHF-OS-PAIN-S</t>
  </si>
  <si>
    <t>WHF-OS-PAIN-M</t>
  </si>
  <si>
    <t>WHF-OS-PAIN-L</t>
  </si>
  <si>
    <t>WHF-OS-PAIN-XL</t>
  </si>
  <si>
    <t>47 - Sukuna Old</t>
  </si>
  <si>
    <t>Saitama</t>
  </si>
  <si>
    <t>OS-SAITAMA-S</t>
  </si>
  <si>
    <t>OS-SAITAMA-M</t>
  </si>
  <si>
    <t>OS-SAITAMA-L</t>
  </si>
  <si>
    <t>OS-SAITAMA-XL</t>
  </si>
  <si>
    <t>WH-OS-SAITAMA-S</t>
  </si>
  <si>
    <t>WH-OS-SAITAMA-M</t>
  </si>
  <si>
    <t>WH-OS-SAITAMA-L</t>
  </si>
  <si>
    <t>WH-OS-SAITAMA-XL</t>
  </si>
  <si>
    <t>Sasuke</t>
  </si>
  <si>
    <t>WHF-OS-SASUKE-S</t>
  </si>
  <si>
    <t>WHF-OS-SASUKE-M</t>
  </si>
  <si>
    <t>WHF-OS-SASUKE-L</t>
  </si>
  <si>
    <t>WHF-OS-SASUKE-Xl</t>
  </si>
  <si>
    <t>48 - Sukuna</t>
  </si>
  <si>
    <t>Shenron</t>
  </si>
  <si>
    <t>WHF-OS-SHENRON-S</t>
  </si>
  <si>
    <t>WHF-OS-SHENRON-M</t>
  </si>
  <si>
    <t>WHF-OS-SHENRON-L</t>
  </si>
  <si>
    <t>WHF-OS-SHENRON-XL</t>
  </si>
  <si>
    <t>Sukuna Old</t>
  </si>
  <si>
    <t>REG-SUKUNA-S</t>
  </si>
  <si>
    <t>REG-SUKUNA-M</t>
  </si>
  <si>
    <t>REG-SUKUNA-L</t>
  </si>
  <si>
    <t>REG-SUKUNA-XL</t>
  </si>
  <si>
    <t>WHF-OS-SUKUNAOLD-S</t>
  </si>
  <si>
    <t>WHF-OS-SUKUNAOLD-M</t>
  </si>
  <si>
    <t>WHF-OS-SUKUNAOLD-L</t>
  </si>
  <si>
    <t>WHF-OS-SUKUNAOLD-XL</t>
  </si>
  <si>
    <t>Sukuna</t>
  </si>
  <si>
    <t>OS-Sukuna-S</t>
  </si>
  <si>
    <t>OS-Sukuna-M</t>
  </si>
  <si>
    <t>OS-Sukuna-L</t>
  </si>
  <si>
    <t>OS-Sukuna-XL</t>
  </si>
  <si>
    <t>WHF-OS-SUKUNA-S</t>
  </si>
  <si>
    <t>WHF-OS-SUKUNA-M</t>
  </si>
  <si>
    <t>WHF-OS-SUKUNA-L</t>
  </si>
  <si>
    <t>WHF-OS-SUKUNA-XL</t>
  </si>
  <si>
    <t>Sukuna Hoodie</t>
  </si>
  <si>
    <t>WHF-HO-SUKUNA-HOODIE-S</t>
  </si>
  <si>
    <t>WHF-HO-SUKUNA-HOODIE-M</t>
  </si>
  <si>
    <t>WHF-HO-SUKUNA-HOODIE-L</t>
  </si>
  <si>
    <t>WHF-HO-SUKUNA-HOODIE-XL</t>
  </si>
  <si>
    <t>49 - Tanjiro Black</t>
  </si>
  <si>
    <t>Group 5</t>
  </si>
  <si>
    <t>Tanjiro Black</t>
  </si>
  <si>
    <t>OS-0015-S-Black</t>
  </si>
  <si>
    <t>OS-0015-M-Black</t>
  </si>
  <si>
    <t>OS-0015-L-Black</t>
  </si>
  <si>
    <t>OS-0015-XL-Black</t>
  </si>
  <si>
    <t>WHF-OS-TANJIRO-BLACK-S</t>
  </si>
  <si>
    <t>WHF-OS-TANJIRO-BLACK-M</t>
  </si>
  <si>
    <t>WHF-OS-TANJIRO-BLACK-L</t>
  </si>
  <si>
    <t>WHF-OS-TANJIRO-BLACK-XL</t>
  </si>
  <si>
    <t>Tanjiro Black Hoodie</t>
  </si>
  <si>
    <t>WHF-HO-TANJIRO-BLACK-HOODIE-S</t>
  </si>
  <si>
    <t>WHF-HO-TANJIRO-BLACK-HOODIE-M</t>
  </si>
  <si>
    <t>WHF-HO-TANJIRO-BLACK-HOODIE-L</t>
  </si>
  <si>
    <t>WHF-HO-TANJIRO-BLACK-HOODIE-XL</t>
  </si>
  <si>
    <t>50 - Tanjiro Brown</t>
  </si>
  <si>
    <t>Tanjiro Brown</t>
  </si>
  <si>
    <t>brown_tshirt</t>
  </si>
  <si>
    <t>OS-0015-S-Brown</t>
  </si>
  <si>
    <t>OS-0015-M-Brown</t>
  </si>
  <si>
    <t>OS-0015-L-Brown</t>
  </si>
  <si>
    <t>OS-0015-XL-Brown</t>
  </si>
  <si>
    <t>WHF-OS-TANJIRO-BROWN-S</t>
  </si>
  <si>
    <t>WHF-OS-TANJIRO-BROWN-M</t>
  </si>
  <si>
    <t>WHF-OS-TANJIRO-BROWN-L</t>
  </si>
  <si>
    <t>WHF-OS-TANJIRO-BROWN-XL</t>
  </si>
  <si>
    <t>51 - Toji</t>
  </si>
  <si>
    <t>Toji</t>
  </si>
  <si>
    <t>OS-TOJI-FB-S</t>
  </si>
  <si>
    <t>OS-TOJI-FB-M</t>
  </si>
  <si>
    <t>OS-TOJI-FB-L</t>
  </si>
  <si>
    <t>OS-TOJI-FB-XL</t>
  </si>
  <si>
    <t>WHF-OS-TOJI-S</t>
  </si>
  <si>
    <t>WHF-OS-TOJI-M</t>
  </si>
  <si>
    <t>WHF-OS-TOJI-L</t>
  </si>
  <si>
    <t>WHF-OS-TOJI-XL</t>
  </si>
  <si>
    <t>OS-TOJI-S</t>
  </si>
  <si>
    <t>OS-TOJI-M</t>
  </si>
  <si>
    <t>OS-TOJI-L</t>
  </si>
  <si>
    <t>OS-TOJI-XL</t>
  </si>
  <si>
    <t>52 - Tokyo Manji</t>
  </si>
  <si>
    <t>Tokyo Manji</t>
  </si>
  <si>
    <t>OS- TM- S</t>
  </si>
  <si>
    <t>OS- TM- M</t>
  </si>
  <si>
    <t>OS- TM- L</t>
  </si>
  <si>
    <t>OS- TM- XL</t>
  </si>
  <si>
    <t>WHF-OS-TOKYO-S</t>
  </si>
  <si>
    <t>WHF-OS-TOKYO-M</t>
  </si>
  <si>
    <t>WHF-OS-TOKYO-L</t>
  </si>
  <si>
    <t>WHF-OS-TOKYO-XL</t>
  </si>
  <si>
    <t>53 - Vasto Lorde</t>
  </si>
  <si>
    <t>Vasto Lorde</t>
  </si>
  <si>
    <t>OS-VASTO-S</t>
  </si>
  <si>
    <t>OS-VASTO-M</t>
  </si>
  <si>
    <t>OS-VASTO-L</t>
  </si>
  <si>
    <t>OS-VASTO-XL</t>
  </si>
  <si>
    <t>WHF-OS-Vasto-S</t>
  </si>
  <si>
    <t>WHF-OS-Vasto-M</t>
  </si>
  <si>
    <t>WHF-OS-Vasto-L</t>
  </si>
  <si>
    <t>WHF-OS-Vasto-XL</t>
  </si>
  <si>
    <t>54 - Velocity</t>
  </si>
  <si>
    <t>Velocity Brown</t>
  </si>
  <si>
    <t>OS-Velocity-Brown-S</t>
  </si>
  <si>
    <t>OS-Velocity-Brown-M</t>
  </si>
  <si>
    <t>OS-Velocity-Brown-L</t>
  </si>
  <si>
    <t>OS-Velocity-Brown-XL</t>
  </si>
  <si>
    <t>WHF-OS-Velocity-Brown-S</t>
  </si>
  <si>
    <t>WHF-OS-Velocity-Brown-M</t>
  </si>
  <si>
    <t>WHF-OS-Velocity-Brown-L</t>
  </si>
  <si>
    <t>WHF-OS-Velocity-Brown-XL</t>
  </si>
  <si>
    <t>holidays</t>
  </si>
  <si>
    <t>Velocity Sage Green</t>
  </si>
  <si>
    <t>OS-Velocity-Sage-Green-S</t>
  </si>
  <si>
    <t>55 - Choso</t>
  </si>
  <si>
    <t>OS-Velocity-Sage-Green-M</t>
  </si>
  <si>
    <t>OS-Velocity-Sage-Green-L</t>
  </si>
  <si>
    <t>OS-Velocity-Sage-Green-XL</t>
  </si>
  <si>
    <t>WHF-OS-Velocity-Sage-Green-S</t>
  </si>
  <si>
    <t>WHF-OS-Velocity-Sage-Green-M</t>
  </si>
  <si>
    <t>WHF-OS-Velocity-Sage-Green-L</t>
  </si>
  <si>
    <t>WHF-OS-Velocity-Sage-Green-XL</t>
  </si>
  <si>
    <t>Choso Taupe</t>
  </si>
  <si>
    <t>OS-Choso-Taupe-S</t>
  </si>
  <si>
    <t>OS-Choso-Taupe-M</t>
  </si>
  <si>
    <t>OS-Choso-Taupe-L</t>
  </si>
  <si>
    <t>56 - Tokyo Ghoul Hoodie</t>
  </si>
  <si>
    <t>OS-Choso-Taupe-XL</t>
  </si>
  <si>
    <t>WHF-OS-CHOSO-S</t>
  </si>
  <si>
    <t>WHF-OS-CHOSO-M</t>
  </si>
  <si>
    <t>WHF-OS-CHOSO-L</t>
  </si>
  <si>
    <t>WHF-OS-CHOSO-XL</t>
  </si>
  <si>
    <t>Choso White</t>
  </si>
  <si>
    <t>OS-Choso-White-S</t>
  </si>
  <si>
    <t>OS-Choso-White-M</t>
  </si>
  <si>
    <t>OS-Choso-White-L</t>
  </si>
  <si>
    <t>OS-Choso-White-XL</t>
  </si>
  <si>
    <t>57 - Limitless Small</t>
  </si>
  <si>
    <t>lakhvanu baki che Thursday</t>
  </si>
  <si>
    <t>Tokyo Ghoul(Lily) Hoodie</t>
  </si>
  <si>
    <t>Lilly-S</t>
  </si>
  <si>
    <t>Lilly-M</t>
  </si>
  <si>
    <t>Lilly-L</t>
  </si>
  <si>
    <t>Lilly-XL</t>
  </si>
  <si>
    <t>WHF-HO-LILY-S</t>
  </si>
  <si>
    <t>WHF-HO-LILY-M</t>
  </si>
  <si>
    <t>WHF-HO-LILY-L</t>
  </si>
  <si>
    <t>WHF-HO-LILY-XL</t>
  </si>
  <si>
    <t>Limitless Small</t>
  </si>
  <si>
    <t>58 - Freedom</t>
  </si>
  <si>
    <t>S-LIMITLESS-OS</t>
  </si>
  <si>
    <t>M-LIMITLESS-OS</t>
  </si>
  <si>
    <t>L-LIMITLESS-OS</t>
  </si>
  <si>
    <t>XL-LIMITLESS-OS</t>
  </si>
  <si>
    <t>WHF-OS-LIMITLESS-S</t>
  </si>
  <si>
    <t>WHF-OS-LIMITLESS-M</t>
  </si>
  <si>
    <t>WHF-OS-LIMITLESS-L</t>
  </si>
  <si>
    <t>WHF-OS-LIMITLESS-XL</t>
  </si>
  <si>
    <t>Freedom</t>
  </si>
  <si>
    <t>OS-FREEDOM-S</t>
  </si>
  <si>
    <t>OS-FREEDOM-M</t>
  </si>
  <si>
    <t>OS-FREEDOM-L</t>
  </si>
  <si>
    <t>OS-FREEDOM-XL</t>
  </si>
  <si>
    <t>WHF-OS-FREEDOM-S</t>
  </si>
  <si>
    <t>WHF-OS-FREEDOM-M</t>
  </si>
  <si>
    <t>WHF-OS-FREEDOM-L</t>
  </si>
  <si>
    <t>59 - Grimmjow Myntra</t>
  </si>
  <si>
    <t>WHF-OS-FREEDOM-XL</t>
  </si>
  <si>
    <t>Grimmjow Myntra</t>
  </si>
  <si>
    <t>OS-GRIMMJOW-S</t>
  </si>
  <si>
    <t>OS-GRIMMJOW-M</t>
  </si>
  <si>
    <t>OS-GRIMMJOW-L</t>
  </si>
  <si>
    <t>OS-GRIMMJOW-XL</t>
  </si>
  <si>
    <t>WHF-OS-Grimmjow-S</t>
  </si>
  <si>
    <t>WHF-OS-Grimmjow-M</t>
  </si>
  <si>
    <t>WHF-OS-Grimmjow-L</t>
  </si>
  <si>
    <t>WHF-OS-Grimmjow-XL</t>
  </si>
  <si>
    <t>60 - Joker Hoodie</t>
  </si>
  <si>
    <t>Joker Hoodie</t>
  </si>
  <si>
    <t>Doffy-S</t>
  </si>
  <si>
    <t>Doffy-M</t>
  </si>
  <si>
    <t>Doffy-L</t>
  </si>
  <si>
    <t>Doffy-XL</t>
  </si>
  <si>
    <t>WHF-HO-JOKER-S</t>
  </si>
  <si>
    <t>WHF-HO-JOKER-M</t>
  </si>
  <si>
    <t>WHF-HO-JOKER-L</t>
  </si>
  <si>
    <t>WHF-HO-JOKER-XL</t>
  </si>
  <si>
    <t>61 - Wukong</t>
  </si>
  <si>
    <t>Wukong</t>
  </si>
  <si>
    <t>teal_tshirt</t>
  </si>
  <si>
    <t>OS-Wukong-S</t>
  </si>
  <si>
    <t>OS-Wukong-M</t>
  </si>
  <si>
    <t>OS-Wukong-L</t>
  </si>
  <si>
    <t>OS-Wukong-XL</t>
  </si>
  <si>
    <t>WHF-OS-WUKONG-S</t>
  </si>
  <si>
    <t>WHF-OS-WUKONG-M</t>
  </si>
  <si>
    <t>WHF-OS-WUKONG-L</t>
  </si>
  <si>
    <t>WHF-OS-WUKONG-XL</t>
  </si>
  <si>
    <t>62 - Arise</t>
  </si>
  <si>
    <t>Arise</t>
  </si>
  <si>
    <t>Arise - S</t>
  </si>
  <si>
    <t>Arise - M</t>
  </si>
  <si>
    <t>Arise - L</t>
  </si>
  <si>
    <t>Arise - XL</t>
  </si>
  <si>
    <t>WHF-OS-ARISE-S</t>
  </si>
  <si>
    <t>63 - Finding Peace</t>
  </si>
  <si>
    <t>WHF-OS-ARISE-M</t>
  </si>
  <si>
    <t>WHF-OS-ARISE-L</t>
  </si>
  <si>
    <t>WHF-OS-ARISE-XL</t>
  </si>
  <si>
    <t>Finding Peace</t>
  </si>
  <si>
    <t>64 - Cifer</t>
  </si>
  <si>
    <t>OS-FINDING-PEACE-S</t>
  </si>
  <si>
    <t>65 - Thorfinn Shirt</t>
  </si>
  <si>
    <t>OS-FINDING-PEACE-M</t>
  </si>
  <si>
    <t>OS-FINDING-PEACE-L</t>
  </si>
  <si>
    <t>OS-FINDING-PEACE-XL</t>
  </si>
  <si>
    <t>Cifer</t>
  </si>
  <si>
    <t>OS-CIFER-S</t>
  </si>
  <si>
    <t>OS-CIFER-M</t>
  </si>
  <si>
    <t>OS-CIFER-L</t>
  </si>
  <si>
    <t>OS-CIFER-XL</t>
  </si>
  <si>
    <t>WHF-OS-CIFER-S</t>
  </si>
  <si>
    <t>WHF-OS-CIFER-M</t>
  </si>
  <si>
    <t>WHF-OS-CIFER-L</t>
  </si>
  <si>
    <t>WHF-OS-CIFER-XL</t>
  </si>
  <si>
    <t>66 - Akaza</t>
  </si>
  <si>
    <t>Thorfinn Shirt</t>
  </si>
  <si>
    <t>thorfinn_shirt</t>
  </si>
  <si>
    <t>WHF-SHIRT-THORFINN-S</t>
  </si>
  <si>
    <t>WHF-SHIRT-THORFINN-M</t>
  </si>
  <si>
    <t>WHF-SHIRT-THORFINN-L</t>
  </si>
  <si>
    <t>WHF-SHIRT-THORFINN-XL</t>
  </si>
  <si>
    <t>67 - Wings of Freedom Shorts</t>
  </si>
  <si>
    <t>Akaza</t>
  </si>
  <si>
    <t>OS-Akaza-S</t>
  </si>
  <si>
    <t>OS-Akaza-M</t>
  </si>
  <si>
    <t>OS-Akaza-L</t>
  </si>
  <si>
    <t>OS-Akaza-XL</t>
  </si>
  <si>
    <t>WHF-OS-AKAZA-S</t>
  </si>
  <si>
    <t>WHF-OS-AKAZA-M</t>
  </si>
  <si>
    <t>WHF-OS-AKAZA-L</t>
  </si>
  <si>
    <t>WHF-OS-AKAZA-XL</t>
  </si>
  <si>
    <t>Akaza Hoodie</t>
  </si>
  <si>
    <t>WHF-HO-AKAZA-HOODIE-S</t>
  </si>
  <si>
    <t>WHF-HO-AKAZA-HOODIE-M</t>
  </si>
  <si>
    <t>WHF-HO-AKAZA-HOODIE-L</t>
  </si>
  <si>
    <t>WHF-HO-AKAZA-HOODIE-XL</t>
  </si>
  <si>
    <t>Wings of Freedom Shorts</t>
  </si>
  <si>
    <t>navy_shorts</t>
  </si>
  <si>
    <t>WHF-SHORTS-FREEDOM-S</t>
  </si>
  <si>
    <t>WHF-SHORTS-FREEDOM-M</t>
  </si>
  <si>
    <t>68 - King of Hell Shots</t>
  </si>
  <si>
    <t>WHF-SHORTS-FREEDOM-L</t>
  </si>
  <si>
    <t>WHF-SHORTS-FREEDOM-XL</t>
  </si>
  <si>
    <t>WHF-SHORTS-AOT-S</t>
  </si>
  <si>
    <t>WHF-SHORTS-AOT-M</t>
  </si>
  <si>
    <t>WHF-SHORTS-AOT-L</t>
  </si>
  <si>
    <t>WHF-SHORTS-AOT-XL</t>
  </si>
  <si>
    <t>King of Hell Shots</t>
  </si>
  <si>
    <t>sage_shorts</t>
  </si>
  <si>
    <t>WHF-SHORTS-ZORO-S</t>
  </si>
  <si>
    <t>WHF-SHORTS-ZORO-M</t>
  </si>
  <si>
    <t>WHF-SHORTS-ZORO-L</t>
  </si>
  <si>
    <t>WHF-SHORTS-ZORO-XL</t>
  </si>
  <si>
    <t>69 - Gojo Cat Shorts</t>
  </si>
  <si>
    <t>Gojo Cat Shorts</t>
  </si>
  <si>
    <t>WHF-SHORTS-GOJOCAT-S</t>
  </si>
  <si>
    <t>WHF-SHORTS-GOJOCAT-M</t>
  </si>
  <si>
    <t>WHF-SHORTS-GOJOCAT-L</t>
  </si>
  <si>
    <t>WHF-SHORTS-GOJOCAT-XL</t>
  </si>
  <si>
    <t>70 - Ace Emblem Shorts</t>
  </si>
  <si>
    <t>Ace Emblem Shorts</t>
  </si>
  <si>
    <t>black_shorts</t>
  </si>
  <si>
    <t>WHF-SHORTS-ACE-S</t>
  </si>
  <si>
    <t>WHF-SHORTS-ACE-M</t>
  </si>
  <si>
    <t>WHF-SHORTS-ACE-L</t>
  </si>
  <si>
    <t>WHF-SHORTS-ACE-XL</t>
  </si>
  <si>
    <t>AceShort - S</t>
  </si>
  <si>
    <t>AceShort - M</t>
  </si>
  <si>
    <t>AceShort - L</t>
  </si>
  <si>
    <t>AceShort - XL</t>
  </si>
  <si>
    <t>71 - Gear 5 Shorts</t>
  </si>
  <si>
    <t>Gear 5 Shorts</t>
  </si>
  <si>
    <t>WHF-SHORTS-GEAR5-S</t>
  </si>
  <si>
    <t>WHF-SHORTS-GEAR5-M</t>
  </si>
  <si>
    <t>WHF-SHORTS-GEAR5-L</t>
  </si>
  <si>
    <t>WHF-SHORTS-GEAR5-XL</t>
  </si>
  <si>
    <t>72 - Minimalist Shorts</t>
  </si>
  <si>
    <t>Sage Green Minimalist Shorts</t>
  </si>
  <si>
    <t>WHF-SHORTS-SAGE-S</t>
  </si>
  <si>
    <t>WHF-SHORTS-SAGE-M</t>
  </si>
  <si>
    <t>WHF-SHORTS-SAGE-L</t>
  </si>
  <si>
    <t>WHF-SHORTS-SAGE-XL</t>
  </si>
  <si>
    <t>Navy Blue Minimalist Shorts</t>
  </si>
  <si>
    <t>WHF-SHORTS-NAVY-S</t>
  </si>
  <si>
    <t>WHF-SHORTS-NAVY-M</t>
  </si>
  <si>
    <t>WHF-SHORTS-NAVY-L</t>
  </si>
  <si>
    <t>WHF-SHORTS-NAVY-XL</t>
  </si>
  <si>
    <t>Black Minimalist Shorts</t>
  </si>
  <si>
    <t>WHF-SHORTS-BLACK-S</t>
  </si>
  <si>
    <t>WHF-SHORTS-BLACK-M</t>
  </si>
  <si>
    <t>WHF-SHORTS-BLACK-L</t>
  </si>
  <si>
    <t>WHF-SHORTS-BLACK-XL</t>
  </si>
  <si>
    <t>73 - Sasuke Hoodie</t>
  </si>
  <si>
    <t>Sasuke Hoodie</t>
  </si>
  <si>
    <t>H-Sasuke-S</t>
  </si>
  <si>
    <t>H-Sasuke-M</t>
  </si>
  <si>
    <t>H-Sasuke-L</t>
  </si>
  <si>
    <t>H-Sasuke-XL</t>
  </si>
  <si>
    <t>WHF-HO-SASUKE-S</t>
  </si>
  <si>
    <t>WHF-HO-SASUKE-M</t>
  </si>
  <si>
    <t>WHF-HO-SASUKE-L</t>
  </si>
  <si>
    <t>WHF-HO-SASUKE-XL</t>
  </si>
  <si>
    <t>74 - Nanami</t>
  </si>
  <si>
    <t>Nanami</t>
  </si>
  <si>
    <t>OS-Nanami-S</t>
  </si>
  <si>
    <t>OS-Nanami-M</t>
  </si>
  <si>
    <t>OS-Nanami-L</t>
  </si>
  <si>
    <t>OS-Nanami-XL</t>
  </si>
  <si>
    <t>WHF-OS-NANAMI-S</t>
  </si>
  <si>
    <t>WHF-OS-NANAMI-M</t>
  </si>
  <si>
    <t>WHF-OS-NANAMI-L</t>
  </si>
  <si>
    <t>WHF-OS-NANAMI-XL</t>
  </si>
  <si>
    <t>75 - Hanafuda</t>
  </si>
  <si>
    <t>Hanafuda Oversized Tee</t>
  </si>
  <si>
    <t>OS-Hanafuda-S</t>
  </si>
  <si>
    <t>OS-Hanafuda-M</t>
  </si>
  <si>
    <t>OS-Hanafuda-L</t>
  </si>
  <si>
    <t>OS-Hanafuda-XL</t>
  </si>
  <si>
    <t>WHF-OS-HANAFUDA-S</t>
  </si>
  <si>
    <t>WHF-OS-HANAFUDA-M</t>
  </si>
  <si>
    <t>WHF-OS-HANAFUDA-L</t>
  </si>
  <si>
    <t>WHF-OS-HANAFUDA-XL</t>
  </si>
  <si>
    <t>76 - Zenitsu Thunder 18Dec2025</t>
  </si>
  <si>
    <t>Zenitsu Thunder</t>
  </si>
  <si>
    <t>biege_tshirt</t>
  </si>
  <si>
    <t>OS-Zenitsu-Thunder-S</t>
  </si>
  <si>
    <t>OS-Zenitsu-Thunder-M</t>
  </si>
  <si>
    <t>OS-Zenitsu-Thunder-L</t>
  </si>
  <si>
    <t>OS-Zenitsu-Thunder-XL</t>
  </si>
  <si>
    <t>WHF-OS-THNDR-S</t>
  </si>
  <si>
    <t>WHF-OS-THNDR-M</t>
  </si>
  <si>
    <t>WHF-OS-THNDR-L</t>
  </si>
  <si>
    <t>WHF-OS-THNDR-XL</t>
  </si>
  <si>
    <t>OS-THNDR-S</t>
  </si>
  <si>
    <t>OS-THNDR-M</t>
  </si>
  <si>
    <t>OS-THNDR-L</t>
  </si>
  <si>
    <t>OS-THNDR-XL</t>
  </si>
  <si>
    <t>77 - Kokushibo Tshirt</t>
  </si>
  <si>
    <t>Kokushibo Tshirt</t>
  </si>
  <si>
    <t>OS-Kokushibo-S</t>
  </si>
  <si>
    <t>OS-Kokushibo-M</t>
  </si>
  <si>
    <t>OS-Kokushibo-L</t>
  </si>
  <si>
    <t>OS-Kokushibo-XL</t>
  </si>
  <si>
    <t>WHF-OS-KOKUSHIBO-S</t>
  </si>
  <si>
    <t>WHF-OS-KOKUSHIBO-M</t>
  </si>
  <si>
    <t>WHF-OS-KOKUSHIBO-L</t>
  </si>
  <si>
    <t>WHF-OS-KOKUSHIBO-XL</t>
  </si>
  <si>
    <t>78 - Ace Black Hoodie</t>
  </si>
  <si>
    <t>Ace Black Hoodie</t>
  </si>
  <si>
    <t>H-0001-S-Black</t>
  </si>
  <si>
    <t>H-0001-M-Black</t>
  </si>
  <si>
    <t>H-0001-L-Black</t>
  </si>
  <si>
    <t>H-0001-XL-Black</t>
  </si>
  <si>
    <t>WHF-HO-ACE-BLACK-S</t>
  </si>
  <si>
    <t>WHF-HO-ACE-BLACK-M</t>
  </si>
  <si>
    <t>WHF-HO-ACE-BLACK-XL</t>
  </si>
  <si>
    <t>WHF-HO-ACE-BLACK-L</t>
  </si>
  <si>
    <t>79 - Fox Devil</t>
  </si>
  <si>
    <t>Fox Devil</t>
  </si>
  <si>
    <t>OS-FOX-DEVIL-S</t>
  </si>
  <si>
    <t>OS-FOX-DEVIL-M</t>
  </si>
  <si>
    <t>OS-FOX-DEVIL-L</t>
  </si>
  <si>
    <t>OS-FOX-DEVIL-XL</t>
  </si>
  <si>
    <t>WHF-OS-FOX-DEVIL-S</t>
  </si>
  <si>
    <t>WHF-OS-FOX-DEVIL-M</t>
  </si>
  <si>
    <t>WHF-OS-FOX-DEVIL-L</t>
  </si>
  <si>
    <t>WHF-OS-FOX-DEVIL-XL</t>
  </si>
  <si>
    <t>80 - Imposter for white</t>
  </si>
  <si>
    <t>Imposter for White</t>
  </si>
  <si>
    <t>OS-IMPOSTER-WHITE-S</t>
  </si>
  <si>
    <t>OS-IMPOSTER-WHITE-M</t>
  </si>
  <si>
    <t>OS-IMPOSTER-WHITE-L</t>
  </si>
  <si>
    <t>OS-IMPOSTER-WHITE-XL</t>
  </si>
  <si>
    <t>WHF-OS-IMPOSTER-WHITE-S</t>
  </si>
  <si>
    <t>WHF-OS-IMPOSTER-WHITE-M</t>
  </si>
  <si>
    <t>WHF-OS-IMPOSTER-WHITE-L</t>
  </si>
  <si>
    <t>WHF-OS-IMPOSTER-WHITE-XL</t>
  </si>
  <si>
    <t>81 - Imposter for black</t>
  </si>
  <si>
    <t>Imposter for Black</t>
  </si>
  <si>
    <t>OS-IMPOSTER-BLACK-S</t>
  </si>
  <si>
    <t>OS-IMPOSTER-BLACK-M</t>
  </si>
  <si>
    <t>OS-IMPOSTER-BLACK-L</t>
  </si>
  <si>
    <t>OS-IMPOSTER-BLACK-XL</t>
  </si>
  <si>
    <t>WHF-OS-IMPOSTER-BLACK-S</t>
  </si>
  <si>
    <t>WHF-OS-IMPOSTER-BLACK-M</t>
  </si>
  <si>
    <t>WHF-OS-IMPOSTER-BLACK-L</t>
  </si>
  <si>
    <t>WHF-OS-IMPOSTER-BLACK-XL</t>
  </si>
  <si>
    <t>82 - Wild mindset ice blue</t>
  </si>
  <si>
    <t>Wild mindset ice blue</t>
  </si>
  <si>
    <t>OS-MINDSET-ICE-S</t>
  </si>
  <si>
    <t>OS-MINDSET-ICE-M</t>
  </si>
  <si>
    <t>OS-MINDSET-ICE-L</t>
  </si>
  <si>
    <t>OS-MINDSET-ICE-XL</t>
  </si>
  <si>
    <t>WHF-OS-WILDMIND-ICEBLUE-S</t>
  </si>
  <si>
    <t>WHF-OS-WILDMIND-ICEBLUE-M</t>
  </si>
  <si>
    <t>WHF-OS-WILDMIND-ICEBLUE-L</t>
  </si>
  <si>
    <t>WHF-OS-WILDMIND-ICEBLUE-XL</t>
  </si>
  <si>
    <t>83 - Wild mindset Brown</t>
  </si>
  <si>
    <t>Wild mindset Brown</t>
  </si>
  <si>
    <t>OS-MINDSET-BROWN-S</t>
  </si>
  <si>
    <t>OS-MINDSET-BROWN-M</t>
  </si>
  <si>
    <t>OS-MINDSET-BROWN-L</t>
  </si>
  <si>
    <t>OS-MINDSET-BROWN-XL</t>
  </si>
  <si>
    <t>WHF-OS-WILDMIND-BROWN-S</t>
  </si>
  <si>
    <t>WHF-OS-WILDMIND-BROWN-M</t>
  </si>
  <si>
    <t>WHF-OS-WILDMIND-BROWN-L</t>
  </si>
  <si>
    <t>WHF-OS-WILDMIND-BROWN-XL</t>
  </si>
  <si>
    <t>84 - Manta rays</t>
  </si>
  <si>
    <t>Manta ray</t>
  </si>
  <si>
    <t>OS-MANTA-S</t>
  </si>
  <si>
    <t>OS-MANTA-M</t>
  </si>
  <si>
    <t>OS-MANTA-L</t>
  </si>
  <si>
    <t>OS-MANTA-XL</t>
  </si>
  <si>
    <t>WHF-OS-MANTA-S</t>
  </si>
  <si>
    <t>WHF-OS-MANTA-M</t>
  </si>
  <si>
    <t>WHF-OS-MANTA-L</t>
  </si>
  <si>
    <t>WHF-OS-MANTA-XL</t>
  </si>
  <si>
    <t>85 - Money for porsche</t>
  </si>
  <si>
    <t>Money for porsche</t>
  </si>
  <si>
    <t>OS-PORSCHE-S</t>
  </si>
  <si>
    <t>OS-PORSCHE-M</t>
  </si>
  <si>
    <t>OS-PORSCHE-L</t>
  </si>
  <si>
    <t>OS-PORSCHE-XL</t>
  </si>
  <si>
    <t>86 - Look mom fly</t>
  </si>
  <si>
    <t>Look mom fly</t>
  </si>
  <si>
    <t>OS-TRAVIS-S</t>
  </si>
  <si>
    <t>OS-TRAVIS-M</t>
  </si>
  <si>
    <t>OS-TRAVIS-L</t>
  </si>
  <si>
    <t>OS-TRAVIS-XL</t>
  </si>
  <si>
    <t>87 - Flying Tiger</t>
  </si>
  <si>
    <t>Flying Tiger</t>
  </si>
  <si>
    <t>OS-FLYING-TIGER-S</t>
  </si>
  <si>
    <t>OS-FLYING-TIGER-M</t>
  </si>
  <si>
    <t>OS-FLYING-TIGER-L</t>
  </si>
  <si>
    <t>OS-FLYING-TIGER-XL</t>
  </si>
  <si>
    <t>WHF-OS-FLYING-TIGER-S</t>
  </si>
  <si>
    <t>WHF-OS-FLYING-TIGER-M</t>
  </si>
  <si>
    <t>WHF-OS-FLYING-TIGER-L</t>
  </si>
  <si>
    <t>WHF-OS-FLYING-TIGER-XL</t>
  </si>
  <si>
    <t>88 - Eagle</t>
  </si>
  <si>
    <t>Eagle</t>
  </si>
  <si>
    <t>OS-EAGLE-S</t>
  </si>
  <si>
    <t>OS-EAGLE-M</t>
  </si>
  <si>
    <t>OS-EAGLE-L</t>
  </si>
  <si>
    <t>OS-EAGLE-XL</t>
  </si>
  <si>
    <t>89 - Tiger twins Off White</t>
  </si>
  <si>
    <t>Tiger twins Off White</t>
  </si>
  <si>
    <t>OS-TWINS-CREAM-S</t>
  </si>
  <si>
    <t>OS-TWINS-CREAM-M</t>
  </si>
  <si>
    <t>OS-TWINS-CREAM-L</t>
  </si>
  <si>
    <t>OS-TWINS-CREAM-XL</t>
  </si>
  <si>
    <t>WHF-OS-TIGER-TWIN-CREAM-S</t>
  </si>
  <si>
    <t>WHF-OS-TIGER-TWIN-CREAM-M</t>
  </si>
  <si>
    <t>WHF-OS-TIGER-TWIN-CREAM-L</t>
  </si>
  <si>
    <t>WHF-OS-TIGER-TWIN-CREAM-XL</t>
  </si>
  <si>
    <t>90 - Tiger twins Ice Blue</t>
  </si>
  <si>
    <t>Tiger twins Ice Blue</t>
  </si>
  <si>
    <t>OS-TWINS-ICE-S</t>
  </si>
  <si>
    <t>OS-TWINS-ICE-M</t>
  </si>
  <si>
    <t>OS-TWINS-ICE-L</t>
  </si>
  <si>
    <t>OS-TWINS-ICE-XL</t>
  </si>
  <si>
    <t>WHF-OS-TIGER-TWIN-ICEBLUE-S</t>
  </si>
  <si>
    <t>WHF-OS-TIGER-TWIN-ICEBLUE-M</t>
  </si>
  <si>
    <t>WHF-OS-TIGER-TWIN-ICEBLUE-L</t>
  </si>
  <si>
    <t>WHF-OS-TIGER-TWIN-ICEBLUE-XL</t>
  </si>
  <si>
    <t>91 - Cactus Jack</t>
  </si>
  <si>
    <t>Cactus Jack</t>
  </si>
  <si>
    <t>OS-CACTUS-S</t>
  </si>
  <si>
    <t>OS-CACTUS-M</t>
  </si>
  <si>
    <t>OS-CACTUS-L</t>
  </si>
  <si>
    <t>OS-CACTUS-XL</t>
  </si>
  <si>
    <t>WHF-OS-CACTUS-S</t>
  </si>
  <si>
    <t>WHF-OS-CACTUS-M</t>
  </si>
  <si>
    <t>WHF-OS-CACTUS-L</t>
  </si>
  <si>
    <t>WHF-OS-CACTUS-XL</t>
  </si>
  <si>
    <t>92 - Saiyan's Pride Hoodie</t>
  </si>
  <si>
    <t>Saiyan's Pride</t>
  </si>
  <si>
    <t>Vegeta-S</t>
  </si>
  <si>
    <t>Vegeta-M</t>
  </si>
  <si>
    <t>Vegeta-L</t>
  </si>
  <si>
    <t>Vegeta-XL</t>
  </si>
  <si>
    <t>WHF-HO-SAIYANS-PRIDE-S</t>
  </si>
  <si>
    <t>WHF-HO-SAIYANS-PRIDE-M</t>
  </si>
  <si>
    <t>WHF-HO-SAIYANS-PRIDE-L</t>
  </si>
  <si>
    <t>WHF-HO-SAIYANS-PRIDE-XL</t>
  </si>
  <si>
    <t>Dark Grey Cargo</t>
  </si>
  <si>
    <t>grey_cargo</t>
  </si>
  <si>
    <t>WHF-CARGO-D.GREY-S</t>
  </si>
  <si>
    <t>WHF-CARGO-D.GREY-M</t>
  </si>
  <si>
    <t>WHF-CARGO-D.GREY-L</t>
  </si>
  <si>
    <t>WHF-CARGO-D.GREY-XL</t>
  </si>
  <si>
    <t>Black Cargo</t>
  </si>
  <si>
    <t>black_cargo</t>
  </si>
  <si>
    <t>WHF-CARGO-BLACK-S</t>
  </si>
  <si>
    <t>WHF-CARGO-BLACK-M</t>
  </si>
  <si>
    <t>WHF-CARGO-BLACK-L</t>
  </si>
  <si>
    <t>WHF-CARGO-BLACK-XL</t>
  </si>
  <si>
    <t>Levi Off-White Hoodie</t>
  </si>
  <si>
    <t>H-0014-S</t>
  </si>
  <si>
    <t>H-0014-M</t>
  </si>
  <si>
    <t>H-0014-L</t>
  </si>
  <si>
    <t>H-0014-XL</t>
  </si>
  <si>
    <t>WHF-HO-LEVI-S</t>
  </si>
  <si>
    <t>WHF-HO-LEVI-M</t>
  </si>
  <si>
    <t>WHF-HO-LEVI-L</t>
  </si>
  <si>
    <t>WHF-HO-LEVI-XL</t>
  </si>
  <si>
    <t>Beru</t>
  </si>
  <si>
    <t>beru_ready</t>
  </si>
  <si>
    <t>OS-BERU-S</t>
  </si>
  <si>
    <t>OS-BERU-M</t>
  </si>
  <si>
    <t>OS-BERU-L</t>
  </si>
  <si>
    <t>OS-BERU-XL</t>
  </si>
  <si>
    <t>WHF-OS-BERU-S</t>
  </si>
  <si>
    <t>WHF-OS-BERU-M</t>
  </si>
  <si>
    <t>WHF-OS-BERU-L</t>
  </si>
  <si>
    <t>WHF-OS-BERU-XL</t>
  </si>
  <si>
    <t>Zenitsu</t>
  </si>
  <si>
    <t>zenitsu_ready</t>
  </si>
  <si>
    <t>os-zenitsu-s</t>
  </si>
  <si>
    <t>os-zenitsu-m</t>
  </si>
  <si>
    <t>os-zenitsu-l</t>
  </si>
  <si>
    <t>os-zenitsu-xl</t>
  </si>
  <si>
    <t>WH-OS-ZENITSU-S</t>
  </si>
  <si>
    <t>WH-OS-ZENITSU-M</t>
  </si>
  <si>
    <t>WH-OS-ZENITSU-L</t>
  </si>
  <si>
    <t>WH-OS-ZENITSU-XL</t>
  </si>
  <si>
    <t>Kokushibo Hoodie</t>
  </si>
  <si>
    <t>kokushibo_hoodie_ready</t>
  </si>
  <si>
    <t>Moon-S</t>
  </si>
  <si>
    <t>Moon-M</t>
  </si>
  <si>
    <t>Moon-L</t>
  </si>
  <si>
    <t>Moon-XL</t>
  </si>
  <si>
    <t>WHF-HO-KOKUSHIBO-S</t>
  </si>
  <si>
    <t>WHF-HO-KOKUSHIBO-M</t>
  </si>
  <si>
    <t>WHF-HO-KOKUSHIBO-L</t>
  </si>
  <si>
    <t>WHF-HO-KOKUSHIBO-XL</t>
  </si>
  <si>
    <t>Asura Sweatshirt</t>
  </si>
  <si>
    <t>asura_sweatshirt_ready</t>
  </si>
  <si>
    <t>Asura-S</t>
  </si>
  <si>
    <t>Asura-M</t>
  </si>
  <si>
    <t>Asura-L</t>
  </si>
  <si>
    <t>Asura-XL</t>
  </si>
  <si>
    <t>WHF-HO-ASURA-S</t>
  </si>
  <si>
    <t>WHF-HO-ASURA-M</t>
  </si>
  <si>
    <t>WHF-HO-ASURA-L</t>
  </si>
  <si>
    <t>WHF-HO-ASURA-XL</t>
  </si>
  <si>
    <t>Illusionist Aizen Lilac</t>
  </si>
  <si>
    <t>illusionist_aizen_ready</t>
  </si>
  <si>
    <t>Illusionist - S</t>
  </si>
  <si>
    <t>Illusionist - M</t>
  </si>
  <si>
    <t>Illusionist - L</t>
  </si>
  <si>
    <t>Illusionist - XL</t>
  </si>
  <si>
    <t xml:space="preserve">Kaiju No 8 </t>
  </si>
  <si>
    <t xml:space="preserve">kaiju_no_8_ready </t>
  </si>
  <si>
    <t>Kaiju - S</t>
  </si>
  <si>
    <t>Kaiju - M</t>
  </si>
  <si>
    <t>Kaiju - L</t>
  </si>
  <si>
    <t>Kaiju - XL</t>
  </si>
  <si>
    <t>Dabi</t>
  </si>
  <si>
    <t>dabi_ready</t>
  </si>
  <si>
    <t>OS-Dabi-S</t>
  </si>
  <si>
    <t>OS-Dabi-M</t>
  </si>
  <si>
    <t>OS-Dabi-L</t>
  </si>
  <si>
    <t>OS-Dabi-XL</t>
  </si>
  <si>
    <t>Asta Regular Fit</t>
  </si>
  <si>
    <t>0002-S</t>
  </si>
  <si>
    <t>0002-M</t>
  </si>
  <si>
    <t>0002-L</t>
  </si>
  <si>
    <t>0002-XL</t>
  </si>
  <si>
    <t>Grimmjow Regular Fit</t>
  </si>
  <si>
    <t>0003-S</t>
  </si>
  <si>
    <t>0003-M</t>
  </si>
  <si>
    <t>0003-L</t>
  </si>
  <si>
    <t>0003-XL</t>
  </si>
  <si>
    <t>Sukuna Regular Fit</t>
  </si>
  <si>
    <t>Madara Regular Fit</t>
  </si>
  <si>
    <t>0006-S</t>
  </si>
  <si>
    <t>0006-M</t>
  </si>
  <si>
    <t>0006-L</t>
  </si>
  <si>
    <t>0006-XL</t>
  </si>
  <si>
    <t>Yuta Regular Fit</t>
  </si>
  <si>
    <t>RF-YUTA-S</t>
  </si>
  <si>
    <t>RF-YUTA-M</t>
  </si>
  <si>
    <t>RF-YUTA-L</t>
  </si>
  <si>
    <t>RF-YUTA-XL</t>
  </si>
  <si>
    <t>Cream Oversized Tee</t>
  </si>
  <si>
    <t>WHF-OS-Cream-S</t>
  </si>
  <si>
    <t>WHF-OS-Cream-M</t>
  </si>
  <si>
    <t>WHF-OS-Cream-L</t>
  </si>
  <si>
    <t>WHF-OS-Cream-XL</t>
  </si>
  <si>
    <t>Bottle Green Oversized Tee</t>
  </si>
  <si>
    <t>WHF-OS-B.GREEN-S</t>
  </si>
  <si>
    <t>WHF-OS-B.GREEN-M</t>
  </si>
  <si>
    <t>WHF-OS-B.GREEN-L</t>
  </si>
  <si>
    <t>WHF-OS-B.GREEN-XL</t>
  </si>
  <si>
    <t>Royal Blue Oversized Tee</t>
  </si>
  <si>
    <t>WHF-OS-R.Blue-S</t>
  </si>
  <si>
    <t>WHF-OS-R.Blue-M</t>
  </si>
  <si>
    <t>WHF-OS-R.Blue-L</t>
  </si>
  <si>
    <t>WHF-OS-R.Blue-XL</t>
  </si>
  <si>
    <t>Taupe Oversized Tee</t>
  </si>
  <si>
    <t>WHF-OS-TAN-S</t>
  </si>
  <si>
    <t>WHF-OS-TAN-M</t>
  </si>
  <si>
    <t>WHF-OS-TAN-L</t>
  </si>
  <si>
    <t>WHF-OS-TAN-XL</t>
  </si>
  <si>
    <t>Plain Acid Washed Tee</t>
  </si>
  <si>
    <t>WHF-OS-ACID-Wash-S</t>
  </si>
  <si>
    <t>WHF-OS-ACID-Wash-M</t>
  </si>
  <si>
    <t>WHF-OS-ACID-Wash-L</t>
  </si>
  <si>
    <t>WHF-OS-ACID-Wash-XL</t>
  </si>
  <si>
    <t>Brown Oversized Tee</t>
  </si>
  <si>
    <t>WHF-OS-Brown-S</t>
  </si>
  <si>
    <t>WHF-OS-Brown-M</t>
  </si>
  <si>
    <t>WHF-OS-Brown-L</t>
  </si>
  <si>
    <t>WHF-OS-Brown-XL</t>
  </si>
  <si>
    <t>Grey Oversized Tee</t>
  </si>
  <si>
    <t>WHF-OS-Grey-S</t>
  </si>
  <si>
    <t>WHF-OS-Grey-M</t>
  </si>
  <si>
    <t>WHF-OS-Grey-L</t>
  </si>
  <si>
    <t>WHF-OS-Grey-XL</t>
  </si>
  <si>
    <t>Black Oversized Tee</t>
  </si>
  <si>
    <t>WHF-OS-Black-S</t>
  </si>
  <si>
    <t>WHF-OS-Black-M</t>
  </si>
  <si>
    <t>WHF-OS-Black-L</t>
  </si>
  <si>
    <t>WHF-OS-Black-XL</t>
  </si>
  <si>
    <t>Sage Green Oversized Tee</t>
  </si>
  <si>
    <t>WHF-OS-Sage-Green-S</t>
  </si>
  <si>
    <t>WHF-OS-Sage-Green-M</t>
  </si>
  <si>
    <t>WHF-OS-Sage-Green-L</t>
  </si>
  <si>
    <t>WHF-OS-Sage-Green-XL</t>
  </si>
  <si>
    <t>Navy Blue Oversized Tee</t>
  </si>
  <si>
    <t>WHF-OS-NAVY-S</t>
  </si>
  <si>
    <t>WHF-OS-NAVY-M</t>
  </si>
  <si>
    <t>WHF-OS-NAVY-L</t>
  </si>
  <si>
    <t>WHF-OS-NAVY-XL</t>
  </si>
  <si>
    <t>White Oversized Tee</t>
  </si>
  <si>
    <t>WHF-OS-White-S</t>
  </si>
  <si>
    <t>WHF-OS-White-M</t>
  </si>
  <si>
    <t>WHF-OS-White-L</t>
  </si>
  <si>
    <t>WHF-OS-White-XL</t>
  </si>
  <si>
    <t>Beige Oversized Tee</t>
  </si>
  <si>
    <t>WHF-OS-BEIGE-S</t>
  </si>
  <si>
    <t>WHF-OS-BEIGE-M</t>
  </si>
  <si>
    <t>WHF-OS-BEIGE-L</t>
  </si>
  <si>
    <t>WHF-OS-BEIGE-XL</t>
  </si>
  <si>
    <t>Teal Oversized Tee</t>
  </si>
  <si>
    <t>WHF-OS-TEAL-S</t>
  </si>
  <si>
    <t>WHF-OS-TEAL-M</t>
  </si>
  <si>
    <t>WHF-OS-TEAL-L</t>
  </si>
  <si>
    <t>WHF-OS-TEAL-XL</t>
  </si>
  <si>
    <t>Ice Blue Oversized Tee</t>
  </si>
  <si>
    <t>WHF-OS-ICE-BLUE-S</t>
  </si>
  <si>
    <t>WHF-OS-ICE-BLUE-M</t>
  </si>
  <si>
    <t>WHF-OS-ICE-BLUE-L</t>
  </si>
  <si>
    <t>WHF-OS-ICE-BLUE-XL</t>
  </si>
  <si>
    <t>Plain Black Hoodie</t>
  </si>
  <si>
    <t>WHF-HO-PLAIN-BLACK-S</t>
  </si>
  <si>
    <t>WHF-HO-PLAIN-BLACK-M</t>
  </si>
  <si>
    <t>WHF-HO-PLAIN-BLACK-L</t>
  </si>
  <si>
    <t>WHF-HO-PLAIN-BLACK-XL</t>
  </si>
  <si>
    <t>Plain Off White Hoodie</t>
  </si>
  <si>
    <t>WHF-HO-PLAIN-OFF-WHITE-S</t>
  </si>
  <si>
    <t>WHF-HO-PLAIN-OFF-WHITE-M</t>
  </si>
  <si>
    <t>WHF-HO-PLAIN-OFF-WHITE-L</t>
  </si>
  <si>
    <t>WHF-HO-PLAIN-OFF-WHITE-XL</t>
  </si>
  <si>
    <t>93 - Chrollo Tan 08Dec25</t>
  </si>
  <si>
    <t>Chrollo Hoodie</t>
  </si>
  <si>
    <t>tan_hoodie</t>
  </si>
  <si>
    <t>WHF-HO-CHROLLO-S</t>
  </si>
  <si>
    <t>WHF-HO-CHROLLO-M</t>
  </si>
  <si>
    <t>WHF-HO-CHROLLO-L</t>
  </si>
  <si>
    <t>WHF-HO-CHROLLO-XL</t>
  </si>
  <si>
    <t>94 - Gojo Fish Hoodie 25March26</t>
  </si>
  <si>
    <t>Gojo Fish Hoodie</t>
  </si>
  <si>
    <t>WHF-HO-GOJO-FISH-S</t>
  </si>
  <si>
    <t>WHF-HO-GOJO-FISH-M</t>
  </si>
  <si>
    <t>WHF-HO-GOJO-FISH-L</t>
  </si>
  <si>
    <t>WHF-HO-GOJO-FISH-XL</t>
  </si>
  <si>
    <t>Gojo Fish Tshirt</t>
  </si>
  <si>
    <t>WHF-OS-GOJO-FISH-S</t>
  </si>
  <si>
    <t>WHF-OS-GOJO-FISH-M</t>
  </si>
  <si>
    <t>WHF-OS-GOJO-FISH-L</t>
  </si>
  <si>
    <t>WHF-OS-GOJO-FISH-XL</t>
  </si>
  <si>
    <t>95 - Black Divider 08Dec25</t>
  </si>
  <si>
    <t>Asta - Black Divider Hoodie</t>
  </si>
  <si>
    <t>HO-BLACKDIVIDER-S</t>
  </si>
  <si>
    <t>HO-BLACKDIVIDER-M</t>
  </si>
  <si>
    <t>HO-BLACKDIVIDER-L</t>
  </si>
  <si>
    <t>HO-BLACKDIVIDER-XL</t>
  </si>
  <si>
    <t>WHF-HO-BLACKDIVIDER-S</t>
  </si>
  <si>
    <t>WHF-HO-BLACKDIVIDER-M</t>
  </si>
  <si>
    <t>WHF-HO-BLACKDIVIDER-L</t>
  </si>
  <si>
    <t>WHF-HO-BLACKDIVIDER-XL</t>
  </si>
  <si>
    <t>96 - Dynamight 08Dec25</t>
  </si>
  <si>
    <t>Dynamight Hoodie</t>
  </si>
  <si>
    <t>WHF-HO-DYNAMIGHT-S</t>
  </si>
  <si>
    <t>WHF-HO-DYNAMIGHT-M</t>
  </si>
  <si>
    <t>WHF-HO-DYNAMIGHT-L</t>
  </si>
  <si>
    <t>WHF-HO-DYNAMIGHT-XL</t>
  </si>
  <si>
    <t>Tan Plain Hoodie</t>
  </si>
  <si>
    <t>WHF-HO-TAN-S</t>
  </si>
  <si>
    <t>WHF-HO-TAN-M</t>
  </si>
  <si>
    <t>WHF-HO-TAN-L</t>
  </si>
  <si>
    <t>WHF-HO-TAN-XL</t>
  </si>
  <si>
    <t>97 - Gojo Hand Hoodie 09Dec25</t>
  </si>
  <si>
    <t>Gojo Hand Hoodie</t>
  </si>
  <si>
    <t>WHF-HO-GOJO-BLACK-S</t>
  </si>
  <si>
    <t>WHF-HO-GOJO-BLACK-M</t>
  </si>
  <si>
    <t>WHF-HO-GOJO-BLACK-L</t>
  </si>
  <si>
    <t>WHF-HO-GOJO-BLACK-XL</t>
  </si>
  <si>
    <t>Plain Acid Washed Hoodie</t>
  </si>
  <si>
    <t>WHF-HO-ACID-WASH-HOODIE-S</t>
  </si>
  <si>
    <t>WHF-HO-ACID-WASH-HOODIE-M</t>
  </si>
  <si>
    <t>WHF-HO-ACID-WASH-HOODIE-L</t>
  </si>
  <si>
    <t>WHF-HO-ACID-WASH-HOODIE-XL</t>
  </si>
  <si>
    <t>98 - Berserk Shirt 03Nov25</t>
  </si>
  <si>
    <t>Berserk Shirt</t>
  </si>
  <si>
    <t>berserk_shirt</t>
  </si>
  <si>
    <t>WHF-SHIRT-BERSERK-S</t>
  </si>
  <si>
    <t>WHF-SHIRT-BERSERK-M</t>
  </si>
  <si>
    <t>WHF-SHIRT-BERSERK-L</t>
  </si>
  <si>
    <t>WHF-SHIRT-BERSERK-XL</t>
  </si>
  <si>
    <t>101 - Vigilante 08Jan26</t>
  </si>
  <si>
    <t>Vigilante Tshirt</t>
  </si>
  <si>
    <t>WHF-VIGILANTE-S</t>
  </si>
  <si>
    <t>WHF-VIGILANTE-M</t>
  </si>
  <si>
    <t>WHF-VIGILANTE-L</t>
  </si>
  <si>
    <t>WHF-VIGILANTE-XL</t>
  </si>
  <si>
    <t>Asta Readymade tshirt</t>
  </si>
  <si>
    <t>asta_readymade_tshirt</t>
  </si>
  <si>
    <t>os-asta-s</t>
  </si>
  <si>
    <t>os-asta-m</t>
  </si>
  <si>
    <t>os-asta-l</t>
  </si>
  <si>
    <t>os-asta-xl</t>
  </si>
  <si>
    <t>OS-ASTA-S</t>
  </si>
  <si>
    <t>OS-ASTA-M</t>
  </si>
  <si>
    <t>OS-ASTA-L</t>
  </si>
  <si>
    <t>OS-ASTA-XL</t>
  </si>
  <si>
    <t>OS-Asta-S</t>
  </si>
  <si>
    <t>OS-Asta-M</t>
  </si>
  <si>
    <t>OS-Asta-L</t>
  </si>
  <si>
    <t>OS-Asta-XL</t>
  </si>
  <si>
    <t>99 - Berserk Pent 25March26</t>
  </si>
  <si>
    <t>Berserk Pent</t>
  </si>
  <si>
    <t>black_plain_pent</t>
  </si>
  <si>
    <t>WHF-PANT-BERSERK-S</t>
  </si>
  <si>
    <t>WHF-PANT-BERSERK-M</t>
  </si>
  <si>
    <t>WHF-PANT-BERSERK-L</t>
  </si>
  <si>
    <t>WHF-PANT-BERSERK-XL</t>
  </si>
  <si>
    <t>100 - Berserk Armour 14March26</t>
  </si>
  <si>
    <t>Berserk Armour Tshirt</t>
  </si>
  <si>
    <t>armour_acid_wash_tshirt</t>
  </si>
  <si>
    <t>WHF-RF-BerserkPattern-S</t>
  </si>
  <si>
    <t>WHF-RF-BerserkPattern-M</t>
  </si>
  <si>
    <t>WHF-RF-BerserkPattern-L</t>
  </si>
  <si>
    <t>WHF-RF-BerserkPattern-XL</t>
  </si>
  <si>
    <t>102 - Chrollo Grey Tshirt 27April26</t>
  </si>
  <si>
    <t>Chrollo grey Tshirt</t>
  </si>
  <si>
    <t>WHF-OS-CHROLLO-GREY-S</t>
  </si>
  <si>
    <t>WHF-OS-CHROLLO-GREY-M</t>
  </si>
  <si>
    <t>WHF-OS-CHROLLO-GREY-L</t>
  </si>
  <si>
    <t>WHF-OS-CHROLLO-GREY-XL</t>
  </si>
  <si>
    <t>103 - Chrollo Biege Tshirt 27April26</t>
  </si>
  <si>
    <t>Chrollo beige Tshirt</t>
  </si>
  <si>
    <t>WHF-OS-CHROLLO-BEIGE-S</t>
  </si>
  <si>
    <t>WHF-OS-CHROLLO-BEIGE-M</t>
  </si>
  <si>
    <t>WHF-OS-CHROLLO-BEIGE-L</t>
  </si>
  <si>
    <t>WHF-OS-CHROLLO-BEIGE-XL</t>
  </si>
  <si>
    <t>104 - Fire Force Biege Tshirt 27April26</t>
  </si>
  <si>
    <t>Fire Force Tshirt</t>
  </si>
  <si>
    <t>WHF-OS-DEVIL-FIRE-FORCE-S</t>
  </si>
  <si>
    <t>WHF-OS-DEVIL-FIRE-FORCE-M</t>
  </si>
  <si>
    <t>WHF-OS-DEVIL-FIRE-FORCE-L</t>
  </si>
  <si>
    <t>WHF-OS-DEVIL-FIRE-FORCE-XL</t>
  </si>
  <si>
    <t>105 - F1 Tshirt 27April26</t>
  </si>
  <si>
    <t>F1 Tshirt</t>
  </si>
  <si>
    <t>red_tshirt</t>
  </si>
  <si>
    <t>WHF-OS-F1-S</t>
  </si>
  <si>
    <t>WHF-OS-F1-M</t>
  </si>
  <si>
    <t>WHF-OS-F1-L</t>
  </si>
  <si>
    <t>WHF-OS-F1-XL</t>
  </si>
  <si>
    <t>106 - Yuta tshirt 27April26</t>
  </si>
  <si>
    <t>Yuta Tshirt</t>
  </si>
  <si>
    <t>WHF-OS-YUTA-S</t>
  </si>
  <si>
    <t>WHF-OS-YUTA-M</t>
  </si>
  <si>
    <t>WHF-OS-YUTA-L</t>
  </si>
  <si>
    <t>WHF-OS-YUTA-XL</t>
  </si>
  <si>
    <t>107 - Griffith Tshirt 27April26</t>
  </si>
  <si>
    <t>Griffith Tshirt</t>
  </si>
  <si>
    <t>nexa_washed_green_tshirt</t>
  </si>
  <si>
    <t>WHF-OS-GRIFFITH-S</t>
  </si>
  <si>
    <t>WHF-OS-GRIFFITH-M</t>
  </si>
  <si>
    <t>WHF-OS-GRIFFITH-L</t>
  </si>
  <si>
    <t>WHF-OS-GRIFFITH-XL</t>
  </si>
  <si>
    <t>108 - Fire Force Pent 27April26</t>
  </si>
  <si>
    <t>Fire Force Pent</t>
  </si>
  <si>
    <t>WHF-PANT-FIREFORCE-S</t>
  </si>
  <si>
    <t>WHF-PANT-FIREFORCE-M</t>
  </si>
  <si>
    <t>WHF-PANT-FIREFORCE-L</t>
  </si>
  <si>
    <t>WHF-PANT-FIREFORCE-XL</t>
  </si>
  <si>
    <t>109 - Bungee Gum Pent 27April26</t>
  </si>
  <si>
    <r>
      <rPr>
        <sz val="10"/>
        <color rgb="FFC27BA0"/>
        <rFont val="Arial"/>
      </rPr>
      <t>Bungee Gum</t>
    </r>
    <r>
      <rPr>
        <sz val="10"/>
        <color rgb="FFFFFFFF"/>
        <rFont val="Arial"/>
      </rPr>
      <t xml:space="preserve"> Pent</t>
    </r>
  </si>
  <si>
    <t>WHF-PANT-BUNGEE-S</t>
  </si>
  <si>
    <t>WHF-PANT-BUNGEE-M</t>
  </si>
  <si>
    <t>WHF-PANT-BUNGEE-L</t>
  </si>
  <si>
    <t>WHF-PANT-BUNGEE-XL</t>
  </si>
  <si>
    <t>110 - Sukuna Pent 27April26</t>
  </si>
  <si>
    <t xml:space="preserve">Sukuna Pent </t>
  </si>
  <si>
    <t>WHF-PANT-SUKUNA-S</t>
  </si>
  <si>
    <t>WHF-PANT-SUKUNA-M</t>
  </si>
  <si>
    <t>WHF-PANT-SUKUNA-L</t>
  </si>
  <si>
    <t>WHF-PANT-SUKUNA-XL</t>
  </si>
  <si>
    <t>111 - Sasuke Pent 27April26</t>
  </si>
  <si>
    <t>Sasuke Pent</t>
  </si>
  <si>
    <t>WHF-PANT-SNAKE-S</t>
  </si>
  <si>
    <t>WHF-PANT-SNAKE-M</t>
  </si>
  <si>
    <t>WHF-PANT-SNAKE-L</t>
  </si>
  <si>
    <t>WHF-PANT-SNAKE-XL</t>
  </si>
  <si>
    <t>112 - Cherry Blossom 26May26</t>
  </si>
  <si>
    <t>Cherry Blossom Tshirt</t>
  </si>
  <si>
    <t>WHF-OS-CHERRY-BLOSSOM-S</t>
  </si>
  <si>
    <t>WHF-OS-CHERRY-BLOSSOM-M</t>
  </si>
  <si>
    <t>WHF-OS-CHERRY-BLOSSOM-L</t>
  </si>
  <si>
    <t>WHF-OS-CHERRY-BLOSSOM-XL</t>
  </si>
  <si>
    <t>113 - Divine Touch 30May26</t>
  </si>
  <si>
    <t>Divine Touch Tshirt</t>
  </si>
  <si>
    <t>WHF-OS-DIVINE-TOUCH-S</t>
  </si>
  <si>
    <t>WHF-OS-DIVINE-TOUCH-L</t>
  </si>
  <si>
    <t>WHF-OS-DIVINE-TOUCH-XL</t>
  </si>
  <si>
    <t>114 - Golden Caps</t>
  </si>
  <si>
    <t>Golden Cap Tshirt</t>
  </si>
  <si>
    <t>WHF-OS-GOLDEN-CAP-S</t>
  </si>
  <si>
    <t>WHF-OS-GOLDEN-CAP-M</t>
  </si>
  <si>
    <t>WHF-OS-GOLDEN-CAP-L</t>
  </si>
  <si>
    <t>WHF-OS-GOLDEN-CAP-XL</t>
  </si>
  <si>
    <t>115 - Himalayas 14June26</t>
  </si>
  <si>
    <t>Himalayas Tshirt</t>
  </si>
  <si>
    <t>WHF-OS-HIMALAYAS-S</t>
  </si>
  <si>
    <t>WHF-OS-HIMALAYAS-M</t>
  </si>
  <si>
    <t>WHF-OS-HIMALAYAS-L</t>
  </si>
  <si>
    <t>WHF-OS-HIMALAYAS-XL</t>
  </si>
  <si>
    <t>116 - Mindset Teal 26May26</t>
  </si>
  <si>
    <t xml:space="preserve">Chess Ice Teal Tshirt </t>
  </si>
  <si>
    <t>WHF-OS-TEAL-CHESS-ICE-S</t>
  </si>
  <si>
    <t>WHF-OS-TEAL-CHESS-ICE-M</t>
  </si>
  <si>
    <t>WHF-OS-TEAL-CHESS-ICE-L</t>
  </si>
  <si>
    <t>WHF-OS-TEAL-CHESS-ICE-XL</t>
  </si>
  <si>
    <t>117 - Mindset White 1June26</t>
  </si>
  <si>
    <t xml:space="preserve">Chess Ice White Tshirt </t>
  </si>
  <si>
    <t>WHF-OS-WHITE-CHESS-ICE-S</t>
  </si>
  <si>
    <t>WHF-OS-WHITE-CHESS-ICE-M</t>
  </si>
  <si>
    <t>WHF-OS-WHITE-CHESS-ICE-L</t>
  </si>
  <si>
    <t>WHF-OS-WHITE-CHESS-ICE-XL</t>
  </si>
  <si>
    <t>118 - Royalty 1June26</t>
  </si>
  <si>
    <t>Royalti - Hathi Tshirt</t>
  </si>
  <si>
    <t>WHF-OS-ROYALITY-S</t>
  </si>
  <si>
    <t>WHF-OS-ROYALITY-M</t>
  </si>
  <si>
    <t>WHF-OS-ROYALITY-L</t>
  </si>
  <si>
    <t>WHF-OS-ROYALITY-XL</t>
  </si>
  <si>
    <t>119 - Supreme Mentality 14June26</t>
  </si>
  <si>
    <t>Supreme Mentality</t>
  </si>
  <si>
    <t>WHF-OS-SUPREME-MENTALITY-S</t>
  </si>
  <si>
    <t>WHF-OS-SUPREME-MENTALITY-M</t>
  </si>
  <si>
    <t>WHF-OS-SUPREME-MENTALITY-L</t>
  </si>
  <si>
    <t>WHF-OS-SUPREME-MENTALITY-XL</t>
  </si>
  <si>
    <t>120 - Gujarat 26May26</t>
  </si>
  <si>
    <t>Gujarat Tshirt</t>
  </si>
  <si>
    <t>WHF-OS-GUJARAT-S</t>
  </si>
  <si>
    <t>WHF-OS-GUJARAT-M</t>
  </si>
  <si>
    <t>WHF-OS-GUJARAT-L</t>
  </si>
  <si>
    <t>WHF-OS-GUJARAT-XL</t>
  </si>
  <si>
    <t>121 - Rajasthan 26May26</t>
  </si>
  <si>
    <t>Rajasthan Tshirt</t>
  </si>
  <si>
    <t>WHF-OS-RAJASTHAN-S</t>
  </si>
  <si>
    <t>WHF-OS-RAJASTHAN-M</t>
  </si>
  <si>
    <t>WHF-OS-RAJASTHAN-L</t>
  </si>
  <si>
    <t>WHF-OS-RAJASTHAN-XL</t>
  </si>
  <si>
    <t>122 - Maharashtra 26May26</t>
  </si>
  <si>
    <t>Maharashtra Tshirt</t>
  </si>
  <si>
    <t>WHF-OS-MAHARASHTRA-S</t>
  </si>
  <si>
    <t>WHF-OS-MAHARASHTRA-M</t>
  </si>
  <si>
    <t>WHF-OS-MAHARASHTRA-L</t>
  </si>
  <si>
    <t>WHF-OS-MAHARASHTRA-XL</t>
  </si>
  <si>
    <t>123 - Hot GF 26May26</t>
  </si>
  <si>
    <t>Hot GF Tshirt</t>
  </si>
  <si>
    <t>WHF-OS-HOT-GF-S</t>
  </si>
  <si>
    <t>WHF-OS-HOT-GF-M</t>
  </si>
  <si>
    <t>WHF-OS-HOT-GF-L</t>
  </si>
  <si>
    <t>WHF-OS-HOT-GF-XL</t>
  </si>
  <si>
    <t>124 - Alcoholic 26May26</t>
  </si>
  <si>
    <t>Alcoholic Tshirt</t>
  </si>
  <si>
    <t>WHF-OS-ALCOHOLIC-S</t>
  </si>
  <si>
    <t>WHF-OS-ALCOHOLIC-M</t>
  </si>
  <si>
    <t>WHF-OS-ALCOHOLIC-L</t>
  </si>
  <si>
    <t>WHF-OS-ALCOHOLIC-XL</t>
  </si>
  <si>
    <t>125 - Good Girl 26May26</t>
  </si>
  <si>
    <t>Good Girl Tshirt</t>
  </si>
  <si>
    <t>WHF-OS-GOOD-GIRL-S</t>
  </si>
  <si>
    <t>WHF-OS-GOOD-GIRL-M</t>
  </si>
  <si>
    <t>WHF-OS-GOOD-GIRL-L</t>
  </si>
  <si>
    <t>WHF-OS-GOOD-GIRL-XL</t>
  </si>
  <si>
    <t>126 - Malibu 26May26</t>
  </si>
  <si>
    <t>Malibu Tshirt</t>
  </si>
  <si>
    <t>WHF-OS-MALIBU-S</t>
  </si>
  <si>
    <t>WHF-OS-MALIBU-M</t>
  </si>
  <si>
    <t>WHF-OS-MALIBU-L</t>
  </si>
  <si>
    <t>WHF-OS-MALIBU-XL</t>
  </si>
  <si>
    <t>127 - Flirting 26May26</t>
  </si>
  <si>
    <t>Flirting Tshirt</t>
  </si>
  <si>
    <t>WHF-OS-FLIRTING-S</t>
  </si>
  <si>
    <t>WHF-OS-FLIRTING-M</t>
  </si>
  <si>
    <t>WHF-OS-FLIRTING-L</t>
  </si>
  <si>
    <t>WHF-OS-FLIRTING-XL</t>
  </si>
  <si>
    <t>128 - Kurama Shirt 26May26</t>
  </si>
  <si>
    <t>Kurama Shirt</t>
  </si>
  <si>
    <t>black_shirt</t>
  </si>
  <si>
    <t>131 - Lily Pent 07June26</t>
  </si>
  <si>
    <r>
      <rPr>
        <b/>
        <sz val="10"/>
        <color rgb="FFCC0000"/>
        <rFont val="Arial"/>
      </rPr>
      <t>Lily</t>
    </r>
    <r>
      <rPr>
        <b/>
        <sz val="10"/>
        <color rgb="FFF3F3F3"/>
        <rFont val="Arial"/>
      </rPr>
      <t xml:space="preserve"> Pent</t>
    </r>
  </si>
  <si>
    <t>WHF-PANT-LILY-S</t>
  </si>
  <si>
    <t>WHF-PANT-LILY-M</t>
  </si>
  <si>
    <t>WHF-PANT-LILY-L</t>
  </si>
  <si>
    <t>WHF-PANT-LILY-XL</t>
  </si>
  <si>
    <t>132 - Heart Pent 26June26</t>
  </si>
  <si>
    <r>
      <rPr>
        <b/>
        <sz val="10"/>
        <color rgb="FFCC0000"/>
        <rFont val="Arial"/>
      </rPr>
      <t xml:space="preserve">Heart </t>
    </r>
    <r>
      <rPr>
        <b/>
        <sz val="10"/>
        <color rgb="FFF3F3F3"/>
        <rFont val="Arial"/>
      </rPr>
      <t>Pent</t>
    </r>
  </si>
  <si>
    <t>WHF-PANT-HEART-S</t>
  </si>
  <si>
    <t>WHF-PANT-HEART-M</t>
  </si>
  <si>
    <t>WHF-PANT-HEART-L</t>
  </si>
  <si>
    <t>WHF-PANT-HEART-XL</t>
  </si>
  <si>
    <r>
      <rPr>
        <b/>
        <sz val="10"/>
        <color rgb="FFCC0000"/>
        <rFont val="Arial"/>
      </rPr>
      <t>Tsukuyomi</t>
    </r>
    <r>
      <rPr>
        <b/>
        <sz val="10"/>
        <color rgb="FFFFFFFF"/>
        <rFont val="Arial"/>
      </rPr>
      <t xml:space="preserve"> (Ready Tshirt)</t>
    </r>
  </si>
  <si>
    <t>tsukuyomi_tshirt_ready</t>
  </si>
  <si>
    <t>WHF-OS-TSUKUYOMI-S</t>
  </si>
  <si>
    <t>WHF-OS-TSUKUYOMI-M</t>
  </si>
  <si>
    <t>WHF-OS-TSUKUYOMI-L</t>
  </si>
  <si>
    <t>WHF-OS-TSUKUYOMI-XL</t>
  </si>
  <si>
    <t>134 - Blood Sword 02July26</t>
  </si>
  <si>
    <t>Blood Sword Tshirt (Acid)</t>
  </si>
  <si>
    <t>WHF-OS-BLOOD-SWORD-S</t>
  </si>
  <si>
    <t>WHF-OS-BLOOD-SWORD-M</t>
  </si>
  <si>
    <t>WHF-OS-BLOOD-SWORD-L</t>
  </si>
  <si>
    <t>WHF-OS-BLOOD-SWORD-XL</t>
  </si>
  <si>
    <t>135 - Green Clover 02July26</t>
  </si>
  <si>
    <t>Green Clover Tshirt (Nexa)</t>
  </si>
  <si>
    <t>WHF-OS-GREEN-CLOVER-S</t>
  </si>
  <si>
    <t>WHF-OS-GREEN-CLOVER-M</t>
  </si>
  <si>
    <t>WHF-OS-GREEN-CLOVER-L</t>
  </si>
  <si>
    <t>WHF-OS-GREEN-CLOVER-XL</t>
  </si>
  <si>
    <t>136 - Kurta 02July26</t>
  </si>
  <si>
    <t>Kurta Tshirt (Acid)</t>
  </si>
  <si>
    <t>WHF-OS-KURTA-S</t>
  </si>
  <si>
    <t>WHF-OS-KURTA-M</t>
  </si>
  <si>
    <t>WHF-OS-KURTA-L</t>
  </si>
  <si>
    <t>WHF-OS-KURTA-XL</t>
  </si>
  <si>
    <t>137 Hand locket 02July26</t>
  </si>
  <si>
    <t>Hand locket Tshirt (Acid)</t>
  </si>
  <si>
    <t>WHF-OS-HAND-LOCKET-S</t>
  </si>
  <si>
    <t>WHF-OS-HAND-LOCKET-M</t>
  </si>
  <si>
    <t>WHF-OS-HAND-LOCKET-L</t>
  </si>
  <si>
    <t>WHF-OS-HAND-LOCKET-XL</t>
  </si>
  <si>
    <t>138 - Skull LF 21July26</t>
  </si>
  <si>
    <t>Skull Tshirt (Acid)</t>
  </si>
  <si>
    <t>WHF-OS-SKULL-S</t>
  </si>
  <si>
    <t>WHF-OS-SKULL-M</t>
  </si>
  <si>
    <t>WHF-OS-SKULL-L</t>
  </si>
  <si>
    <t>WHF-OS-SKULL-XL</t>
  </si>
  <si>
    <t>139 - Scars on back 02july26</t>
  </si>
  <si>
    <t>Scars on back Tshirt (Nexa)</t>
  </si>
  <si>
    <t>WHF-OS-SCARS-ON-BACK-S</t>
  </si>
  <si>
    <t>WHF-OS-SCARS-ON-BACK-M</t>
  </si>
  <si>
    <t>WHF-OS-SCARS-ON-BACK-L</t>
  </si>
  <si>
    <t>WHF-OS-SCARS-ON-BACK-XL</t>
  </si>
  <si>
    <t>141 - Shunsui 02July26</t>
  </si>
  <si>
    <t>Shunsui Tshirt</t>
  </si>
  <si>
    <t>WHF-OS-SHUNSUI-S</t>
  </si>
  <si>
    <t>WHF-OS-SHUNSUI-M</t>
  </si>
  <si>
    <t>WHF-OS-SHUNSUI-L</t>
  </si>
  <si>
    <t>WHF-OS-SHUNSUI-XL</t>
  </si>
  <si>
    <t>142 - White bread LF 22July26</t>
  </si>
  <si>
    <t>White bread Tshirt (Acid)</t>
  </si>
  <si>
    <t>WHF-OS-WHITE-BEARD-S</t>
  </si>
  <si>
    <t>WHF-OS-WHITE-BEARD-M</t>
  </si>
  <si>
    <t>WHF-OS-WHITE-BEARD-L</t>
  </si>
  <si>
    <t>WHF-OS-WHITE-BEARD-XL</t>
  </si>
  <si>
    <t>143 - Eight Batch 02July26</t>
  </si>
  <si>
    <t>Eight Batch Tshirt (Acid)</t>
  </si>
  <si>
    <t>WHF-OS-EIGHT-BATCH-S</t>
  </si>
  <si>
    <t>WHF-OS-EIGHT-BATCH-M</t>
  </si>
  <si>
    <t>WHF-OS-EIGHT-BATCH-L</t>
  </si>
  <si>
    <t>WHF-OS-EIGHT-BATCH-XL</t>
  </si>
  <si>
    <t>144 - No enemies</t>
  </si>
  <si>
    <t>No enemies</t>
  </si>
  <si>
    <t>WHF-OS-NO-ENEMIES-S</t>
  </si>
  <si>
    <t>WHF-OS-NO-ENEMIES-M</t>
  </si>
  <si>
    <t>WHF-OS-NO-ENEMIES-L</t>
  </si>
  <si>
    <t>WHF-OS-NO-ENEMIES-XL</t>
  </si>
  <si>
    <t>145 - strongest LF 22July26-01</t>
  </si>
  <si>
    <t>strongest</t>
  </si>
  <si>
    <t>WHF-OS-STRONGEST-S</t>
  </si>
  <si>
    <t>WHF-OS-STRONGEST-M</t>
  </si>
  <si>
    <t>WHF-OS-STRONGEST-L</t>
  </si>
  <si>
    <t>WHF-OS-STRONGEST-XL</t>
  </si>
  <si>
    <t>146 - kon 03July2026</t>
  </si>
  <si>
    <t>kon Tshirt (Acid)</t>
  </si>
  <si>
    <t>WHF-OS-KON-S</t>
  </si>
  <si>
    <t>WHF-OS-KON-M</t>
  </si>
  <si>
    <t>WHF-OS-KON-L</t>
  </si>
  <si>
    <t>WHF-OS-KON-XL</t>
  </si>
  <si>
    <t>147 - long Hair 03July26</t>
  </si>
  <si>
    <t>long Hair Tshirt (Acid)</t>
  </si>
  <si>
    <t>WHF-OS-LONG-HAIR-S</t>
  </si>
  <si>
    <t>WHF-OS-LONG-HAIR-M</t>
  </si>
  <si>
    <t>WHF-OS-LONG-HAIR-L</t>
  </si>
  <si>
    <t>WHF-OS-LONG-HAIR-XL</t>
  </si>
  <si>
    <t>148 - Black Bull 03July26</t>
  </si>
  <si>
    <t>Black Bull Tshirt (Acid)</t>
  </si>
  <si>
    <t>WHF-OS-BLACK-BULL-S</t>
  </si>
  <si>
    <t>WHF-OS-BLACK-BULL-M</t>
  </si>
  <si>
    <t>WHF-OS-BLACK-BULL-L</t>
  </si>
  <si>
    <t>WHF-OS-BLACK-BULL-XL</t>
  </si>
  <si>
    <t>149 - Six Eyes 03July26-01</t>
  </si>
  <si>
    <t>Six Eyes</t>
  </si>
  <si>
    <t>WHF-OS-SIX-EYES-S</t>
  </si>
  <si>
    <t>WHF-OS-SIX-EYES-M</t>
  </si>
  <si>
    <t>WHF-OS-SIX-EYES-L</t>
  </si>
  <si>
    <t>WHF-OS-SIX-EYES-XL</t>
  </si>
  <si>
    <t>150 - My Magic 03July26-02</t>
  </si>
  <si>
    <t>My Magic Tshirt (Acid)</t>
  </si>
  <si>
    <t>WHF-OS-MY-MAGIC-S</t>
  </si>
  <si>
    <t>WHF-OS-MY-MAGIC-M</t>
  </si>
  <si>
    <t>WHF-OS-MY-MAGIC-L</t>
  </si>
  <si>
    <t>WHF-OS-MY-MAGIC-XL</t>
  </si>
  <si>
    <t>151 - Ghoul LF 22July26</t>
  </si>
  <si>
    <t>Ghoul Tshirt (Acid)</t>
  </si>
  <si>
    <t>WHF-OS-GHOUL-S</t>
  </si>
  <si>
    <t>WHF-OS-GHOUL-M</t>
  </si>
  <si>
    <t>WHF-OS-GHOUL-L</t>
  </si>
  <si>
    <t>WHF-OS-GHOUL-XL</t>
  </si>
  <si>
    <t>152 - Two Guns 03July26</t>
  </si>
  <si>
    <t>Two Guns Tshirt</t>
  </si>
  <si>
    <t>WHF-OS-TWO-GUNS-S</t>
  </si>
  <si>
    <t>WHF-OS-TWO-GUNS-M</t>
  </si>
  <si>
    <t>WHF-OS-TWO-GUNS-L</t>
  </si>
  <si>
    <t>WHF-OS-TWO-GUNS-XL</t>
  </si>
  <si>
    <t>153 - Hand Clap 03July26</t>
  </si>
  <si>
    <t>Hand Clap Tshirt (Acid)</t>
  </si>
  <si>
    <t>WHF-OS-HAND-CLAP-S</t>
  </si>
  <si>
    <t>WHF-OS-HAND-CLAP-M</t>
  </si>
  <si>
    <t>WHF-OS-HAND-CLAP-L</t>
  </si>
  <si>
    <t>WHF-OS-HAND-CLAP-XL</t>
  </si>
  <si>
    <t>154 - Death LF 22July26-01</t>
  </si>
  <si>
    <t>Death Tshirt (Acid)</t>
  </si>
  <si>
    <t>WHF-OS-DEATH-S</t>
  </si>
  <si>
    <t>WHF-OS-DEATH-M</t>
  </si>
  <si>
    <t>WHF-OS-DEATH-L</t>
  </si>
  <si>
    <t>WHF-OS-DEATH-XL</t>
  </si>
  <si>
    <t>d</t>
  </si>
  <si>
    <t>ave</t>
  </si>
  <si>
    <t>114 - Golden Caps 14June26</t>
  </si>
  <si>
    <t>116 - Mindset Teal 14June26</t>
  </si>
  <si>
    <t>117 - Mindset White 14June26</t>
  </si>
  <si>
    <t>SKU</t>
  </si>
  <si>
    <t>SKU 1</t>
  </si>
  <si>
    <t>SKU 2</t>
  </si>
  <si>
    <t>Blade-S-Levithan-S</t>
  </si>
  <si>
    <t>Blade-S-Levithan-M</t>
  </si>
  <si>
    <t>Blade-S-Levithan-L</t>
  </si>
  <si>
    <t>Blade-S-Levithan-XL</t>
  </si>
  <si>
    <t>Blade-M-Levithan-S</t>
  </si>
  <si>
    <t>Blade-M-Levithan-M</t>
  </si>
  <si>
    <t>Blade-M-Levithan-L</t>
  </si>
  <si>
    <t>Blade-M-Levithan-XL</t>
  </si>
  <si>
    <t>Blade-L-Levithan-S</t>
  </si>
  <si>
    <t>Blade-L-Levithan-M</t>
  </si>
  <si>
    <t>Blade-L-Levithan-L</t>
  </si>
  <si>
    <t>Blade-L-Levithan-XL</t>
  </si>
  <si>
    <t>Blade-XL-Levithan-S</t>
  </si>
  <si>
    <t>Blade-XL-Levithan-M</t>
  </si>
  <si>
    <t>Blade-XL-Levithan-L</t>
  </si>
  <si>
    <t>Blade-XL-Levithan-XL</t>
  </si>
  <si>
    <t>Sukuna-S-Limitless-S</t>
  </si>
  <si>
    <t>Sukuna-S-Limitless-M</t>
  </si>
  <si>
    <t>Sukuna-S-Limitless-L</t>
  </si>
  <si>
    <t>Sukuna-S-Limitless-XL</t>
  </si>
  <si>
    <t>Sukuna-M-Limitless-S</t>
  </si>
  <si>
    <t>Sukuna-M-Limitless-M</t>
  </si>
  <si>
    <t>Sukuna-M-Limitless-L</t>
  </si>
  <si>
    <t>Sukuna-M-Limitless-XL</t>
  </si>
  <si>
    <t>Sukuna-L-Limitless-S</t>
  </si>
  <si>
    <t>Sukuna-L-Limitless-M</t>
  </si>
  <si>
    <t>Sukuna-L-Limitless-L</t>
  </si>
  <si>
    <t>Sukuna-L-Limitless-XL</t>
  </si>
  <si>
    <t>Sukuna-XL-Limitless-S</t>
  </si>
  <si>
    <t>Sukuna-XL-Limitless-M</t>
  </si>
  <si>
    <t>Sukuna-XL-Limitless-L</t>
  </si>
  <si>
    <t>Sukuna-XL-Limitless-XL</t>
  </si>
  <si>
    <t>Itachi-S-Levi-S+Taupe</t>
  </si>
  <si>
    <t>Itachi-S-Levi-S+White</t>
  </si>
  <si>
    <t>Itachi-S-Levi-M+Taupe</t>
  </si>
  <si>
    <t>Itachi-S-Levi-M+White</t>
  </si>
  <si>
    <t>Itachi-S-Levi-L+Taupe</t>
  </si>
  <si>
    <t>Itachi-S-Levi-L+White</t>
  </si>
  <si>
    <t>Itachi-S-Levi-XL+Taupe</t>
  </si>
  <si>
    <t>Itachi-S-Levi-XL+White</t>
  </si>
  <si>
    <t>Itachi-M-Levi-S+Taupe</t>
  </si>
  <si>
    <t>Itachi-M-Levi-S+White</t>
  </si>
  <si>
    <t>Itachi-M-Levi-M+Taupe</t>
  </si>
  <si>
    <t>Itachi-M-Levi-M+White</t>
  </si>
  <si>
    <t>Itachi-M-Levi-L+Taupe</t>
  </si>
  <si>
    <t>Itachi-M-Levi-L+White</t>
  </si>
  <si>
    <t>Itachi-M-Levi-XL+Taupe</t>
  </si>
  <si>
    <t>Itachi-M-Levi-XL+White</t>
  </si>
  <si>
    <t>Itachi-L-Levi-S+Taupe</t>
  </si>
  <si>
    <t>Itachi-L-Levi-S+White</t>
  </si>
  <si>
    <t>Itachi-L-Levi-M+Taupe</t>
  </si>
  <si>
    <t>Itachi-L-Levi-M+White</t>
  </si>
  <si>
    <t>Itachi-L-Levi-L+Taupe</t>
  </si>
  <si>
    <t>Itachi-L-Levi-L+White</t>
  </si>
  <si>
    <t>Itachi-L-Levi-XL+Taupe</t>
  </si>
  <si>
    <t>Itachi-L-Levi-XL+White</t>
  </si>
  <si>
    <t>Itachi-XL-Levi-S+Taupe</t>
  </si>
  <si>
    <t>Itachi-XL-Levi-S+White</t>
  </si>
  <si>
    <t>Itachi-XL-Levi-M+Taupe</t>
  </si>
  <si>
    <t>Itachi-XL-Levi-M+White</t>
  </si>
  <si>
    <t>Itachi-XL-Levi-L+Taupe</t>
  </si>
  <si>
    <t>Itachi-XL-Levi-L+White</t>
  </si>
  <si>
    <t>Itachi-XL-Levi-XL+Taupe</t>
  </si>
  <si>
    <t>Itachi-XL-Levi-XL+White</t>
  </si>
  <si>
    <t>Sukuna-S-Toji-S+JF</t>
  </si>
  <si>
    <t>Sukuna-S-Toji-S+FB</t>
  </si>
  <si>
    <t>Sukuna-S-Toji-M+JF</t>
  </si>
  <si>
    <t>Sukuna-S-Toji-M+FB</t>
  </si>
  <si>
    <t>Sukuna-S-Toji-L+JF</t>
  </si>
  <si>
    <t>Sukuna-S-Toji-L+FB</t>
  </si>
  <si>
    <t>Sukuna-S-Toji-XL+JF</t>
  </si>
  <si>
    <t>Sukuna-S-Toji-XL+FB</t>
  </si>
  <si>
    <t>Sukuna-M-Toji-S+JF</t>
  </si>
  <si>
    <t>Sukuna-M-Toji-S+FB</t>
  </si>
  <si>
    <t>Sukuna-M-Toji-M+JF</t>
  </si>
  <si>
    <t>Sukuna-M-Toji-M+FB</t>
  </si>
  <si>
    <t>Sukuna-M-Toji-L+JF</t>
  </si>
  <si>
    <t>Sukuna-M-Toji-L+FB</t>
  </si>
  <si>
    <t>Sukuna-M-Toji-XL+JF</t>
  </si>
  <si>
    <t>Sukuna-M-Toji-XL+FB</t>
  </si>
  <si>
    <t>Sukuna-L-Toji-S+JF</t>
  </si>
  <si>
    <t>Sukuna-L-Toji-S+FB</t>
  </si>
  <si>
    <t>Sukuna-L-Toji-M+JF</t>
  </si>
  <si>
    <t>Sukuna-L-Toji-M+FB</t>
  </si>
  <si>
    <t>Sukuna-L-Toji-L+JF</t>
  </si>
  <si>
    <t>Sukuna-L-Toji-L+FB</t>
  </si>
  <si>
    <t>Sukuna-L-Toji-XL+JF</t>
  </si>
  <si>
    <t>Sukuna-L-Toji-XL+FB</t>
  </si>
  <si>
    <t>Sukuna-XL-Toji-S+JF</t>
  </si>
  <si>
    <t>Sukuna-XL-Toji-S+FB</t>
  </si>
  <si>
    <t>Sukuna-XL-Toji-M+JF</t>
  </si>
  <si>
    <t>Sukuna-XL-Toji-M+FB</t>
  </si>
  <si>
    <t>Sukuna-XL-Toji-L+JF</t>
  </si>
  <si>
    <t>Sukuna-XL-Toji-L+FB</t>
  </si>
  <si>
    <t>Sukuna-XL-Toji-XL+JF</t>
  </si>
  <si>
    <t>Sukuna-XL-Toji-XL+FB</t>
  </si>
  <si>
    <t>Sukuna-S-Gojo-S-Black</t>
  </si>
  <si>
    <t>Sukuna-S-Gojo-M-Black</t>
  </si>
  <si>
    <t>Sukuna-S-Gojo-L-Black</t>
  </si>
  <si>
    <t>Sukuna-S-Gojo-XL-Black</t>
  </si>
  <si>
    <t>Sukuna-M-Gojo-S-Black</t>
  </si>
  <si>
    <t>Sukuna-M-Gojo-M-Black</t>
  </si>
  <si>
    <t>Sukuna-M-Gojo-L-Black</t>
  </si>
  <si>
    <t>Sukuna-M-Gojo-XL-Black</t>
  </si>
  <si>
    <t>Sukuna-L-Gojo-S-Black</t>
  </si>
  <si>
    <t>Sukuna-L-Gojo-M-Black</t>
  </si>
  <si>
    <t>Sukuna-L-Gojo-L-Black</t>
  </si>
  <si>
    <t>Sukuna-L-Gojo-XL-Black</t>
  </si>
  <si>
    <t>Sukuna-XL-Gojo-S-Black</t>
  </si>
  <si>
    <t>Sukuna-XL-Gojo-M-Black</t>
  </si>
  <si>
    <t>Sukuna-XL-Gojo-L-Black</t>
  </si>
  <si>
    <t>Sukuna-XL-Gojo-XL-Black</t>
  </si>
  <si>
    <t>Sukuna-S-Gojo-S-Navy</t>
  </si>
  <si>
    <t>129 - Deathnote heart Shirt 26May26</t>
  </si>
  <si>
    <t>Sukuna-S-Gojo-M-Navy</t>
  </si>
  <si>
    <t>Sukuna-S-Gojo-L-Navy</t>
  </si>
  <si>
    <t>Sukuna-S-Gojo-XL-Navy</t>
  </si>
  <si>
    <t>Sukuna-M-Gojo-S-Navy</t>
  </si>
  <si>
    <t>Sukuna-M-Gojo-M-Navy</t>
  </si>
  <si>
    <t>130 - chrollo shirt</t>
  </si>
  <si>
    <t>Sukuna-M-Gojo-L-Navy</t>
  </si>
  <si>
    <t>Sukuna-M-Gojo-XL-Navy</t>
  </si>
  <si>
    <t>Sukuna-L-Gojo-S-Navy</t>
  </si>
  <si>
    <t>Sukuna-L-Gojo-M-Navy</t>
  </si>
  <si>
    <t>Sukuna-L-Gojo-L-Navy</t>
  </si>
  <si>
    <t>Sukuna-L-Gojo-XL-Navy</t>
  </si>
  <si>
    <t>Sukuna-XL-Gojo-S-Navy</t>
  </si>
  <si>
    <t>Sukuna-XL-Gojo-M-Navy</t>
  </si>
  <si>
    <t>Sukuna-XL-Gojo-L-Navy</t>
  </si>
  <si>
    <t>Sukuna-XL-Gojo-XL-Navy</t>
  </si>
  <si>
    <t>133 - Mob Psycho 02July26</t>
  </si>
  <si>
    <t>Colour</t>
  </si>
  <si>
    <t>S_T</t>
  </si>
  <si>
    <t>M_T</t>
  </si>
  <si>
    <t>L_T</t>
  </si>
  <si>
    <t>XL_T</t>
  </si>
  <si>
    <t>RECOUNTED</t>
  </si>
  <si>
    <t>Category</t>
  </si>
  <si>
    <t>lock unlock</t>
  </si>
  <si>
    <t>plain_tshirt</t>
  </si>
  <si>
    <t>plain_hoodie</t>
  </si>
  <si>
    <t>plain_shirt</t>
  </si>
  <si>
    <t>plain_shorts</t>
  </si>
  <si>
    <t>readymade_cargo</t>
  </si>
  <si>
    <t>readymade_tshirt</t>
  </si>
  <si>
    <t>readymade_hoodie</t>
  </si>
  <si>
    <t>readymade_shirt</t>
  </si>
  <si>
    <t>plain_trackpant</t>
  </si>
  <si>
    <t>COLOUR</t>
  </si>
  <si>
    <t>PRINT_COUNT</t>
  </si>
  <si>
    <t>CATEGORY</t>
  </si>
  <si>
    <t>FABRIC_ORDERING</t>
  </si>
  <si>
    <t>PCS_PER_ROLL</t>
  </si>
  <si>
    <t>S_OOS_TH</t>
  </si>
  <si>
    <t>S_NEW_ORDER_TH</t>
  </si>
  <si>
    <t>S_TARGET_STOCK</t>
  </si>
  <si>
    <t>M_OOS_TH</t>
  </si>
  <si>
    <t>M_NEW_ORDER_TH</t>
  </si>
  <si>
    <t>M_TARGET_STOCK</t>
  </si>
  <si>
    <t>L_OOS_TH</t>
  </si>
  <si>
    <t>L_NEW_ORDER_TH</t>
  </si>
  <si>
    <t>L_TARGET_STOCK</t>
  </si>
  <si>
    <t>XL_OOS_TH</t>
  </si>
  <si>
    <t>XL_NEW_ORDER_TH</t>
  </si>
  <si>
    <t>XL_TARGET_STOCK</t>
  </si>
  <si>
    <t>YES</t>
  </si>
  <si>
    <t>NO</t>
  </si>
  <si>
    <t>MIN_DESIGNS</t>
  </si>
  <si>
    <t>ALLOC</t>
  </si>
  <si>
    <t>fabric order done?</t>
  </si>
  <si>
    <t>ratio given?</t>
  </si>
  <si>
    <t xml:space="preserve">black </t>
  </si>
  <si>
    <t>yes/no</t>
  </si>
  <si>
    <t>yes</t>
  </si>
  <si>
    <t>now for any new black based on current count + Book rolls count should be consider for actual acount and still if are lacking, for balck a new row should be created</t>
  </si>
  <si>
    <t>no need of recalaculating ( can ebdeleted ot can be just filterred or can be shfited to as some backend data)</t>
  </si>
  <si>
    <t>no</t>
  </si>
  <si>
    <t>same row should be updated till it is yes</t>
  </si>
  <si>
    <t xml:space="preserve">no </t>
  </si>
  <si>
    <t>Calculate everyday until it becomes yes</t>
  </si>
  <si>
    <t>CREATE_DATE</t>
  </si>
  <si>
    <t>UPDATE_DATE</t>
  </si>
  <si>
    <t>ROLLS_COUNT</t>
  </si>
  <si>
    <t>PIECES_IN_A_ROLL</t>
  </si>
  <si>
    <t>FABRIC_ORDER_GIVEN</t>
  </si>
  <si>
    <t>S_RATIO</t>
  </si>
  <si>
    <t>M_RATIO</t>
  </si>
  <si>
    <t>L_RATIO</t>
  </si>
  <si>
    <t>XL_RATIO</t>
  </si>
  <si>
    <t>RATIO_GIVEN</t>
  </si>
  <si>
    <t>V_S</t>
  </si>
  <si>
    <t>V_M</t>
  </si>
  <si>
    <t>V_L</t>
  </si>
  <si>
    <t>V_XL</t>
  </si>
  <si>
    <t>PHYSICALLY_RECEIVED</t>
  </si>
  <si>
    <t>black</t>
  </si>
  <si>
    <t>YES/NO</t>
  </si>
  <si>
    <t>ONCE YES ADD THIS INTO VIRTUAL STOCK IN MASTER SHEET(NOTE: UNTIL RATIO_GIVEN IS NO, STOCK AND RATIO WOULD BE UPDATED DAILY</t>
  </si>
  <si>
    <t>UNTIL IT IS NO, CALCULATE RATIO AND VIRTUAL INVENTORY.</t>
  </si>
  <si>
    <t>UNTIL NO, VIRTUAL INVENTORY WILL STAY IN MASTER_INVENTORY SHEET AND SHOULD BE CONSIDERED.</t>
  </si>
  <si>
    <t>UNTIL IT IS NO, SAME ROW WILL BE UPDATED(BOTH ROLLS AND RATIO WILL BE UPDATED)</t>
  </si>
  <si>
    <t>ONCE YES, RATIO AND VIRTUAL INVENTORY SHOULD BE LOCKED AND SHOULD NOT GET CHANGE IN NEXT INTERATIONS.</t>
  </si>
  <si>
    <t>ONCE YES, VIRTUAL INVENTORY THAT WE HAVE CONSIDERED SHOULD BE NULLIFIDED AND ACTUAL PHYSICAL STOCK SHOULD BE ADDED MANUALLY TO MASTER_INVENTORY SHEET</t>
  </si>
  <si>
    <t>AFTER IT BECOMES YES, AND IN FUTURE EVEN AFTER CONSIDERING REAL + VIRTUAL COUNT, LOW STOCK TRIGGERS THEN ANOTHER ROW WILL BE ADDED FOR THAT. (VIRTUAL INCENTORY WILL BE ADDED) NOTE: HERE VIRTUAL STOCK WILL BE  VIRTUAL OF PRIVIOUS RECORD + VIRTUAL OF THIS NEW RECORD</t>
  </si>
  <si>
    <t>ONCE YES, IN NEXT INTERATION, THIS ROW WILL BE MOVED TO A HISTORY LOG SHEET</t>
  </si>
  <si>
    <t>readymade_all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</si>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</sst>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\-mmm\-yyyy"/>
    <numFmt numFmtId="166" formatCode="d\-mmmm\-yyyy"/>
  </numFmts>
  <fonts count="73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rgb="FFFFFFFF"/>
      <name val="Arial"/>
      <scheme val="minor"/>
    </font>
    <font>
      <b/>
      <sz val="10"/>
      <color rgb="FFFFFFFF"/>
      <name val="Arial"/>
    </font>
    <font>
      <b/>
      <sz val="10"/>
      <color rgb="FFFFFFFF"/>
      <name val="Arial"/>
      <scheme val="minor"/>
    </font>
    <font>
      <b/>
      <sz val="11"/>
      <color rgb="FFFFFFFF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name val="Arial"/>
    </font>
    <font>
      <b/>
      <sz val="11"/>
      <color theme="1"/>
      <name val="Arial"/>
      <scheme val="minor"/>
    </font>
    <font>
      <sz val="10"/>
      <color theme="1"/>
      <name val="FkGroteskNeue"/>
    </font>
    <font>
      <b/>
      <sz val="12"/>
      <color rgb="FFF3F3F3"/>
      <name val="FkGroteskNeue"/>
    </font>
    <font>
      <b/>
      <sz val="10"/>
      <color theme="1"/>
      <name val="Arial"/>
      <scheme val="minor"/>
    </font>
    <font>
      <sz val="11"/>
      <color rgb="FF000000"/>
      <name val="Calibri"/>
    </font>
    <font>
      <b/>
      <sz val="12"/>
      <color theme="1"/>
      <name val="FkGroteskNeue"/>
    </font>
    <font>
      <b/>
      <sz val="16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  <scheme val="minor"/>
    </font>
    <font>
      <b/>
      <sz val="12"/>
      <color rgb="FFFF0000"/>
      <name val="FkGroteskNeue"/>
    </font>
    <font>
      <sz val="10"/>
      <color rgb="FFFF0000"/>
      <name val="Arial"/>
      <scheme val="minor"/>
    </font>
    <font>
      <b/>
      <sz val="12"/>
      <color rgb="FFFF0000"/>
      <name val="Arial"/>
    </font>
    <font>
      <sz val="10"/>
      <color rgb="FF000000"/>
      <name val="Arial"/>
    </font>
    <font>
      <b/>
      <sz val="12"/>
      <color rgb="FFF3F3F3"/>
      <name val="Arial"/>
    </font>
    <font>
      <b/>
      <sz val="12"/>
      <color rgb="FFFFD98B"/>
      <name val="FkGroteskNeue"/>
    </font>
    <font>
      <sz val="11"/>
      <color rgb="FF000000"/>
      <name val="&quot;Aptos Narrow&quot;"/>
    </font>
    <font>
      <b/>
      <sz val="12"/>
      <color theme="1"/>
      <name val="Arial"/>
    </font>
    <font>
      <b/>
      <sz val="12"/>
      <color rgb="FFFFFF00"/>
      <name val="FkGroteskNeue"/>
    </font>
    <font>
      <b/>
      <sz val="12"/>
      <color rgb="FFFF9900"/>
      <name val="Arial"/>
    </font>
    <font>
      <b/>
      <sz val="12"/>
      <color rgb="FFFFFFFF"/>
      <name val="FkGroteskNeue"/>
    </font>
    <font>
      <b/>
      <sz val="12"/>
      <color rgb="FFCFE2F3"/>
      <name val="Arial"/>
    </font>
    <font>
      <b/>
      <sz val="12"/>
      <color rgb="FF000000"/>
      <name val="FkGroteskNeue"/>
    </font>
    <font>
      <b/>
      <sz val="12"/>
      <color rgb="FF9FC5E8"/>
      <name val="FkGroteskNeue"/>
    </font>
    <font>
      <b/>
      <sz val="12"/>
      <color rgb="FF9FC5E8"/>
      <name val="Arial"/>
    </font>
    <font>
      <b/>
      <sz val="12"/>
      <color rgb="FFFF9900"/>
      <name val="FkGroteskNeue"/>
    </font>
    <font>
      <b/>
      <sz val="10"/>
      <color theme="1"/>
      <name val="FkGroteskNeue"/>
    </font>
    <font>
      <b/>
      <sz val="12"/>
      <color rgb="FFFFFFFF"/>
      <name val="Arial"/>
    </font>
    <font>
      <b/>
      <sz val="10"/>
      <color rgb="FF4285F4"/>
      <name val="Arial"/>
      <scheme val="minor"/>
    </font>
    <font>
      <b/>
      <sz val="10"/>
      <color rgb="FFFFD966"/>
      <name val="Arial"/>
      <scheme val="minor"/>
    </font>
    <font>
      <b/>
      <sz val="10"/>
      <color rgb="FFF3F3F3"/>
      <name val="Arial"/>
      <scheme val="minor"/>
    </font>
    <font>
      <b/>
      <sz val="10"/>
      <color rgb="FF783F04"/>
      <name val="Arial"/>
      <scheme val="minor"/>
    </font>
    <font>
      <b/>
      <sz val="10"/>
      <color rgb="FF434343"/>
      <name val="Arial"/>
      <scheme val="minor"/>
    </font>
    <font>
      <b/>
      <sz val="10"/>
      <color rgb="FFFF0000"/>
      <name val="Arial"/>
      <scheme val="minor"/>
    </font>
    <font>
      <b/>
      <sz val="10"/>
      <color theme="5"/>
      <name val="Arial"/>
      <scheme val="minor"/>
    </font>
    <font>
      <sz val="10"/>
      <color rgb="FFF1C232"/>
      <name val="Arial"/>
      <scheme val="minor"/>
    </font>
    <font>
      <b/>
      <sz val="10"/>
      <color rgb="FFE06666"/>
      <name val="Arial"/>
    </font>
    <font>
      <b/>
      <sz val="10"/>
      <color rgb="FF000000"/>
      <name val="Arial"/>
    </font>
    <font>
      <sz val="10"/>
      <color rgb="FFE06666"/>
      <name val="Arial"/>
      <scheme val="minor"/>
    </font>
    <font>
      <sz val="10"/>
      <color rgb="FFD9D2E9"/>
      <name val="Arial"/>
      <scheme val="minor"/>
    </font>
    <font>
      <b/>
      <sz val="10"/>
      <color rgb="FFFFFF00"/>
      <name val="Arial"/>
    </font>
    <font>
      <b/>
      <sz val="10"/>
      <color rgb="FFCC0000"/>
      <name val="Arial"/>
      <scheme val="minor"/>
    </font>
    <font>
      <b/>
      <sz val="13"/>
      <color rgb="FFF3F3F3"/>
      <name val="Arial"/>
      <scheme val="minor"/>
    </font>
    <font>
      <b/>
      <sz val="13"/>
      <color theme="1"/>
      <name val="Arial"/>
    </font>
    <font>
      <b/>
      <sz val="13"/>
      <color theme="1"/>
      <name val="Arial"/>
      <scheme val="minor"/>
    </font>
    <font>
      <b/>
      <sz val="13"/>
      <color rgb="FFFFFFFF"/>
      <name val="Arial"/>
      <scheme val="minor"/>
    </font>
    <font>
      <b/>
      <sz val="13"/>
      <color rgb="FFF3F3F3"/>
      <name val="Calibri"/>
    </font>
    <font>
      <b/>
      <sz val="13"/>
      <color rgb="FFF3F3F3"/>
      <name val="Arial"/>
    </font>
    <font>
      <b/>
      <sz val="13"/>
      <color rgb="FF000000"/>
      <name val="Arial"/>
      <scheme val="minor"/>
    </font>
    <font>
      <sz val="10"/>
      <color rgb="FF212121"/>
      <name val="Inter"/>
    </font>
    <font>
      <sz val="10"/>
      <color rgb="FF800080"/>
      <name val="Arial"/>
      <scheme val="minor"/>
    </font>
    <font>
      <b/>
      <sz val="13"/>
      <color rgb="FFCFE2F3"/>
      <name val="Arial"/>
      <scheme val="minor"/>
    </font>
    <font>
      <b/>
      <sz val="13"/>
      <color rgb="FFFFFF00"/>
      <name val="Arial"/>
      <scheme val="minor"/>
    </font>
    <font>
      <b/>
      <sz val="13"/>
      <color rgb="FF00FFFF"/>
      <name val="Arial"/>
      <scheme val="minor"/>
    </font>
    <font>
      <b/>
      <sz val="13"/>
      <color rgb="FFF1C232"/>
      <name val="Arial"/>
      <scheme val="minor"/>
    </font>
    <font>
      <b/>
      <sz val="13"/>
      <color rgb="FFEFEFEF"/>
      <name val="Calibri"/>
    </font>
    <font>
      <sz val="11"/>
      <color rgb="FFFFFFFF"/>
      <name val="Calibri"/>
    </font>
    <font>
      <sz val="10"/>
      <color rgb="FFFFFFFF"/>
      <name val="Arial"/>
    </font>
    <font>
      <b/>
      <sz val="10"/>
      <color rgb="FF000000"/>
      <name val="Arial"/>
      <scheme val="minor"/>
    </font>
    <font>
      <sz val="10"/>
      <color rgb="FFC27BA0"/>
      <name val="Arial"/>
    </font>
    <font>
      <b/>
      <sz val="10"/>
      <color rgb="FFCC0000"/>
      <name val="Arial"/>
    </font>
    <font>
      <b/>
      <sz val="10"/>
      <color rgb="FFF3F3F3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51C75"/>
        <bgColor rgb="FF351C75"/>
      </patternFill>
    </fill>
    <fill>
      <patternFill patternType="solid">
        <fgColor rgb="FF660000"/>
        <bgColor rgb="FF660000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AD7E"/>
        <bgColor rgb="FFCFAD7E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073763"/>
        <bgColor rgb="FF073763"/>
      </patternFill>
    </fill>
    <fill>
      <patternFill patternType="solid">
        <fgColor rgb="FF9900FF"/>
        <bgColor rgb="FF9900FF"/>
      </patternFill>
    </fill>
    <fill>
      <patternFill patternType="solid">
        <fgColor rgb="FF659052"/>
        <bgColor rgb="FF659052"/>
      </patternFill>
    </fill>
    <fill>
      <patternFill patternType="solid">
        <fgColor rgb="FF999999"/>
        <bgColor rgb="FF999999"/>
      </patternFill>
    </fill>
    <fill>
      <patternFill patternType="solid">
        <fgColor rgb="FF1C4587"/>
        <bgColor rgb="FF1C4587"/>
      </patternFill>
    </fill>
    <fill>
      <patternFill patternType="solid">
        <fgColor rgb="FF783F04"/>
        <bgColor rgb="FF783F04"/>
      </patternFill>
    </fill>
    <fill>
      <patternFill patternType="solid">
        <fgColor rgb="FF179DA6"/>
        <bgColor rgb="FF179DA6"/>
      </patternFill>
    </fill>
    <fill>
      <patternFill patternType="solid">
        <fgColor rgb="FF00C8A3"/>
        <bgColor rgb="FF00C8A3"/>
      </patternFill>
    </fill>
    <fill>
      <patternFill patternType="solid">
        <fgColor rgb="FFEDDDAC"/>
        <bgColor rgb="FFEDDDAC"/>
      </patternFill>
    </fill>
    <fill>
      <patternFill patternType="solid">
        <fgColor rgb="FFFFD98B"/>
        <bgColor rgb="FFFFD98B"/>
      </patternFill>
    </fill>
    <fill>
      <patternFill patternType="solid">
        <fgColor rgb="FFF1C232"/>
        <bgColor rgb="FFF1C232"/>
      </patternFill>
    </fill>
    <fill>
      <patternFill patternType="solid">
        <fgColor rgb="FFE5AFEF"/>
        <bgColor rgb="FFE5AFEF"/>
      </patternFill>
    </fill>
    <fill>
      <patternFill patternType="solid">
        <fgColor rgb="FFB45F06"/>
        <bgColor rgb="FFB45F06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20124D"/>
        <bgColor rgb="FF20124D"/>
      </patternFill>
    </fill>
    <fill>
      <patternFill patternType="solid">
        <fgColor rgb="FF61F6C4"/>
        <bgColor rgb="FF61F6C4"/>
      </patternFill>
    </fill>
    <fill>
      <patternFill patternType="solid">
        <fgColor rgb="FFFAFAFA"/>
        <bgColor rgb="FFFAFAFA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2" fontId="2" fillId="4" borderId="1" xfId="0" applyNumberFormat="1" applyFont="1" applyFill="1" applyBorder="1"/>
    <xf numFmtId="0" fontId="5" fillId="2" borderId="1" xfId="0" applyFont="1" applyFill="1" applyBorder="1" applyAlignment="1">
      <alignment horizontal="left"/>
    </xf>
    <xf numFmtId="2" fontId="5" fillId="4" borderId="1" xfId="0" applyNumberFormat="1" applyFont="1" applyFill="1" applyBorder="1" applyAlignment="1">
      <alignment horizontal="left"/>
    </xf>
    <xf numFmtId="0" fontId="6" fillId="0" borderId="0" xfId="0" applyFont="1"/>
    <xf numFmtId="2" fontId="4" fillId="2" borderId="0" xfId="0" applyNumberFormat="1" applyFont="1" applyFill="1"/>
    <xf numFmtId="0" fontId="5" fillId="2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4" fillId="2" borderId="0" xfId="0" applyFont="1" applyFill="1"/>
    <xf numFmtId="0" fontId="4" fillId="2" borderId="0" xfId="0" quotePrefix="1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6" borderId="1" xfId="0" applyFont="1" applyFill="1" applyBorder="1"/>
    <xf numFmtId="4" fontId="2" fillId="7" borderId="1" xfId="0" applyNumberFormat="1" applyFont="1" applyFill="1" applyBorder="1"/>
    <xf numFmtId="164" fontId="9" fillId="8" borderId="1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1" fillId="9" borderId="1" xfId="0" applyFont="1" applyFill="1" applyBorder="1"/>
    <xf numFmtId="0" fontId="12" fillId="8" borderId="1" xfId="0" applyFont="1" applyFill="1" applyBorder="1" applyAlignment="1">
      <alignment horizontal="center"/>
    </xf>
    <xf numFmtId="0" fontId="13" fillId="0" borderId="0" xfId="0" applyFont="1"/>
    <xf numFmtId="165" fontId="7" fillId="0" borderId="1" xfId="0" applyNumberFormat="1" applyFont="1" applyBorder="1"/>
    <xf numFmtId="4" fontId="12" fillId="0" borderId="1" xfId="0" applyNumberFormat="1" applyFont="1" applyBorder="1" applyAlignment="1">
      <alignment horizontal="center"/>
    </xf>
    <xf numFmtId="0" fontId="2" fillId="10" borderId="0" xfId="0" applyFont="1" applyFill="1"/>
    <xf numFmtId="0" fontId="7" fillId="0" borderId="1" xfId="0" applyFont="1" applyBorder="1"/>
    <xf numFmtId="165" fontId="6" fillId="0" borderId="1" xfId="0" applyNumberFormat="1" applyFont="1" applyBorder="1"/>
    <xf numFmtId="0" fontId="14" fillId="0" borderId="1" xfId="0" applyFont="1" applyBorder="1"/>
    <xf numFmtId="4" fontId="12" fillId="11" borderId="1" xfId="0" applyNumberFormat="1" applyFont="1" applyFill="1" applyBorder="1" applyAlignment="1">
      <alignment horizontal="center"/>
    </xf>
    <xf numFmtId="2" fontId="9" fillId="8" borderId="1" xfId="0" applyNumberFormat="1" applyFont="1" applyFill="1" applyBorder="1" applyAlignment="1">
      <alignment horizontal="center"/>
    </xf>
    <xf numFmtId="0" fontId="6" fillId="0" borderId="1" xfId="0" applyFont="1" applyBorder="1"/>
    <xf numFmtId="0" fontId="16" fillId="12" borderId="1" xfId="0" applyFont="1" applyFill="1" applyBorder="1"/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2" fontId="6" fillId="8" borderId="1" xfId="0" applyNumberFormat="1" applyFont="1" applyFill="1" applyBorder="1" applyAlignment="1">
      <alignment horizontal="center"/>
    </xf>
    <xf numFmtId="2" fontId="13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6" fillId="12" borderId="1" xfId="0" applyFont="1" applyFill="1" applyBorder="1"/>
    <xf numFmtId="0" fontId="18" fillId="0" borderId="1" xfId="0" applyFont="1" applyBorder="1" applyAlignment="1">
      <alignment horizontal="left"/>
    </xf>
    <xf numFmtId="0" fontId="14" fillId="13" borderId="1" xfId="0" applyFont="1" applyFill="1" applyBorder="1"/>
    <xf numFmtId="4" fontId="6" fillId="0" borderId="0" xfId="0" applyNumberFormat="1" applyFont="1"/>
    <xf numFmtId="0" fontId="6" fillId="0" borderId="0" xfId="0" applyFont="1" applyAlignment="1">
      <alignment horizontal="center"/>
    </xf>
    <xf numFmtId="0" fontId="17" fillId="0" borderId="0" xfId="0" applyFont="1"/>
    <xf numFmtId="4" fontId="7" fillId="0" borderId="1" xfId="0" applyNumberFormat="1" applyFont="1" applyBorder="1"/>
    <xf numFmtId="0" fontId="19" fillId="9" borderId="1" xfId="0" applyFont="1" applyFill="1" applyBorder="1"/>
    <xf numFmtId="0" fontId="16" fillId="10" borderId="1" xfId="0" applyFont="1" applyFill="1" applyBorder="1" applyAlignment="1">
      <alignment vertical="top"/>
    </xf>
    <xf numFmtId="0" fontId="17" fillId="0" borderId="1" xfId="0" applyFont="1" applyBorder="1" applyAlignment="1">
      <alignment horizontal="right" vertical="top"/>
    </xf>
    <xf numFmtId="2" fontId="16" fillId="0" borderId="1" xfId="0" applyNumberFormat="1" applyFont="1" applyBorder="1" applyAlignment="1">
      <alignment horizontal="right" vertical="top"/>
    </xf>
    <xf numFmtId="0" fontId="20" fillId="0" borderId="1" xfId="0" applyFont="1" applyBorder="1"/>
    <xf numFmtId="0" fontId="21" fillId="9" borderId="1" xfId="0" applyFont="1" applyFill="1" applyBorder="1"/>
    <xf numFmtId="0" fontId="7" fillId="0" borderId="1" xfId="0" applyFont="1" applyBorder="1" applyAlignment="1">
      <alignment horizontal="right"/>
    </xf>
    <xf numFmtId="0" fontId="22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7" fillId="0" borderId="4" xfId="0" applyFont="1" applyBorder="1" applyAlignment="1">
      <alignment horizontal="left"/>
    </xf>
    <xf numFmtId="0" fontId="23" fillId="9" borderId="1" xfId="0" applyFont="1" applyFill="1" applyBorder="1"/>
    <xf numFmtId="0" fontId="20" fillId="0" borderId="1" xfId="0" applyFont="1" applyBorder="1" applyAlignment="1">
      <alignment horizontal="left"/>
    </xf>
    <xf numFmtId="0" fontId="20" fillId="0" borderId="0" xfId="0" applyFont="1"/>
    <xf numFmtId="4" fontId="6" fillId="0" borderId="1" xfId="0" applyNumberFormat="1" applyFont="1" applyBorder="1" applyAlignment="1">
      <alignment horizontal="center"/>
    </xf>
    <xf numFmtId="0" fontId="24" fillId="9" borderId="1" xfId="0" applyFont="1" applyFill="1" applyBorder="1"/>
    <xf numFmtId="4" fontId="7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25" fillId="0" borderId="1" xfId="0" applyFont="1" applyBorder="1"/>
    <xf numFmtId="0" fontId="14" fillId="14" borderId="1" xfId="0" applyFont="1" applyFill="1" applyBorder="1"/>
    <xf numFmtId="0" fontId="26" fillId="13" borderId="1" xfId="0" applyFont="1" applyFill="1" applyBorder="1"/>
    <xf numFmtId="0" fontId="16" fillId="0" borderId="0" xfId="0" applyFont="1"/>
    <xf numFmtId="0" fontId="6" fillId="15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26" fillId="0" borderId="1" xfId="0" applyFont="1" applyBorder="1"/>
    <xf numFmtId="4" fontId="6" fillId="10" borderId="1" xfId="0" applyNumberFormat="1" applyFont="1" applyFill="1" applyBorder="1" applyAlignment="1">
      <alignment horizontal="center"/>
    </xf>
    <xf numFmtId="0" fontId="26" fillId="14" borderId="1" xfId="0" applyFont="1" applyFill="1" applyBorder="1"/>
    <xf numFmtId="4" fontId="7" fillId="10" borderId="1" xfId="0" applyNumberFormat="1" applyFont="1" applyFill="1" applyBorder="1" applyAlignment="1">
      <alignment horizontal="center"/>
    </xf>
    <xf numFmtId="0" fontId="26" fillId="16" borderId="1" xfId="0" applyFont="1" applyFill="1" applyBorder="1"/>
    <xf numFmtId="0" fontId="27" fillId="5" borderId="1" xfId="0" applyFont="1" applyFill="1" applyBorder="1"/>
    <xf numFmtId="0" fontId="11" fillId="17" borderId="1" xfId="0" applyFont="1" applyFill="1" applyBorder="1"/>
    <xf numFmtId="0" fontId="23" fillId="18" borderId="1" xfId="0" applyFont="1" applyFill="1" applyBorder="1"/>
    <xf numFmtId="0" fontId="23" fillId="19" borderId="1" xfId="0" applyFont="1" applyFill="1" applyBorder="1"/>
    <xf numFmtId="0" fontId="28" fillId="9" borderId="1" xfId="0" applyFont="1" applyFill="1" applyBorder="1"/>
    <xf numFmtId="0" fontId="22" fillId="0" borderId="1" xfId="0" applyFont="1" applyBorder="1" applyAlignment="1">
      <alignment horizontal="left"/>
    </xf>
    <xf numFmtId="0" fontId="29" fillId="19" borderId="1" xfId="0" applyFont="1" applyFill="1" applyBorder="1"/>
    <xf numFmtId="0" fontId="11" fillId="20" borderId="1" xfId="0" applyFont="1" applyFill="1" applyBorder="1"/>
    <xf numFmtId="0" fontId="30" fillId="21" borderId="1" xfId="0" applyFont="1" applyFill="1" applyBorder="1"/>
    <xf numFmtId="0" fontId="31" fillId="21" borderId="1" xfId="0" applyFont="1" applyFill="1" applyBorder="1"/>
    <xf numFmtId="0" fontId="23" fillId="22" borderId="1" xfId="0" applyFont="1" applyFill="1" applyBorder="1"/>
    <xf numFmtId="0" fontId="32" fillId="9" borderId="1" xfId="0" applyFont="1" applyFill="1" applyBorder="1"/>
    <xf numFmtId="0" fontId="33" fillId="9" borderId="1" xfId="0" applyFont="1" applyFill="1" applyBorder="1"/>
    <xf numFmtId="0" fontId="34" fillId="9" borderId="1" xfId="0" applyFont="1" applyFill="1" applyBorder="1"/>
    <xf numFmtId="0" fontId="11" fillId="23" borderId="1" xfId="0" applyFont="1" applyFill="1" applyBorder="1"/>
    <xf numFmtId="0" fontId="35" fillId="0" borderId="4" xfId="0" applyFont="1" applyBorder="1" applyAlignment="1">
      <alignment horizontal="left"/>
    </xf>
    <xf numFmtId="0" fontId="23" fillId="23" borderId="1" xfId="0" applyFont="1" applyFill="1" applyBorder="1"/>
    <xf numFmtId="0" fontId="6" fillId="11" borderId="1" xfId="0" applyFont="1" applyFill="1" applyBorder="1" applyAlignment="1">
      <alignment horizontal="center"/>
    </xf>
    <xf numFmtId="0" fontId="26" fillId="20" borderId="1" xfId="0" applyFont="1" applyFill="1" applyBorder="1"/>
    <xf numFmtId="0" fontId="17" fillId="0" borderId="1" xfId="0" applyFont="1" applyBorder="1" applyAlignment="1">
      <alignment horizontal="left"/>
    </xf>
    <xf numFmtId="0" fontId="17" fillId="12" borderId="1" xfId="0" applyFont="1" applyFill="1" applyBorder="1"/>
    <xf numFmtId="0" fontId="14" fillId="21" borderId="1" xfId="0" applyFont="1" applyFill="1" applyBorder="1"/>
    <xf numFmtId="2" fontId="6" fillId="0" borderId="1" xfId="0" applyNumberFormat="1" applyFont="1" applyBorder="1"/>
    <xf numFmtId="0" fontId="24" fillId="24" borderId="1" xfId="0" applyFont="1" applyFill="1" applyBorder="1"/>
    <xf numFmtId="0" fontId="18" fillId="10" borderId="1" xfId="0" applyFont="1" applyFill="1" applyBorder="1" applyAlignment="1">
      <alignment horizontal="left"/>
    </xf>
    <xf numFmtId="0" fontId="14" fillId="20" borderId="1" xfId="0" applyFont="1" applyFill="1" applyBorder="1"/>
    <xf numFmtId="0" fontId="29" fillId="9" borderId="1" xfId="0" applyFont="1" applyFill="1" applyBorder="1"/>
    <xf numFmtId="2" fontId="16" fillId="0" borderId="1" xfId="0" applyNumberFormat="1" applyFont="1" applyBorder="1" applyAlignment="1">
      <alignment horizontal="right"/>
    </xf>
    <xf numFmtId="0" fontId="36" fillId="9" borderId="1" xfId="0" applyFont="1" applyFill="1" applyBorder="1"/>
    <xf numFmtId="0" fontId="11" fillId="18" borderId="1" xfId="0" applyFont="1" applyFill="1" applyBorder="1"/>
    <xf numFmtId="0" fontId="14" fillId="25" borderId="1" xfId="0" applyFont="1" applyFill="1" applyBorder="1"/>
    <xf numFmtId="0" fontId="11" fillId="22" borderId="1" xfId="0" applyFont="1" applyFill="1" applyBorder="1"/>
    <xf numFmtId="0" fontId="17" fillId="10" borderId="1" xfId="0" applyFont="1" applyFill="1" applyBorder="1"/>
    <xf numFmtId="0" fontId="6" fillId="12" borderId="0" xfId="0" applyFont="1" applyFill="1"/>
    <xf numFmtId="0" fontId="12" fillId="13" borderId="1" xfId="0" applyFont="1" applyFill="1" applyBorder="1"/>
    <xf numFmtId="0" fontId="37" fillId="0" borderId="1" xfId="0" applyFont="1" applyBorder="1"/>
    <xf numFmtId="0" fontId="12" fillId="26" borderId="1" xfId="0" applyFont="1" applyFill="1" applyBorder="1"/>
    <xf numFmtId="0" fontId="38" fillId="21" borderId="1" xfId="0" applyFont="1" applyFill="1" applyBorder="1"/>
    <xf numFmtId="0" fontId="39" fillId="9" borderId="1" xfId="0" applyFont="1" applyFill="1" applyBorder="1"/>
    <xf numFmtId="0" fontId="12" fillId="0" borderId="1" xfId="0" applyFont="1" applyBorder="1"/>
    <xf numFmtId="0" fontId="39" fillId="19" borderId="1" xfId="0" applyFont="1" applyFill="1" applyBorder="1"/>
    <xf numFmtId="0" fontId="39" fillId="23" borderId="1" xfId="0" applyFont="1" applyFill="1" applyBorder="1"/>
    <xf numFmtId="0" fontId="40" fillId="27" borderId="1" xfId="0" applyFont="1" applyFill="1" applyBorder="1"/>
    <xf numFmtId="0" fontId="41" fillId="0" borderId="1" xfId="0" applyFont="1" applyBorder="1"/>
    <xf numFmtId="0" fontId="39" fillId="21" borderId="1" xfId="0" applyFont="1" applyFill="1" applyBorder="1"/>
    <xf numFmtId="0" fontId="42" fillId="13" borderId="1" xfId="0" applyFont="1" applyFill="1" applyBorder="1"/>
    <xf numFmtId="0" fontId="4" fillId="21" borderId="1" xfId="0" applyFont="1" applyFill="1" applyBorder="1"/>
    <xf numFmtId="0" fontId="10" fillId="0" borderId="1" xfId="0" applyFont="1" applyBorder="1" applyAlignment="1">
      <alignment horizontal="left"/>
    </xf>
    <xf numFmtId="0" fontId="43" fillId="28" borderId="1" xfId="0" applyFont="1" applyFill="1" applyBorder="1"/>
    <xf numFmtId="0" fontId="41" fillId="16" borderId="1" xfId="0" applyFont="1" applyFill="1" applyBorder="1"/>
    <xf numFmtId="0" fontId="12" fillId="29" borderId="1" xfId="0" applyFont="1" applyFill="1" applyBorder="1"/>
    <xf numFmtId="0" fontId="39" fillId="5" borderId="1" xfId="0" applyFont="1" applyFill="1" applyBorder="1"/>
    <xf numFmtId="0" fontId="39" fillId="17" borderId="1" xfId="0" applyFont="1" applyFill="1" applyBorder="1"/>
    <xf numFmtId="0" fontId="12" fillId="14" borderId="1" xfId="0" applyFont="1" applyFill="1" applyBorder="1"/>
    <xf numFmtId="0" fontId="12" fillId="21" borderId="1" xfId="0" applyFont="1" applyFill="1" applyBorder="1"/>
    <xf numFmtId="0" fontId="39" fillId="20" borderId="1" xfId="0" applyFont="1" applyFill="1" applyBorder="1"/>
    <xf numFmtId="0" fontId="39" fillId="22" borderId="1" xfId="0" applyFont="1" applyFill="1" applyBorder="1"/>
    <xf numFmtId="0" fontId="12" fillId="24" borderId="1" xfId="0" applyFont="1" applyFill="1" applyBorder="1"/>
    <xf numFmtId="0" fontId="44" fillId="30" borderId="0" xfId="0" applyFont="1" applyFill="1"/>
    <xf numFmtId="165" fontId="6" fillId="0" borderId="8" xfId="0" applyNumberFormat="1" applyFont="1" applyBorder="1"/>
    <xf numFmtId="0" fontId="6" fillId="0" borderId="8" xfId="0" applyFont="1" applyBorder="1"/>
    <xf numFmtId="2" fontId="6" fillId="8" borderId="8" xfId="0" applyNumberFormat="1" applyFont="1" applyFill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6" fillId="0" borderId="7" xfId="0" applyNumberFormat="1" applyFont="1" applyBorder="1"/>
    <xf numFmtId="0" fontId="6" fillId="0" borderId="7" xfId="0" applyFont="1" applyBorder="1"/>
    <xf numFmtId="2" fontId="6" fillId="8" borderId="7" xfId="0" applyNumberFormat="1" applyFont="1" applyFill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5" fillId="9" borderId="1" xfId="0" applyFont="1" applyFill="1" applyBorder="1"/>
    <xf numFmtId="0" fontId="46" fillId="21" borderId="1" xfId="0" applyFont="1" applyFill="1" applyBorder="1"/>
    <xf numFmtId="0" fontId="2" fillId="31" borderId="0" xfId="0" applyFont="1" applyFill="1"/>
    <xf numFmtId="0" fontId="3" fillId="9" borderId="1" xfId="0" applyFont="1" applyFill="1" applyBorder="1"/>
    <xf numFmtId="0" fontId="6" fillId="32" borderId="1" xfId="0" applyFont="1" applyFill="1" applyBorder="1" applyAlignment="1">
      <alignment horizontal="center"/>
    </xf>
    <xf numFmtId="0" fontId="6" fillId="33" borderId="1" xfId="0" applyFont="1" applyFill="1" applyBorder="1"/>
    <xf numFmtId="0" fontId="2" fillId="9" borderId="1" xfId="0" applyFont="1" applyFill="1" applyBorder="1"/>
    <xf numFmtId="0" fontId="47" fillId="9" borderId="1" xfId="0" applyFont="1" applyFill="1" applyBorder="1"/>
    <xf numFmtId="0" fontId="6" fillId="13" borderId="1" xfId="0" applyFont="1" applyFill="1" applyBorder="1" applyAlignment="1">
      <alignment horizontal="center"/>
    </xf>
    <xf numFmtId="0" fontId="48" fillId="9" borderId="1" xfId="0" applyFont="1" applyFill="1" applyBorder="1"/>
    <xf numFmtId="0" fontId="49" fillId="9" borderId="1" xfId="0" applyFont="1" applyFill="1" applyBorder="1"/>
    <xf numFmtId="0" fontId="12" fillId="0" borderId="0" xfId="0" applyFont="1"/>
    <xf numFmtId="0" fontId="50" fillId="9" borderId="1" xfId="0" applyFont="1" applyFill="1" applyBorder="1"/>
    <xf numFmtId="0" fontId="4" fillId="9" borderId="0" xfId="0" applyFont="1" applyFill="1"/>
    <xf numFmtId="0" fontId="13" fillId="0" borderId="1" xfId="0" applyFont="1" applyBorder="1" applyAlignment="1">
      <alignment horizontal="left"/>
    </xf>
    <xf numFmtId="0" fontId="6" fillId="10" borderId="0" xfId="0" applyFont="1" applyFill="1"/>
    <xf numFmtId="0" fontId="51" fillId="2" borderId="0" xfId="0" applyFont="1" applyFill="1"/>
    <xf numFmtId="0" fontId="52" fillId="0" borderId="1" xfId="0" applyFont="1" applyBorder="1" applyAlignment="1">
      <alignment horizontal="right"/>
    </xf>
    <xf numFmtId="0" fontId="52" fillId="0" borderId="3" xfId="0" applyFont="1" applyBorder="1" applyAlignment="1">
      <alignment horizontal="right"/>
    </xf>
    <xf numFmtId="0" fontId="52" fillId="0" borderId="0" xfId="0" applyFont="1" applyAlignment="1">
      <alignment horizontal="right"/>
    </xf>
    <xf numFmtId="166" fontId="6" fillId="0" borderId="0" xfId="0" applyNumberFormat="1" applyFont="1"/>
    <xf numFmtId="0" fontId="53" fillId="0" borderId="0" xfId="0" applyFont="1"/>
    <xf numFmtId="0" fontId="16" fillId="10" borderId="0" xfId="0" applyFont="1" applyFill="1" applyAlignment="1">
      <alignment vertical="top"/>
    </xf>
    <xf numFmtId="0" fontId="52" fillId="0" borderId="7" xfId="0" applyFont="1" applyBorder="1" applyAlignment="1">
      <alignment horizontal="right"/>
    </xf>
    <xf numFmtId="0" fontId="16" fillId="12" borderId="0" xfId="0" applyFont="1" applyFill="1"/>
    <xf numFmtId="0" fontId="52" fillId="0" borderId="9" xfId="0" applyFont="1" applyBorder="1" applyAlignment="1">
      <alignment horizontal="right"/>
    </xf>
    <xf numFmtId="0" fontId="53" fillId="14" borderId="0" xfId="0" applyFont="1" applyFill="1"/>
    <xf numFmtId="0" fontId="53" fillId="16" borderId="0" xfId="0" applyFont="1" applyFill="1"/>
    <xf numFmtId="0" fontId="53" fillId="19" borderId="0" xfId="0" applyFont="1" applyFill="1"/>
    <xf numFmtId="0" fontId="53" fillId="20" borderId="0" xfId="0" applyFont="1" applyFill="1"/>
    <xf numFmtId="0" fontId="53" fillId="17" borderId="0" xfId="0" applyFont="1" applyFill="1"/>
    <xf numFmtId="0" fontId="54" fillId="23" borderId="0" xfId="0" applyFont="1" applyFill="1"/>
    <xf numFmtId="0" fontId="51" fillId="34" borderId="0" xfId="0" applyFont="1" applyFill="1"/>
    <xf numFmtId="0" fontId="53" fillId="26" borderId="0" xfId="0" applyFont="1" applyFill="1"/>
    <xf numFmtId="0" fontId="53" fillId="24" borderId="0" xfId="0" applyFont="1" applyFill="1"/>
    <xf numFmtId="0" fontId="53" fillId="13" borderId="0" xfId="0" applyFont="1" applyFill="1"/>
    <xf numFmtId="0" fontId="55" fillId="9" borderId="0" xfId="0" applyFont="1" applyFill="1"/>
    <xf numFmtId="0" fontId="54" fillId="5" borderId="0" xfId="0" applyFont="1" applyFill="1"/>
    <xf numFmtId="0" fontId="56" fillId="31" borderId="0" xfId="0" applyFont="1" applyFill="1"/>
    <xf numFmtId="0" fontId="54" fillId="2" borderId="0" xfId="0" applyFont="1" applyFill="1"/>
    <xf numFmtId="4" fontId="7" fillId="0" borderId="8" xfId="0" applyNumberFormat="1" applyFont="1" applyBorder="1" applyAlignment="1">
      <alignment horizontal="center"/>
    </xf>
    <xf numFmtId="0" fontId="53" fillId="32" borderId="0" xfId="0" applyFont="1" applyFill="1"/>
    <xf numFmtId="0" fontId="7" fillId="0" borderId="8" xfId="0" applyFont="1" applyBorder="1" applyAlignment="1">
      <alignment horizontal="center"/>
    </xf>
    <xf numFmtId="2" fontId="6" fillId="0" borderId="0" xfId="0" applyNumberFormat="1" applyFont="1"/>
    <xf numFmtId="165" fontId="7" fillId="0" borderId="7" xfId="0" applyNumberFormat="1" applyFont="1" applyBorder="1"/>
    <xf numFmtId="0" fontId="7" fillId="0" borderId="7" xfId="0" applyFont="1" applyBorder="1"/>
    <xf numFmtId="2" fontId="9" fillId="8" borderId="7" xfId="0" applyNumberFormat="1" applyFont="1" applyFill="1" applyBorder="1" applyAlignment="1">
      <alignment horizontal="center"/>
    </xf>
    <xf numFmtId="4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57" fillId="35" borderId="0" xfId="0" applyFont="1" applyFill="1"/>
    <xf numFmtId="0" fontId="9" fillId="0" borderId="1" xfId="0" applyFont="1" applyBorder="1" applyAlignment="1">
      <alignment horizontal="center"/>
    </xf>
    <xf numFmtId="0" fontId="17" fillId="8" borderId="1" xfId="0" applyFont="1" applyFill="1" applyBorder="1"/>
    <xf numFmtId="0" fontId="51" fillId="18" borderId="0" xfId="0" applyFont="1" applyFill="1"/>
    <xf numFmtId="0" fontId="58" fillId="36" borderId="0" xfId="0" applyFont="1" applyFill="1"/>
    <xf numFmtId="0" fontId="59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1" fillId="37" borderId="0" xfId="0" applyFont="1" applyFill="1"/>
    <xf numFmtId="0" fontId="57" fillId="8" borderId="0" xfId="0" applyFont="1" applyFill="1"/>
    <xf numFmtId="0" fontId="6" fillId="0" borderId="0" xfId="0" applyFont="1" applyAlignment="1">
      <alignment horizontal="left"/>
    </xf>
    <xf numFmtId="0" fontId="17" fillId="8" borderId="0" xfId="0" applyFont="1" applyFill="1"/>
    <xf numFmtId="0" fontId="60" fillId="2" borderId="0" xfId="0" applyFont="1" applyFill="1"/>
    <xf numFmtId="0" fontId="53" fillId="38" borderId="0" xfId="0" applyFont="1" applyFill="1"/>
    <xf numFmtId="0" fontId="7" fillId="32" borderId="1" xfId="0" applyFont="1" applyFill="1" applyBorder="1" applyAlignment="1">
      <alignment horizontal="center"/>
    </xf>
    <xf numFmtId="0" fontId="61" fillId="2" borderId="0" xfId="0" applyFont="1" applyFill="1"/>
    <xf numFmtId="0" fontId="53" fillId="21" borderId="0" xfId="0" applyFont="1" applyFill="1"/>
    <xf numFmtId="0" fontId="53" fillId="29" borderId="0" xfId="0" applyFont="1" applyFill="1"/>
    <xf numFmtId="0" fontId="62" fillId="2" borderId="0" xfId="0" applyFont="1" applyFill="1"/>
    <xf numFmtId="0" fontId="63" fillId="30" borderId="0" xfId="0" applyFont="1" applyFill="1"/>
    <xf numFmtId="0" fontId="64" fillId="9" borderId="0" xfId="0" applyFont="1" applyFill="1"/>
    <xf numFmtId="0" fontId="65" fillId="2" borderId="0" xfId="0" applyFont="1" applyFill="1"/>
    <xf numFmtId="0" fontId="52" fillId="10" borderId="1" xfId="0" applyFont="1" applyFill="1" applyBorder="1" applyAlignment="1">
      <alignment horizontal="right"/>
    </xf>
    <xf numFmtId="0" fontId="2" fillId="2" borderId="0" xfId="0" applyFont="1" applyFill="1"/>
    <xf numFmtId="0" fontId="7" fillId="13" borderId="1" xfId="0" applyFont="1" applyFill="1" applyBorder="1" applyAlignment="1">
      <alignment horizontal="center"/>
    </xf>
    <xf numFmtId="0" fontId="66" fillId="2" borderId="0" xfId="0" applyFont="1" applyFill="1"/>
    <xf numFmtId="166" fontId="17" fillId="0" borderId="0" xfId="0" applyNumberFormat="1" applyFont="1" applyAlignment="1">
      <alignment horizontal="right"/>
    </xf>
    <xf numFmtId="4" fontId="6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0" fontId="67" fillId="1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39" borderId="0" xfId="0" applyFont="1" applyFill="1" applyAlignment="1">
      <alignment horizontal="center" vertical="center"/>
    </xf>
    <xf numFmtId="0" fontId="4" fillId="39" borderId="0" xfId="0" applyFont="1" applyFill="1" applyAlignment="1">
      <alignment horizontal="center" vertical="center" wrapText="1"/>
    </xf>
    <xf numFmtId="0" fontId="4" fillId="30" borderId="0" xfId="0" applyFont="1" applyFill="1" applyAlignment="1">
      <alignment horizontal="center" vertical="center"/>
    </xf>
    <xf numFmtId="0" fontId="4" fillId="30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4" fontId="7" fillId="0" borderId="1" xfId="0" applyNumberFormat="1" applyFont="1" applyBorder="1" applyAlignment="1">
      <alignment horizontal="right"/>
    </xf>
    <xf numFmtId="4" fontId="9" fillId="0" borderId="1" xfId="0" applyNumberFormat="1" applyFont="1" applyBorder="1" applyAlignment="1">
      <alignment horizontal="center"/>
    </xf>
    <xf numFmtId="2" fontId="7" fillId="0" borderId="1" xfId="0" applyNumberFormat="1" applyFont="1" applyBorder="1"/>
    <xf numFmtId="0" fontId="9" fillId="0" borderId="0" xfId="0" applyFont="1"/>
    <xf numFmtId="2" fontId="9" fillId="0" borderId="0" xfId="0" applyNumberFormat="1" applyFont="1"/>
    <xf numFmtId="0" fontId="71" fillId="0" borderId="10" xfId="0" applyFont="1" applyBorder="1" applyAlignment="1">
      <alignment wrapText="1"/>
    </xf>
    <xf numFmtId="0" fontId="71" fillId="0" borderId="11" xfId="0" applyFont="1" applyBorder="1" applyAlignment="1">
      <alignment wrapText="1"/>
    </xf>
    <xf numFmtId="0" fontId="71" fillId="40" borderId="11" xfId="0" applyFont="1" applyFill="1" applyBorder="1" applyAlignment="1">
      <alignment wrapText="1"/>
    </xf>
    <xf numFmtId="0" fontId="71" fillId="41" borderId="11" xfId="0" applyFont="1" applyFill="1" applyBorder="1" applyAlignment="1">
      <alignment wrapText="1"/>
    </xf>
    <xf numFmtId="0" fontId="71" fillId="42" borderId="11" xfId="0" applyFont="1" applyFill="1" applyBorder="1" applyAlignment="1">
      <alignment wrapText="1"/>
    </xf>
    <xf numFmtId="0" fontId="71" fillId="43" borderId="11" xfId="0" applyFont="1" applyFill="1" applyBorder="1" applyAlignment="1">
      <alignment wrapText="1"/>
    </xf>
    <xf numFmtId="0" fontId="72" fillId="0" borderId="12" xfId="0" applyFont="1" applyBorder="1" applyAlignment="1">
      <alignment wrapText="1"/>
    </xf>
    <xf numFmtId="0" fontId="72" fillId="0" borderId="13" xfId="0" applyFont="1" applyBorder="1" applyAlignment="1">
      <alignment horizontal="right" wrapText="1"/>
    </xf>
    <xf numFmtId="9" fontId="72" fillId="0" borderId="13" xfId="0" applyNumberFormat="1" applyFont="1" applyBorder="1" applyAlignment="1">
      <alignment horizontal="right" wrapText="1"/>
    </xf>
    <xf numFmtId="0" fontId="72" fillId="40" borderId="13" xfId="0" applyFont="1" applyFill="1" applyBorder="1" applyAlignment="1">
      <alignment horizontal="right" wrapText="1"/>
    </xf>
    <xf numFmtId="0" fontId="72" fillId="41" borderId="13" xfId="0" applyFont="1" applyFill="1" applyBorder="1" applyAlignment="1">
      <alignment horizontal="right" wrapText="1"/>
    </xf>
    <xf numFmtId="0" fontId="72" fillId="42" borderId="13" xfId="0" applyFont="1" applyFill="1" applyBorder="1" applyAlignment="1">
      <alignment horizontal="right" wrapText="1"/>
    </xf>
    <xf numFmtId="0" fontId="72" fillId="43" borderId="13" xfId="0" applyFont="1" applyFill="1" applyBorder="1" applyAlignment="1">
      <alignment horizontal="right" wrapText="1"/>
    </xf>
    <xf numFmtId="0" fontId="72" fillId="43" borderId="13" xfId="0" applyFont="1" applyFill="1" applyBorder="1" applyAlignment="1">
      <alignment wrapText="1"/>
    </xf>
    <xf numFmtId="0" fontId="15" fillId="8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5" fillId="5" borderId="2" xfId="0" applyFont="1" applyFill="1" applyBorder="1" applyAlignment="1">
      <alignment horizontal="left"/>
    </xf>
    <xf numFmtId="0" fontId="8" fillId="0" borderId="3" xfId="0" applyFont="1" applyBorder="1"/>
  </cellXfs>
  <cellStyles count="1">
    <cellStyle name="Normal" xfId="0" builtinId="0"/>
  </cellStyles>
  <dxfs count="2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137160</xdr:colOff>
      <xdr:row>7</xdr:row>
      <xdr:rowOff>91440</xdr:rowOff>
    </xdr:from>
    <xdr:to>
      <xdr:col>9</xdr:col>
      <xdr:colOff>137160</xdr:colOff>
      <xdr:row>13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E1C7468-E037-1E67-F2BE-DF90731B516A}"/>
            </a:ext>
          </a:extLst>
        </xdr:cNvPr>
        <xdr:cNvSpPr txBox="1">
          <a:spLocks noChangeArrowheads="1"/>
        </xdr:cNvSpPr>
      </xdr:nvSpPr>
      <xdr:spPr bwMode="auto">
        <a:xfrm>
          <a:off x="3627120" y="1478280"/>
          <a:ext cx="230124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white husk" id="{1ca3f5f6-569c-4168-bd06-c71c25d2c2f7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9" dT="2025-09-18T04:41:45.00" personId="{1ca3f5f6-569c-4168-bd06-c71c25d2c2f7}" id="{be3f1f57-a27e-4fe2-8af8-8de833b39cdc}" done="0">
    <x18tc:text xml:space="preserve">reglar fit tshirt</x18tc:text>
  </x18tc:threadedComment>
  <x18tc:threadedComment ref="J30" dT="2025-09-13T11:27:04.00" personId="{1ca3f5f6-569c-4168-bd06-c71c25d2c2f7}" id="{f03cf2a0-7ec9-4ce5-a97f-e7e7fd8b0b52}" done="0">
    <x18tc:text xml:space="preserve">added to match wallet balance</x18tc:text>
  </x18tc:threadedComment>
  <x18tc:threadedComment ref="I17" dT="2025-09-03T06:21:45.00" personId="{1ca3f5f6-569c-4168-bd06-c71c25d2c2f7}" id="{c24a9a8f-029d-4a71-89c3-d81b763334ad}" done="0">
    <x18tc:text xml:space="preserve">Adjust to sync wallet balance</x18tc:text>
  </x18tc:threadedComment>
  <x18tc:threadedComment ref="E15" dT="2025-08-31T07:59:00.00" personId="{1ca3f5f6-569c-4168-bd06-c71c25d2c2f7}" id="{0b0c6fe5-6f45-4c89-94cc-a553e5480ff1}" done="0">
    <x18tc:text xml:space="preserve">vagabond</x18tc:text>
  </x18tc:threadedComment>
  <x18tc:threadedComment ref="F29" dT="2025-09-13T05:10:06.00" personId="{1ca3f5f6-569c-4168-bd06-c71c25d2c2f7}" id="{4bc2ea82-9f37-4452-b08d-9635d68df514}" done="0">
    <x18tc:text xml:space="preserve">DTF order-not whitehusk</x18tc:text>
  </x18tc:threadedComment>
  <x18tc:threadedComment ref="E7" dT="2025-08-21T05:40:07.00" personId="{1ca3f5f6-569c-4168-bd06-c71c25d2c2f7}" id="{e4157744-7289-4bc5-bb77-d9e57fe9d0a6}" done="0">
    <x18tc:text xml:space="preserve">Some part has been given on 21Aug</x18tc:text>
  </x18tc:threadedComment>
  <x18tc:threadedComment ref="F15" dT="2025-08-31T08:02:42.00" personId="{1ca3f5f6-569c-4168-bd06-c71c25d2c2f7}" id="{986ab143-a267-4005-8881-014d988980db}" done="0">
    <x18tc:text xml:space="preserve">loffers Adjustment</x18tc:text>
  </x18tc:threadedComment>
  <x18tc:threadedComment ref="F5" dT="2025-08-19T08:34:42.00" personId="{1ca3f5f6-569c-4168-bd06-c71c25d2c2f7}" id="{9c9ca142-d93b-4337-a47d-46f09cff7c3a}" done="0">
    <x18tc:text xml:space="preserve">Added to ensure wallet balance matches</x18tc:text>
  </x18tc:threadedComment>
  <x18tc:threadedComment ref="F8" dT="2025-08-23T05:12:57.00" personId="{1ca3f5f6-569c-4168-bd06-c71c25d2c2f7}" id="{c7a7454e-f2ce-4aaa-8449-bc0e422fa407}" done="0">
    <x18tc:text xml:space="preserve">madhav custom print</x18tc:text>
  </x18tc:threadedComment>
  <x18tc:threadedComment ref="G17" dT="2025-08-31T07:55:08.00" personId="{1ca3f5f6-569c-4168-bd06-c71c25d2c2f7}" id="{1e83a3dd-8b61-4acc-8d2c-a9ba1ddf0c94}" done="0">
    <x18tc:text xml:space="preserve">Ace emblem</x18tc:text>
  </x18tc:threadedComment>
  <x18tc:threadedComment ref="E7" dT="2025-08-21T05:39:14.00" personId="{1ca3f5f6-569c-4168-bd06-c71c25d2c2f7}" id="{b592ebba-cc60-4010-be23-f9a2f7a15dad}" done="1">
    <x18tc:text xml:space="preserve">some part has given on 21 Aug</x18tc:text>
  </x18tc:threadedComment>
  <x18tc:threadedComment ref="E16" dT="2025-08-31T07:57:50.00" personId="{1ca3f5f6-569c-4168-bd06-c71c25d2c2f7}" id="{828e8b8e-a028-4169-99c7-6da7651b7c6c}" done="0">
    <x18tc:text xml:space="preserve">Thorfin new final shirt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9.88671875" customWidth="1"/>
    <col min="2" max="2" width="25.88671875" customWidth="1"/>
    <col min="3" max="3" width="13.44140625" customWidth="1"/>
    <col min="4" max="4" width="10.33203125" customWidth="1"/>
    <col min="5" max="5" width="11.44140625" customWidth="1"/>
    <col min="6" max="6" width="12.88671875" customWidth="1"/>
    <col min="7" max="7" width="9.109375" customWidth="1"/>
    <col min="8" max="8" width="8" customWidth="1"/>
    <col min="9" max="9" width="30.21875" customWidth="1"/>
    <col min="10" max="10" width="75.21875" customWidth="1"/>
    <col min="11" max="11" width="31.88671875" customWidth="1"/>
    <col min="12" max="12" width="6" customWidth="1"/>
    <col min="13" max="13" width="7.6640625" customWidth="1"/>
  </cols>
  <sheetData>
    <row r="1" spans="1:18" ht="15.75" customHeight="1">
      <c r="A1" s="1" t="s">
        <v>0</v>
      </c>
      <c r="B1" s="2" t="s">
        <v>2</v>
      </c>
      <c r="C1" s="4" t="s">
        <v>3</v>
      </c>
      <c r="D1" s="6" t="s">
        <v>5</v>
      </c>
      <c r="E1" s="8" t="s">
        <v>7</v>
      </c>
      <c r="F1" s="13" t="s">
        <v>8</v>
      </c>
      <c r="G1" s="16" t="s">
        <v>21</v>
      </c>
      <c r="H1" s="16" t="s">
        <v>24</v>
      </c>
      <c r="I1" s="17" t="s">
        <v>25</v>
      </c>
      <c r="J1" s="19" t="s">
        <v>27</v>
      </c>
      <c r="K1" s="20" t="s">
        <v>28</v>
      </c>
      <c r="L1" s="21" t="s">
        <v>29</v>
      </c>
      <c r="M1" s="28">
        <f>SUM(H:H)</f>
        <v>1.4588109999999999</v>
      </c>
      <c r="N1" s="33">
        <f>SUM(O:O)</f>
        <v>0</v>
      </c>
    </row>
    <row r="2" spans="1:18" ht="15.75" customHeight="1">
      <c r="A2" s="258" t="s">
        <v>46</v>
      </c>
      <c r="B2" s="36" t="s">
        <v>30</v>
      </c>
      <c r="C2" s="37">
        <v>2</v>
      </c>
      <c r="D2" s="38">
        <v>4</v>
      </c>
      <c r="E2" s="35">
        <v>3</v>
      </c>
      <c r="F2" s="40">
        <v>0.46219500000000002</v>
      </c>
      <c r="G2" s="35"/>
      <c r="H2" s="35">
        <f t="shared" ref="H2:H156" si="0">F2*G2</f>
        <v>0</v>
      </c>
      <c r="I2" s="44" t="s">
        <v>55</v>
      </c>
      <c r="J2" s="45" t="s">
        <v>56</v>
      </c>
      <c r="K2" s="35" t="s">
        <v>59</v>
      </c>
      <c r="N2" s="12">
        <v>18.5</v>
      </c>
    </row>
    <row r="3" spans="1:18" ht="15.75" customHeight="1">
      <c r="A3" s="259"/>
      <c r="B3" s="36" t="s">
        <v>42</v>
      </c>
      <c r="C3" s="37">
        <v>2</v>
      </c>
      <c r="D3" s="38">
        <v>3</v>
      </c>
      <c r="E3" s="35">
        <v>2</v>
      </c>
      <c r="F3" s="40">
        <v>0.47218599999999999</v>
      </c>
      <c r="G3" s="35"/>
      <c r="H3" s="35">
        <f t="shared" si="0"/>
        <v>0</v>
      </c>
      <c r="I3" s="44" t="s">
        <v>55</v>
      </c>
      <c r="J3" s="45" t="s">
        <v>56</v>
      </c>
      <c r="K3" s="35" t="s">
        <v>62</v>
      </c>
      <c r="L3" s="47"/>
      <c r="N3" s="12">
        <v>18.5</v>
      </c>
      <c r="Q3" s="12" t="s">
        <v>63</v>
      </c>
    </row>
    <row r="4" spans="1:18" ht="15.75" customHeight="1">
      <c r="A4" s="259"/>
      <c r="B4" s="36" t="s">
        <v>57</v>
      </c>
      <c r="C4" s="37">
        <v>1</v>
      </c>
      <c r="D4" s="38">
        <v>3</v>
      </c>
      <c r="E4" s="35">
        <v>2</v>
      </c>
      <c r="F4" s="40">
        <v>0.29023700000000002</v>
      </c>
      <c r="G4" s="35"/>
      <c r="H4" s="35">
        <f t="shared" si="0"/>
        <v>0</v>
      </c>
      <c r="I4" s="49" t="s">
        <v>70</v>
      </c>
      <c r="J4" s="45" t="s">
        <v>56</v>
      </c>
      <c r="K4" s="35" t="s">
        <v>72</v>
      </c>
      <c r="L4" s="47"/>
      <c r="N4" s="12">
        <v>11.5</v>
      </c>
      <c r="Q4" s="12" t="s">
        <v>74</v>
      </c>
      <c r="R4" s="26"/>
    </row>
    <row r="5" spans="1:18" ht="15.75" customHeight="1">
      <c r="A5" s="259"/>
      <c r="B5" s="36" t="s">
        <v>76</v>
      </c>
      <c r="C5" s="37">
        <v>1</v>
      </c>
      <c r="D5" s="38">
        <v>13</v>
      </c>
      <c r="E5" s="35">
        <v>12</v>
      </c>
      <c r="F5" s="40">
        <v>0.44119799999999998</v>
      </c>
      <c r="G5" s="35">
        <v>1</v>
      </c>
      <c r="H5" s="35">
        <f t="shared" si="0"/>
        <v>0.44119799999999998</v>
      </c>
      <c r="I5" s="49" t="s">
        <v>78</v>
      </c>
      <c r="J5" s="45" t="s">
        <v>56</v>
      </c>
      <c r="K5" s="35"/>
      <c r="N5" s="12">
        <v>17.5</v>
      </c>
      <c r="Q5" s="12" t="s">
        <v>79</v>
      </c>
      <c r="R5" s="26"/>
    </row>
    <row r="6" spans="1:18" ht="15.75" customHeight="1">
      <c r="A6" s="259"/>
      <c r="B6" s="52" t="s">
        <v>81</v>
      </c>
      <c r="C6" s="53">
        <v>2</v>
      </c>
      <c r="D6" s="38">
        <v>3</v>
      </c>
      <c r="E6" s="53">
        <v>2</v>
      </c>
      <c r="F6" s="54">
        <v>0.55000000000000004</v>
      </c>
      <c r="G6" s="35"/>
      <c r="H6" s="35">
        <f t="shared" si="0"/>
        <v>0</v>
      </c>
      <c r="I6" s="44"/>
      <c r="J6" s="55"/>
      <c r="K6" s="35"/>
      <c r="L6" s="47"/>
      <c r="N6" s="12">
        <v>22</v>
      </c>
      <c r="Q6" s="12" t="s">
        <v>103</v>
      </c>
      <c r="R6" s="26"/>
    </row>
    <row r="7" spans="1:18" ht="15.75" customHeight="1">
      <c r="A7" s="259"/>
      <c r="B7" s="52" t="s">
        <v>106</v>
      </c>
      <c r="C7" s="53">
        <v>1</v>
      </c>
      <c r="D7" s="38">
        <v>9</v>
      </c>
      <c r="E7" s="53">
        <v>6</v>
      </c>
      <c r="F7" s="54">
        <v>0.35</v>
      </c>
      <c r="G7" s="35"/>
      <c r="H7" s="35">
        <f t="shared" si="0"/>
        <v>0</v>
      </c>
      <c r="I7" s="36"/>
      <c r="J7" s="63"/>
      <c r="K7" s="35"/>
      <c r="L7" s="47"/>
      <c r="N7" s="12">
        <v>14</v>
      </c>
      <c r="Q7" s="12" t="s">
        <v>124</v>
      </c>
      <c r="R7" s="26"/>
    </row>
    <row r="8" spans="1:18" ht="15.75" customHeight="1">
      <c r="A8" s="259"/>
      <c r="B8" s="52" t="s">
        <v>119</v>
      </c>
      <c r="C8" s="53">
        <v>2</v>
      </c>
      <c r="D8" s="38">
        <v>7</v>
      </c>
      <c r="E8" s="53">
        <v>6</v>
      </c>
      <c r="F8" s="54">
        <v>0.6</v>
      </c>
      <c r="G8" s="35"/>
      <c r="H8" s="35">
        <f t="shared" si="0"/>
        <v>0</v>
      </c>
      <c r="I8" s="44"/>
      <c r="J8" s="64"/>
      <c r="K8" s="35"/>
      <c r="N8" s="12">
        <v>23.5</v>
      </c>
      <c r="Q8" s="12" t="s">
        <v>145</v>
      </c>
      <c r="R8" s="26"/>
    </row>
    <row r="9" spans="1:18" ht="15.75" customHeight="1">
      <c r="A9" s="259"/>
      <c r="B9" s="52" t="s">
        <v>130</v>
      </c>
      <c r="C9" s="53">
        <v>1</v>
      </c>
      <c r="D9" s="38">
        <v>6</v>
      </c>
      <c r="E9" s="53">
        <v>5</v>
      </c>
      <c r="F9" s="54">
        <v>0.43</v>
      </c>
      <c r="G9" s="35"/>
      <c r="H9" s="35">
        <f t="shared" si="0"/>
        <v>0</v>
      </c>
      <c r="K9" s="68"/>
      <c r="L9" s="47"/>
      <c r="N9" s="12">
        <v>17</v>
      </c>
      <c r="Q9" s="12" t="s">
        <v>164</v>
      </c>
      <c r="R9" s="26"/>
    </row>
    <row r="10" spans="1:18" ht="15.75" customHeight="1">
      <c r="A10" s="259"/>
      <c r="B10" s="52" t="s">
        <v>146</v>
      </c>
      <c r="C10" s="53">
        <v>1</v>
      </c>
      <c r="D10" s="38">
        <v>8</v>
      </c>
      <c r="E10" s="53">
        <v>7</v>
      </c>
      <c r="F10" s="54">
        <v>0.52</v>
      </c>
      <c r="G10" s="35"/>
      <c r="H10" s="35">
        <f t="shared" si="0"/>
        <v>0</v>
      </c>
      <c r="K10" s="69"/>
      <c r="L10" s="47"/>
      <c r="N10" s="12">
        <v>20.5</v>
      </c>
      <c r="Q10" s="12" t="s">
        <v>177</v>
      </c>
      <c r="R10" s="26"/>
    </row>
    <row r="11" spans="1:18" ht="15.75" customHeight="1">
      <c r="A11" s="259"/>
      <c r="B11" s="52" t="s">
        <v>156</v>
      </c>
      <c r="C11" s="53">
        <v>1</v>
      </c>
      <c r="D11" s="38">
        <v>6</v>
      </c>
      <c r="E11" s="53">
        <v>5</v>
      </c>
      <c r="F11" s="54">
        <v>0.41</v>
      </c>
      <c r="G11" s="35"/>
      <c r="H11" s="35">
        <f t="shared" si="0"/>
        <v>0</v>
      </c>
      <c r="K11" s="69"/>
      <c r="L11" s="47"/>
      <c r="N11" s="12">
        <v>16.5</v>
      </c>
      <c r="Q11" s="12" t="s">
        <v>186</v>
      </c>
      <c r="R11" s="26"/>
    </row>
    <row r="12" spans="1:18" ht="15.75" customHeight="1">
      <c r="A12" s="259"/>
      <c r="B12" s="52" t="s">
        <v>167</v>
      </c>
      <c r="C12" s="53">
        <v>1</v>
      </c>
      <c r="D12" s="38">
        <v>2</v>
      </c>
      <c r="E12" s="53">
        <v>1</v>
      </c>
      <c r="F12" s="54">
        <v>0.32</v>
      </c>
      <c r="G12" s="35"/>
      <c r="H12" s="35">
        <f t="shared" si="0"/>
        <v>0</v>
      </c>
      <c r="K12" s="69"/>
      <c r="L12" s="47"/>
      <c r="N12" s="12">
        <v>13</v>
      </c>
      <c r="Q12" s="12" t="s">
        <v>193</v>
      </c>
      <c r="R12" s="26"/>
    </row>
    <row r="13" spans="1:18" ht="15.75" customHeight="1">
      <c r="A13" s="260"/>
      <c r="B13" s="52" t="s">
        <v>173</v>
      </c>
      <c r="C13" s="53">
        <v>1</v>
      </c>
      <c r="D13" s="38">
        <v>2</v>
      </c>
      <c r="E13" s="53">
        <v>1</v>
      </c>
      <c r="F13" s="54">
        <v>0.39</v>
      </c>
      <c r="G13" s="35"/>
      <c r="H13" s="35">
        <f t="shared" si="0"/>
        <v>0</v>
      </c>
      <c r="I13" s="49"/>
      <c r="J13" s="45"/>
      <c r="K13" s="69"/>
      <c r="N13" s="12">
        <v>15.5</v>
      </c>
      <c r="Q13" s="12" t="s">
        <v>103</v>
      </c>
      <c r="R13" s="26"/>
    </row>
    <row r="14" spans="1:18" ht="15.75" customHeight="1">
      <c r="A14" s="258" t="s">
        <v>212</v>
      </c>
      <c r="B14" s="52" t="s">
        <v>184</v>
      </c>
      <c r="C14" s="53">
        <v>1</v>
      </c>
      <c r="D14" s="38">
        <v>2</v>
      </c>
      <c r="E14" s="53">
        <v>1</v>
      </c>
      <c r="F14" s="54">
        <v>0.3</v>
      </c>
      <c r="G14" s="35"/>
      <c r="H14" s="35">
        <f t="shared" si="0"/>
        <v>0</v>
      </c>
      <c r="I14" s="72"/>
      <c r="J14" s="45"/>
      <c r="K14" s="69"/>
      <c r="L14" s="47"/>
      <c r="N14" s="12">
        <v>12</v>
      </c>
      <c r="Q14" s="12" t="s">
        <v>225</v>
      </c>
      <c r="R14" s="26"/>
    </row>
    <row r="15" spans="1:18" ht="15.75" customHeight="1">
      <c r="A15" s="259"/>
      <c r="B15" s="52" t="s">
        <v>197</v>
      </c>
      <c r="C15" s="53">
        <v>3</v>
      </c>
      <c r="D15" s="38">
        <v>6</v>
      </c>
      <c r="E15" s="53">
        <v>4</v>
      </c>
      <c r="F15" s="54">
        <v>0.52</v>
      </c>
      <c r="G15" s="35"/>
      <c r="H15" s="35">
        <f t="shared" si="0"/>
        <v>0</v>
      </c>
      <c r="I15" s="49"/>
      <c r="J15" s="45"/>
      <c r="K15" s="69"/>
      <c r="L15" s="47"/>
      <c r="N15" s="12">
        <v>21</v>
      </c>
      <c r="Q15" s="12" t="s">
        <v>231</v>
      </c>
      <c r="R15" s="26"/>
    </row>
    <row r="16" spans="1:18" ht="15.75" customHeight="1">
      <c r="A16" s="259"/>
      <c r="B16" s="36" t="s">
        <v>214</v>
      </c>
      <c r="C16" s="37">
        <v>2</v>
      </c>
      <c r="D16" s="38">
        <v>4</v>
      </c>
      <c r="E16" s="35">
        <v>2</v>
      </c>
      <c r="F16" s="40">
        <v>0.48657899999999998</v>
      </c>
      <c r="G16" s="35"/>
      <c r="H16" s="35">
        <f t="shared" si="0"/>
        <v>0</v>
      </c>
      <c r="I16" s="72"/>
      <c r="J16" s="45"/>
      <c r="K16" s="69"/>
      <c r="L16" s="47"/>
      <c r="N16" s="12">
        <v>19.5</v>
      </c>
      <c r="Q16" s="12" t="s">
        <v>232</v>
      </c>
      <c r="R16" s="26"/>
    </row>
    <row r="17" spans="1:18" ht="15.75" customHeight="1">
      <c r="A17" s="259"/>
      <c r="B17" s="36" t="s">
        <v>224</v>
      </c>
      <c r="C17" s="37">
        <v>1</v>
      </c>
      <c r="D17" s="38">
        <v>2</v>
      </c>
      <c r="E17" s="35">
        <v>1</v>
      </c>
      <c r="F17" s="40">
        <v>0.29844999999999999</v>
      </c>
      <c r="G17" s="35"/>
      <c r="H17" s="35">
        <f t="shared" si="0"/>
        <v>0</v>
      </c>
      <c r="I17" s="49"/>
      <c r="J17" s="45"/>
      <c r="K17" s="69"/>
      <c r="L17" s="47"/>
      <c r="N17" s="12">
        <v>12</v>
      </c>
      <c r="Q17" s="12" t="s">
        <v>233</v>
      </c>
      <c r="R17" s="26"/>
    </row>
    <row r="18" spans="1:18" ht="15.75" customHeight="1">
      <c r="A18" s="259"/>
      <c r="B18" s="36" t="s">
        <v>234</v>
      </c>
      <c r="C18" s="37">
        <v>2</v>
      </c>
      <c r="D18" s="38">
        <v>3</v>
      </c>
      <c r="E18" s="35">
        <v>1</v>
      </c>
      <c r="F18" s="40">
        <v>0.497332</v>
      </c>
      <c r="G18" s="35"/>
      <c r="H18" s="35">
        <f t="shared" si="0"/>
        <v>0</v>
      </c>
      <c r="I18" s="72"/>
      <c r="J18" s="45"/>
      <c r="K18" s="35"/>
      <c r="L18" s="47"/>
      <c r="N18" s="12">
        <v>20</v>
      </c>
      <c r="Q18" s="12" t="s">
        <v>235</v>
      </c>
      <c r="R18" s="26"/>
    </row>
    <row r="19" spans="1:18" ht="15.75" customHeight="1">
      <c r="A19" s="259"/>
      <c r="B19" s="36" t="s">
        <v>236</v>
      </c>
      <c r="C19" s="37">
        <v>1</v>
      </c>
      <c r="D19" s="38">
        <v>2</v>
      </c>
      <c r="E19" s="35">
        <v>1</v>
      </c>
      <c r="F19" s="40">
        <v>0.38311699999999999</v>
      </c>
      <c r="G19" s="35"/>
      <c r="H19" s="35">
        <f t="shared" si="0"/>
        <v>0</v>
      </c>
      <c r="I19" s="72"/>
      <c r="J19" s="45"/>
      <c r="K19" s="69"/>
      <c r="L19" s="47"/>
      <c r="N19" s="12">
        <v>15.5</v>
      </c>
      <c r="Q19" s="12" t="s">
        <v>237</v>
      </c>
    </row>
    <row r="20" spans="1:18" ht="15.75" customHeight="1">
      <c r="A20" s="259"/>
      <c r="B20" s="36" t="s">
        <v>239</v>
      </c>
      <c r="C20" s="37">
        <v>1</v>
      </c>
      <c r="D20" s="38">
        <v>2</v>
      </c>
      <c r="E20" s="35">
        <v>1</v>
      </c>
      <c r="F20" s="40">
        <v>0.49800899999999998</v>
      </c>
      <c r="G20" s="35"/>
      <c r="H20" s="35">
        <f t="shared" si="0"/>
        <v>0</v>
      </c>
      <c r="I20" s="49"/>
      <c r="J20" s="45"/>
      <c r="K20" s="69"/>
      <c r="L20" s="47"/>
      <c r="N20" s="12">
        <v>20</v>
      </c>
      <c r="Q20" s="12" t="s">
        <v>244</v>
      </c>
    </row>
    <row r="21" spans="1:18" ht="15.75" customHeight="1">
      <c r="A21" s="259"/>
      <c r="B21" s="36" t="s">
        <v>246</v>
      </c>
      <c r="C21" s="37">
        <v>1</v>
      </c>
      <c r="D21" s="38">
        <v>4</v>
      </c>
      <c r="E21" s="35">
        <v>3</v>
      </c>
      <c r="F21" s="40">
        <v>0.30717100000000003</v>
      </c>
      <c r="G21" s="35"/>
      <c r="H21" s="35">
        <f t="shared" si="0"/>
        <v>0</v>
      </c>
      <c r="I21" s="49"/>
      <c r="J21" s="45"/>
      <c r="K21" s="69"/>
      <c r="L21" s="47"/>
      <c r="N21" s="12">
        <v>12.5</v>
      </c>
      <c r="Q21" s="12" t="s">
        <v>248</v>
      </c>
    </row>
    <row r="22" spans="1:18" ht="15.75" customHeight="1">
      <c r="A22" s="259"/>
      <c r="B22" s="36" t="s">
        <v>250</v>
      </c>
      <c r="C22" s="37">
        <v>2</v>
      </c>
      <c r="D22" s="38">
        <v>4</v>
      </c>
      <c r="E22" s="35">
        <v>3</v>
      </c>
      <c r="F22" s="40">
        <v>0.53610899999999995</v>
      </c>
      <c r="G22" s="35"/>
      <c r="H22" s="35">
        <f t="shared" si="0"/>
        <v>0</v>
      </c>
      <c r="I22" s="49"/>
      <c r="J22" s="45"/>
      <c r="K22" s="69"/>
      <c r="L22" s="47"/>
      <c r="N22" s="12">
        <v>21.5</v>
      </c>
      <c r="Q22" s="12" t="s">
        <v>255</v>
      </c>
    </row>
    <row r="23" spans="1:18" ht="15.75" customHeight="1">
      <c r="A23" s="259"/>
      <c r="B23" s="36" t="s">
        <v>256</v>
      </c>
      <c r="C23" s="37">
        <v>2</v>
      </c>
      <c r="D23" s="38">
        <v>3</v>
      </c>
      <c r="E23" s="35">
        <v>2</v>
      </c>
      <c r="F23" s="40">
        <v>0.61484899999999998</v>
      </c>
      <c r="G23" s="35"/>
      <c r="H23" s="35">
        <f t="shared" si="0"/>
        <v>0</v>
      </c>
      <c r="I23" s="72"/>
      <c r="J23" s="45"/>
      <c r="K23" s="35"/>
      <c r="L23" s="47"/>
      <c r="N23" s="12">
        <v>24.5</v>
      </c>
      <c r="Q23" s="12" t="s">
        <v>261</v>
      </c>
    </row>
    <row r="24" spans="1:18" ht="15.75" customHeight="1">
      <c r="A24" s="259"/>
      <c r="B24" s="36" t="s">
        <v>262</v>
      </c>
      <c r="C24" s="37">
        <v>1</v>
      </c>
      <c r="D24" s="38">
        <v>3</v>
      </c>
      <c r="E24" s="35">
        <v>2</v>
      </c>
      <c r="F24" s="40">
        <v>0.74024100000000004</v>
      </c>
      <c r="G24" s="35"/>
      <c r="H24" s="35">
        <f t="shared" si="0"/>
        <v>0</v>
      </c>
      <c r="I24" s="49"/>
      <c r="J24" s="45"/>
      <c r="K24" s="35"/>
      <c r="L24" s="47"/>
      <c r="N24" s="12">
        <v>29.5</v>
      </c>
      <c r="Q24" s="12" t="s">
        <v>266</v>
      </c>
    </row>
    <row r="25" spans="1:18" ht="15.75" customHeight="1">
      <c r="A25" s="260"/>
      <c r="B25" s="36" t="s">
        <v>268</v>
      </c>
      <c r="C25" s="37">
        <v>1</v>
      </c>
      <c r="D25" s="38">
        <v>4</v>
      </c>
      <c r="E25" s="35">
        <v>3</v>
      </c>
      <c r="F25" s="40">
        <v>0.29633300000000001</v>
      </c>
      <c r="G25" s="35"/>
      <c r="H25" s="35">
        <f t="shared" si="0"/>
        <v>0</v>
      </c>
      <c r="I25" s="49"/>
      <c r="J25" s="45"/>
      <c r="K25" s="35"/>
      <c r="L25" s="47"/>
      <c r="N25" s="12">
        <v>12</v>
      </c>
      <c r="Q25" s="12" t="s">
        <v>273</v>
      </c>
    </row>
    <row r="26" spans="1:18" ht="15.75" customHeight="1">
      <c r="A26" s="258" t="s">
        <v>276</v>
      </c>
      <c r="B26" s="36" t="s">
        <v>281</v>
      </c>
      <c r="C26" s="37">
        <v>1</v>
      </c>
      <c r="D26" s="38">
        <v>1000</v>
      </c>
      <c r="E26" s="35">
        <v>-1</v>
      </c>
      <c r="F26" s="40">
        <v>0.384048</v>
      </c>
      <c r="G26" s="35"/>
      <c r="H26" s="35">
        <f t="shared" si="0"/>
        <v>0</v>
      </c>
      <c r="I26" s="49"/>
      <c r="J26" s="45"/>
      <c r="K26" s="35"/>
      <c r="L26" s="47"/>
      <c r="N26" s="12">
        <v>15.5</v>
      </c>
      <c r="Q26" s="72"/>
    </row>
    <row r="27" spans="1:18" ht="15.75" customHeight="1">
      <c r="A27" s="259"/>
      <c r="B27" s="36" t="s">
        <v>291</v>
      </c>
      <c r="C27" s="37">
        <v>1</v>
      </c>
      <c r="D27" s="38">
        <v>3</v>
      </c>
      <c r="E27" s="35">
        <v>2</v>
      </c>
      <c r="F27" s="40">
        <v>0.228769</v>
      </c>
      <c r="G27" s="35"/>
      <c r="H27" s="35">
        <f t="shared" si="0"/>
        <v>0</v>
      </c>
      <c r="I27" s="49"/>
      <c r="J27" s="45"/>
      <c r="K27" s="35"/>
      <c r="L27" s="47"/>
      <c r="N27" s="12">
        <v>9</v>
      </c>
      <c r="Q27" s="72"/>
    </row>
    <row r="28" spans="1:18" ht="15.75" customHeight="1">
      <c r="A28" s="259"/>
      <c r="B28" s="36" t="s">
        <v>293</v>
      </c>
      <c r="C28" s="37">
        <v>1</v>
      </c>
      <c r="D28" s="38">
        <v>5</v>
      </c>
      <c r="E28" s="35">
        <v>4</v>
      </c>
      <c r="F28" s="40">
        <v>0.38480999999999999</v>
      </c>
      <c r="G28" s="35"/>
      <c r="H28" s="35">
        <f t="shared" si="0"/>
        <v>0</v>
      </c>
      <c r="I28" s="72"/>
      <c r="J28" s="45"/>
      <c r="K28" s="69"/>
      <c r="L28" s="47"/>
      <c r="N28" s="12">
        <v>15.5</v>
      </c>
      <c r="Q28" s="72"/>
    </row>
    <row r="29" spans="1:18" ht="15.75" customHeight="1">
      <c r="A29" s="259"/>
      <c r="B29" s="36" t="s">
        <v>299</v>
      </c>
      <c r="C29" s="37">
        <v>2</v>
      </c>
      <c r="D29" s="38">
        <v>11</v>
      </c>
      <c r="E29" s="35">
        <v>9</v>
      </c>
      <c r="F29" s="40">
        <v>0.38607999999999998</v>
      </c>
      <c r="G29" s="35"/>
      <c r="H29" s="35">
        <f t="shared" si="0"/>
        <v>0</v>
      </c>
      <c r="I29" s="72"/>
      <c r="J29" s="45"/>
      <c r="K29" s="35"/>
      <c r="L29" s="47"/>
      <c r="N29" s="12">
        <v>15.5</v>
      </c>
      <c r="Q29" s="72"/>
    </row>
    <row r="30" spans="1:18" ht="14.4">
      <c r="A30" s="259"/>
      <c r="B30" s="36" t="s">
        <v>300</v>
      </c>
      <c r="C30" s="37">
        <v>2</v>
      </c>
      <c r="D30" s="38">
        <v>9</v>
      </c>
      <c r="E30" s="35">
        <v>8</v>
      </c>
      <c r="F30" s="40">
        <v>0.52103900000000003</v>
      </c>
      <c r="G30" s="35"/>
      <c r="H30" s="35">
        <f t="shared" si="0"/>
        <v>0</v>
      </c>
      <c r="I30" s="49"/>
      <c r="J30" s="45"/>
      <c r="K30" s="35"/>
      <c r="L30" s="47"/>
      <c r="N30" s="12">
        <v>20.5</v>
      </c>
      <c r="Q30" s="49"/>
    </row>
    <row r="31" spans="1:18" ht="14.4">
      <c r="A31" s="259"/>
      <c r="B31" s="36" t="s">
        <v>307</v>
      </c>
      <c r="C31" s="37">
        <v>2</v>
      </c>
      <c r="D31" s="38">
        <v>9</v>
      </c>
      <c r="E31" s="35">
        <v>7</v>
      </c>
      <c r="F31" s="40">
        <v>0.6</v>
      </c>
      <c r="G31" s="35"/>
      <c r="H31" s="35">
        <f t="shared" si="0"/>
        <v>0</v>
      </c>
      <c r="I31" s="49"/>
      <c r="J31" s="45"/>
      <c r="K31" s="35"/>
      <c r="L31" s="47"/>
      <c r="N31" s="12">
        <v>20</v>
      </c>
      <c r="Q31" s="72"/>
    </row>
    <row r="32" spans="1:18" ht="14.4">
      <c r="A32" s="259"/>
      <c r="B32" s="36" t="s">
        <v>312</v>
      </c>
      <c r="C32" s="37">
        <v>1</v>
      </c>
      <c r="D32" s="38">
        <v>2</v>
      </c>
      <c r="E32" s="35">
        <v>1</v>
      </c>
      <c r="F32" s="40">
        <v>0.362458</v>
      </c>
      <c r="G32" s="35"/>
      <c r="H32" s="35">
        <f t="shared" si="0"/>
        <v>0</v>
      </c>
      <c r="I32" s="49"/>
      <c r="J32" s="45"/>
      <c r="K32" s="35"/>
      <c r="L32" s="47"/>
      <c r="N32" s="12">
        <v>14.5</v>
      </c>
    </row>
    <row r="33" spans="1:20" ht="14.4">
      <c r="A33" s="259"/>
      <c r="B33" s="36" t="s">
        <v>322</v>
      </c>
      <c r="C33" s="37">
        <v>2</v>
      </c>
      <c r="D33" s="38">
        <v>3</v>
      </c>
      <c r="E33" s="35">
        <v>1</v>
      </c>
      <c r="F33" s="40">
        <v>0.39674799999999999</v>
      </c>
      <c r="G33" s="35"/>
      <c r="H33" s="35">
        <f t="shared" si="0"/>
        <v>0</v>
      </c>
      <c r="I33" s="49"/>
      <c r="J33" s="45"/>
      <c r="K33" s="35"/>
      <c r="L33" s="47"/>
      <c r="N33" s="12">
        <v>16</v>
      </c>
    </row>
    <row r="34" spans="1:20" ht="14.4">
      <c r="A34" s="259"/>
      <c r="B34" s="36" t="s">
        <v>325</v>
      </c>
      <c r="C34" s="37">
        <v>1</v>
      </c>
      <c r="D34" s="38">
        <v>2</v>
      </c>
      <c r="E34" s="35">
        <v>1</v>
      </c>
      <c r="F34" s="40">
        <v>0.36770700000000001</v>
      </c>
      <c r="G34" s="35"/>
      <c r="H34" s="35">
        <f t="shared" si="0"/>
        <v>0</v>
      </c>
      <c r="I34" s="49"/>
      <c r="J34" s="45"/>
      <c r="K34" s="69"/>
      <c r="L34" s="47"/>
      <c r="N34" s="12">
        <v>14.5</v>
      </c>
      <c r="T34" s="12" t="s">
        <v>334</v>
      </c>
    </row>
    <row r="35" spans="1:20" ht="14.4">
      <c r="A35" s="259"/>
      <c r="B35" s="36" t="s">
        <v>335</v>
      </c>
      <c r="C35" s="37">
        <v>2</v>
      </c>
      <c r="D35" s="38">
        <v>3</v>
      </c>
      <c r="E35" s="35">
        <v>1</v>
      </c>
      <c r="F35" s="40">
        <v>0.400812</v>
      </c>
      <c r="G35" s="35"/>
      <c r="H35" s="35">
        <f t="shared" si="0"/>
        <v>0</v>
      </c>
      <c r="I35" s="49"/>
      <c r="J35" s="45"/>
      <c r="K35" s="35"/>
      <c r="L35" s="47"/>
      <c r="N35" s="12">
        <v>16</v>
      </c>
    </row>
    <row r="36" spans="1:20" ht="14.4">
      <c r="A36" s="259"/>
      <c r="B36" s="36" t="s">
        <v>343</v>
      </c>
      <c r="C36" s="37">
        <v>2</v>
      </c>
      <c r="D36" s="38">
        <v>7</v>
      </c>
      <c r="E36" s="35">
        <v>5</v>
      </c>
      <c r="F36" s="40">
        <v>0.37439600000000001</v>
      </c>
      <c r="G36" s="35"/>
      <c r="H36" s="35">
        <f t="shared" si="0"/>
        <v>0</v>
      </c>
      <c r="I36" s="49"/>
      <c r="J36" s="45"/>
      <c r="K36" s="69"/>
      <c r="L36" s="47"/>
      <c r="N36" s="12">
        <v>15</v>
      </c>
    </row>
    <row r="37" spans="1:20" ht="14.4">
      <c r="A37" s="260"/>
      <c r="B37" s="36" t="s">
        <v>348</v>
      </c>
      <c r="C37" s="37">
        <v>2</v>
      </c>
      <c r="D37" s="38">
        <v>5</v>
      </c>
      <c r="E37" s="35">
        <v>3</v>
      </c>
      <c r="F37" s="40">
        <v>0.37761299999999998</v>
      </c>
      <c r="G37" s="35">
        <v>1</v>
      </c>
      <c r="H37" s="35">
        <f t="shared" si="0"/>
        <v>0.37761299999999998</v>
      </c>
      <c r="I37" s="49"/>
      <c r="J37" s="45"/>
      <c r="K37" s="35"/>
      <c r="L37" s="47"/>
      <c r="N37" s="12">
        <v>15</v>
      </c>
    </row>
    <row r="38" spans="1:20" ht="14.4">
      <c r="A38" s="258" t="s">
        <v>358</v>
      </c>
      <c r="B38" s="36" t="s">
        <v>359</v>
      </c>
      <c r="C38" s="37">
        <v>4</v>
      </c>
      <c r="D38" s="38">
        <v>13</v>
      </c>
      <c r="E38" s="35">
        <v>10</v>
      </c>
      <c r="F38" s="40">
        <v>0.94106999999999996</v>
      </c>
      <c r="G38" s="35"/>
      <c r="H38" s="35">
        <f t="shared" si="0"/>
        <v>0</v>
      </c>
      <c r="I38" s="49"/>
      <c r="J38" s="45"/>
      <c r="K38" s="35"/>
      <c r="L38" s="47"/>
      <c r="N38" s="12">
        <v>37</v>
      </c>
    </row>
    <row r="39" spans="1:20" ht="14.4">
      <c r="A39" s="259"/>
      <c r="B39" s="36" t="s">
        <v>363</v>
      </c>
      <c r="C39" s="37">
        <v>1</v>
      </c>
      <c r="D39" s="38">
        <v>1000</v>
      </c>
      <c r="E39" s="35">
        <v>2</v>
      </c>
      <c r="F39" s="40">
        <v>0.57090700000000005</v>
      </c>
      <c r="G39" s="35"/>
      <c r="H39" s="35">
        <f t="shared" si="0"/>
        <v>0</v>
      </c>
      <c r="I39" s="49"/>
      <c r="J39" s="45"/>
      <c r="K39" s="35"/>
      <c r="L39" s="47"/>
      <c r="N39" s="12">
        <v>22.5</v>
      </c>
    </row>
    <row r="40" spans="1:20" ht="14.4">
      <c r="A40" s="259"/>
      <c r="B40" s="36" t="s">
        <v>370</v>
      </c>
      <c r="C40" s="37">
        <v>2</v>
      </c>
      <c r="D40" s="38">
        <v>3</v>
      </c>
      <c r="E40" s="35">
        <v>1</v>
      </c>
      <c r="F40" s="40">
        <v>0.40648499999999999</v>
      </c>
      <c r="G40" s="35"/>
      <c r="H40" s="35">
        <f t="shared" si="0"/>
        <v>0</v>
      </c>
      <c r="I40" s="49"/>
      <c r="J40" s="85"/>
      <c r="K40" s="35"/>
      <c r="L40" s="47"/>
      <c r="N40" s="12">
        <v>16</v>
      </c>
    </row>
    <row r="41" spans="1:20" ht="14.4">
      <c r="A41" s="259"/>
      <c r="B41" s="36" t="s">
        <v>380</v>
      </c>
      <c r="C41" s="37">
        <v>2</v>
      </c>
      <c r="D41" s="38">
        <v>3</v>
      </c>
      <c r="E41" s="35">
        <v>1</v>
      </c>
      <c r="F41" s="40">
        <v>0.37414199999999997</v>
      </c>
      <c r="G41" s="35"/>
      <c r="H41" s="35">
        <f t="shared" si="0"/>
        <v>0</v>
      </c>
      <c r="I41" s="49"/>
      <c r="J41" s="85"/>
      <c r="K41" s="35"/>
      <c r="L41" s="47"/>
      <c r="N41" s="12">
        <v>15</v>
      </c>
    </row>
    <row r="42" spans="1:20" ht="14.4">
      <c r="A42" s="259"/>
      <c r="B42" s="36" t="s">
        <v>391</v>
      </c>
      <c r="C42" s="37">
        <v>3</v>
      </c>
      <c r="D42" s="38">
        <v>5</v>
      </c>
      <c r="E42" s="35">
        <v>4</v>
      </c>
      <c r="F42" s="40">
        <v>0.38311699999999999</v>
      </c>
      <c r="G42" s="35"/>
      <c r="H42" s="35">
        <f t="shared" si="0"/>
        <v>0</v>
      </c>
      <c r="I42" s="49"/>
      <c r="J42" s="85"/>
      <c r="K42" s="35"/>
      <c r="L42" s="47"/>
      <c r="N42" s="12">
        <v>15.5</v>
      </c>
    </row>
    <row r="43" spans="1:20" ht="14.4">
      <c r="A43" s="259"/>
      <c r="B43" s="36" t="s">
        <v>460</v>
      </c>
      <c r="C43" s="37">
        <v>1</v>
      </c>
      <c r="D43" s="38">
        <v>2</v>
      </c>
      <c r="E43" s="35">
        <v>1</v>
      </c>
      <c r="F43" s="40">
        <v>0.29751899999999998</v>
      </c>
      <c r="G43" s="35"/>
      <c r="H43" s="35">
        <f t="shared" si="0"/>
        <v>0</v>
      </c>
      <c r="I43" s="49"/>
      <c r="J43" s="85"/>
      <c r="K43" s="35"/>
      <c r="L43" s="47"/>
      <c r="N43" s="12">
        <v>12</v>
      </c>
    </row>
    <row r="44" spans="1:20" ht="14.4">
      <c r="A44" s="259"/>
      <c r="B44" s="36" t="s">
        <v>475</v>
      </c>
      <c r="C44" s="37">
        <v>2</v>
      </c>
      <c r="D44" s="38">
        <v>2</v>
      </c>
      <c r="E44" s="35">
        <v>1</v>
      </c>
      <c r="F44" s="40">
        <v>0.51172499999999999</v>
      </c>
      <c r="G44" s="35"/>
      <c r="H44" s="35">
        <f t="shared" si="0"/>
        <v>0</v>
      </c>
      <c r="I44" s="49"/>
      <c r="J44" s="85"/>
      <c r="K44" s="35"/>
      <c r="L44" s="47"/>
      <c r="N44" s="12">
        <v>20.5</v>
      </c>
    </row>
    <row r="45" spans="1:20" ht="14.4">
      <c r="A45" s="259"/>
      <c r="B45" s="36" t="s">
        <v>497</v>
      </c>
      <c r="C45" s="37">
        <v>2</v>
      </c>
      <c r="D45" s="38">
        <v>3</v>
      </c>
      <c r="E45" s="35">
        <v>1</v>
      </c>
      <c r="F45" s="40">
        <v>0.62356999999999996</v>
      </c>
      <c r="G45" s="35"/>
      <c r="H45" s="35">
        <f t="shared" si="0"/>
        <v>0</v>
      </c>
      <c r="I45" s="72"/>
      <c r="J45" s="85"/>
      <c r="K45" s="35"/>
      <c r="L45" s="47"/>
      <c r="N45" s="12">
        <v>25</v>
      </c>
    </row>
    <row r="46" spans="1:20" ht="14.4">
      <c r="A46" s="259"/>
      <c r="B46" s="36" t="s">
        <v>523</v>
      </c>
      <c r="C46" s="37">
        <v>2</v>
      </c>
      <c r="D46" s="38">
        <v>6</v>
      </c>
      <c r="E46" s="35">
        <v>5</v>
      </c>
      <c r="F46" s="40">
        <v>0.52510299999999999</v>
      </c>
      <c r="G46" s="35"/>
      <c r="H46" s="35">
        <f t="shared" si="0"/>
        <v>0</v>
      </c>
      <c r="I46" s="72"/>
      <c r="J46" s="85"/>
      <c r="K46" s="35"/>
      <c r="L46" s="47"/>
      <c r="N46" s="12">
        <v>21</v>
      </c>
    </row>
    <row r="47" spans="1:20" ht="14.4">
      <c r="A47" s="259"/>
      <c r="B47" s="36" t="s">
        <v>537</v>
      </c>
      <c r="C47" s="37">
        <v>1</v>
      </c>
      <c r="D47" s="38">
        <v>2</v>
      </c>
      <c r="E47" s="35">
        <v>1</v>
      </c>
      <c r="F47" s="40">
        <v>0.32435799999999998</v>
      </c>
      <c r="G47" s="35"/>
      <c r="H47" s="35">
        <f t="shared" si="0"/>
        <v>0</v>
      </c>
      <c r="I47" s="49"/>
      <c r="J47" s="85"/>
      <c r="K47" s="35"/>
      <c r="L47" s="47"/>
      <c r="N47" s="12">
        <v>13</v>
      </c>
    </row>
    <row r="48" spans="1:20" ht="14.4">
      <c r="A48" s="259"/>
      <c r="B48" s="36" t="s">
        <v>552</v>
      </c>
      <c r="C48" s="37">
        <v>1</v>
      </c>
      <c r="D48" s="38">
        <v>2</v>
      </c>
      <c r="E48" s="35">
        <v>1</v>
      </c>
      <c r="F48" s="40">
        <v>0.26669999999999999</v>
      </c>
      <c r="G48" s="35"/>
      <c r="H48" s="35">
        <f t="shared" si="0"/>
        <v>0</v>
      </c>
      <c r="I48" s="49"/>
      <c r="J48" s="85"/>
      <c r="K48" s="35"/>
      <c r="L48" s="47"/>
      <c r="N48" s="12">
        <v>10.5</v>
      </c>
    </row>
    <row r="49" spans="1:14" ht="14.4">
      <c r="A49" s="260"/>
      <c r="B49" s="36" t="s">
        <v>567</v>
      </c>
      <c r="C49" s="37">
        <v>1</v>
      </c>
      <c r="D49" s="38">
        <v>5</v>
      </c>
      <c r="E49" s="35">
        <v>4</v>
      </c>
      <c r="F49" s="40">
        <v>0.34162999999999999</v>
      </c>
      <c r="G49" s="35"/>
      <c r="H49" s="35">
        <f t="shared" si="0"/>
        <v>0</v>
      </c>
      <c r="I49" s="49"/>
      <c r="J49" s="85"/>
      <c r="K49" s="35"/>
      <c r="L49" s="47"/>
      <c r="N49" s="12">
        <v>13.5</v>
      </c>
    </row>
    <row r="50" spans="1:14" ht="14.4">
      <c r="A50" s="258" t="s">
        <v>597</v>
      </c>
      <c r="B50" s="36" t="s">
        <v>596</v>
      </c>
      <c r="C50" s="37">
        <v>1</v>
      </c>
      <c r="D50" s="38">
        <v>7</v>
      </c>
      <c r="E50" s="35">
        <v>6</v>
      </c>
      <c r="F50" s="40">
        <v>0.47057700000000002</v>
      </c>
      <c r="G50" s="35"/>
      <c r="H50" s="35">
        <f t="shared" si="0"/>
        <v>0</v>
      </c>
      <c r="I50" s="49"/>
      <c r="J50" s="85"/>
      <c r="K50" s="35"/>
      <c r="L50" s="47"/>
      <c r="N50" s="12">
        <v>19</v>
      </c>
    </row>
    <row r="51" spans="1:14" ht="14.4">
      <c r="A51" s="259"/>
      <c r="B51" s="36" t="s">
        <v>612</v>
      </c>
      <c r="C51" s="37">
        <v>1</v>
      </c>
      <c r="D51" s="38">
        <v>7</v>
      </c>
      <c r="E51" s="35">
        <v>6</v>
      </c>
      <c r="F51" s="40">
        <v>0.47057700000000002</v>
      </c>
      <c r="G51" s="35"/>
      <c r="H51" s="35">
        <f t="shared" si="0"/>
        <v>0</v>
      </c>
      <c r="I51" s="49"/>
      <c r="J51" s="85"/>
      <c r="K51" s="35"/>
      <c r="L51" s="47"/>
      <c r="N51" s="12">
        <v>19</v>
      </c>
    </row>
    <row r="52" spans="1:14" ht="14.4">
      <c r="A52" s="259"/>
      <c r="B52" s="36" t="s">
        <v>623</v>
      </c>
      <c r="C52" s="37">
        <v>1</v>
      </c>
      <c r="D52" s="38">
        <v>2</v>
      </c>
      <c r="E52" s="35">
        <v>1</v>
      </c>
      <c r="F52" s="40">
        <v>0.36660700000000002</v>
      </c>
      <c r="G52" s="35"/>
      <c r="H52" s="35">
        <f t="shared" si="0"/>
        <v>0</v>
      </c>
      <c r="I52" s="49"/>
      <c r="J52" s="85"/>
      <c r="K52" s="35"/>
      <c r="L52" s="47"/>
      <c r="N52" s="12">
        <v>14.5</v>
      </c>
    </row>
    <row r="53" spans="1:14" ht="14.4">
      <c r="A53" s="259"/>
      <c r="B53" s="36" t="s">
        <v>637</v>
      </c>
      <c r="C53" s="37">
        <v>1</v>
      </c>
      <c r="D53" s="38">
        <v>2</v>
      </c>
      <c r="E53" s="35">
        <v>1</v>
      </c>
      <c r="F53" s="40">
        <v>0.34865699999999999</v>
      </c>
      <c r="G53" s="35"/>
      <c r="H53" s="35">
        <f t="shared" si="0"/>
        <v>0</v>
      </c>
      <c r="I53" s="49"/>
      <c r="J53" s="85"/>
      <c r="K53" s="35"/>
      <c r="L53" s="47"/>
      <c r="N53" s="12">
        <v>14</v>
      </c>
    </row>
    <row r="54" spans="1:14" ht="14.4">
      <c r="A54" s="259"/>
      <c r="B54" s="36" t="s">
        <v>647</v>
      </c>
      <c r="C54" s="37">
        <v>1</v>
      </c>
      <c r="D54" s="38">
        <v>3</v>
      </c>
      <c r="E54" s="35">
        <v>2</v>
      </c>
      <c r="F54" s="40">
        <v>0.59605300000000006</v>
      </c>
      <c r="G54" s="35"/>
      <c r="H54" s="35">
        <f t="shared" si="0"/>
        <v>0</v>
      </c>
      <c r="I54" s="49"/>
      <c r="J54" s="85"/>
      <c r="K54" s="35"/>
      <c r="L54" s="47"/>
      <c r="N54" s="12">
        <v>24</v>
      </c>
    </row>
    <row r="55" spans="1:14" ht="14.4">
      <c r="A55" s="259"/>
      <c r="B55" s="36" t="s">
        <v>657</v>
      </c>
      <c r="C55" s="37">
        <v>1</v>
      </c>
      <c r="D55" s="38">
        <v>2</v>
      </c>
      <c r="E55" s="35">
        <v>1</v>
      </c>
      <c r="F55" s="40">
        <v>0.247142</v>
      </c>
      <c r="G55" s="35"/>
      <c r="H55" s="35">
        <f t="shared" si="0"/>
        <v>0</v>
      </c>
      <c r="I55" s="49"/>
      <c r="J55" s="85"/>
      <c r="K55" s="35"/>
      <c r="L55" s="47"/>
      <c r="N55" s="12">
        <v>10</v>
      </c>
    </row>
    <row r="56" spans="1:14" ht="14.4">
      <c r="A56" s="259"/>
      <c r="B56" s="36" t="s">
        <v>670</v>
      </c>
      <c r="C56" s="37">
        <v>1</v>
      </c>
      <c r="D56" s="38">
        <v>2</v>
      </c>
      <c r="E56" s="35">
        <v>1</v>
      </c>
      <c r="F56" s="40">
        <v>0.25366100000000003</v>
      </c>
      <c r="G56" s="35"/>
      <c r="H56" s="35">
        <f t="shared" si="0"/>
        <v>0</v>
      </c>
      <c r="I56" s="49"/>
      <c r="J56" s="85"/>
      <c r="K56" s="35"/>
      <c r="L56" s="47"/>
      <c r="N56" s="12">
        <v>10</v>
      </c>
    </row>
    <row r="57" spans="1:14" ht="14.4">
      <c r="A57" s="259"/>
      <c r="B57" s="99" t="s">
        <v>682</v>
      </c>
      <c r="C57" s="37">
        <v>1</v>
      </c>
      <c r="D57" s="38">
        <v>7</v>
      </c>
      <c r="E57" s="35">
        <v>6</v>
      </c>
      <c r="F57" s="40">
        <v>0.34459299999999998</v>
      </c>
      <c r="G57" s="35"/>
      <c r="H57" s="35">
        <f t="shared" si="0"/>
        <v>0</v>
      </c>
      <c r="I57" s="49"/>
      <c r="J57" s="85"/>
      <c r="K57" s="35"/>
      <c r="L57" s="47"/>
      <c r="N57" s="12">
        <v>14</v>
      </c>
    </row>
    <row r="58" spans="1:14" ht="14.4">
      <c r="A58" s="259"/>
      <c r="B58" s="100" t="s">
        <v>693</v>
      </c>
      <c r="C58" s="37">
        <v>1</v>
      </c>
      <c r="D58" s="38">
        <v>4</v>
      </c>
      <c r="E58" s="35">
        <v>3</v>
      </c>
      <c r="F58" s="40">
        <v>0.57090700000000005</v>
      </c>
      <c r="G58" s="35"/>
      <c r="H58" s="35">
        <f t="shared" si="0"/>
        <v>0</v>
      </c>
      <c r="I58" s="49"/>
      <c r="J58" s="85"/>
      <c r="K58" s="35"/>
      <c r="L58" s="47"/>
      <c r="N58" s="12">
        <v>22.5</v>
      </c>
    </row>
    <row r="59" spans="1:14" ht="14.4">
      <c r="A59" s="259"/>
      <c r="B59" s="100" t="s">
        <v>705</v>
      </c>
      <c r="C59" s="37">
        <v>1</v>
      </c>
      <c r="D59" s="38">
        <v>3</v>
      </c>
      <c r="E59" s="35">
        <v>2</v>
      </c>
      <c r="F59" s="40">
        <v>0.85911300000000002</v>
      </c>
      <c r="G59" s="35"/>
      <c r="H59" s="35">
        <f t="shared" si="0"/>
        <v>0</v>
      </c>
      <c r="I59" s="49"/>
      <c r="J59" s="85"/>
      <c r="K59" s="35"/>
      <c r="L59" s="47"/>
      <c r="N59" s="12">
        <v>34</v>
      </c>
    </row>
    <row r="60" spans="1:14" ht="14.4">
      <c r="A60" s="259"/>
      <c r="B60" s="100" t="s">
        <v>722</v>
      </c>
      <c r="C60" s="37">
        <v>1</v>
      </c>
      <c r="D60" s="38">
        <v>3</v>
      </c>
      <c r="E60" s="35">
        <v>2</v>
      </c>
      <c r="F60" s="102">
        <v>0.38600000000000001</v>
      </c>
      <c r="G60" s="35"/>
      <c r="H60" s="35">
        <f t="shared" si="0"/>
        <v>0</v>
      </c>
      <c r="I60" s="72"/>
      <c r="J60" s="85"/>
      <c r="K60" s="35"/>
      <c r="L60" s="47"/>
      <c r="N60" s="12">
        <v>15.5</v>
      </c>
    </row>
    <row r="61" spans="1:14" ht="14.4">
      <c r="A61" s="259"/>
      <c r="B61" s="44" t="s">
        <v>733</v>
      </c>
      <c r="C61" s="35">
        <v>1</v>
      </c>
      <c r="D61" s="38">
        <v>8</v>
      </c>
      <c r="E61" s="35">
        <v>7</v>
      </c>
      <c r="F61" s="40">
        <v>0.42748199999999997</v>
      </c>
      <c r="G61" s="35"/>
      <c r="H61" s="35">
        <f t="shared" si="0"/>
        <v>0</v>
      </c>
      <c r="I61" s="72"/>
      <c r="J61" s="85"/>
      <c r="L61" s="47"/>
      <c r="N61" s="12">
        <v>17</v>
      </c>
    </row>
    <row r="62" spans="1:14" ht="14.4">
      <c r="A62" s="259"/>
      <c r="B62" s="35" t="s">
        <v>743</v>
      </c>
      <c r="C62" s="35">
        <v>2</v>
      </c>
      <c r="D62" s="38">
        <v>9</v>
      </c>
      <c r="E62" s="35">
        <v>7</v>
      </c>
      <c r="F62" s="40">
        <v>0.60866900000000002</v>
      </c>
      <c r="G62" s="35"/>
      <c r="H62" s="35">
        <f t="shared" si="0"/>
        <v>0</v>
      </c>
      <c r="I62" s="72"/>
      <c r="J62" s="104"/>
      <c r="L62" s="47"/>
      <c r="N62" s="12">
        <v>24</v>
      </c>
    </row>
    <row r="63" spans="1:14" ht="13.2">
      <c r="A63" s="259"/>
      <c r="B63" s="44" t="s">
        <v>754</v>
      </c>
      <c r="C63" s="35">
        <v>1</v>
      </c>
      <c r="D63" s="38">
        <v>3</v>
      </c>
      <c r="E63" s="35">
        <v>2</v>
      </c>
      <c r="F63" s="102">
        <v>0.63</v>
      </c>
      <c r="G63" s="35"/>
      <c r="H63" s="35">
        <f t="shared" si="0"/>
        <v>0</v>
      </c>
      <c r="I63" s="49"/>
      <c r="J63" s="104"/>
      <c r="L63" s="47"/>
      <c r="N63" s="12">
        <v>25</v>
      </c>
    </row>
    <row r="64" spans="1:14" ht="14.4">
      <c r="A64" s="259"/>
      <c r="B64" s="35" t="s">
        <v>761</v>
      </c>
      <c r="C64" s="35">
        <v>2</v>
      </c>
      <c r="D64" s="38">
        <v>1000</v>
      </c>
      <c r="E64" s="35">
        <v>-1</v>
      </c>
      <c r="F64" s="40">
        <v>0.44864900000000002</v>
      </c>
      <c r="G64" s="35"/>
      <c r="H64" s="35">
        <f t="shared" si="0"/>
        <v>0</v>
      </c>
      <c r="I64" s="49"/>
      <c r="J64" s="104"/>
      <c r="L64" s="47"/>
      <c r="N64" s="12">
        <v>18</v>
      </c>
    </row>
    <row r="65" spans="1:14" ht="13.2">
      <c r="A65" s="260"/>
      <c r="B65" s="35" t="s">
        <v>766</v>
      </c>
      <c r="C65" s="35">
        <v>1</v>
      </c>
      <c r="D65" s="38">
        <v>3</v>
      </c>
      <c r="E65" s="35">
        <v>2</v>
      </c>
      <c r="F65" s="35">
        <v>0.38</v>
      </c>
      <c r="G65" s="35"/>
      <c r="H65" s="35">
        <f t="shared" si="0"/>
        <v>0</v>
      </c>
      <c r="I65" s="49"/>
      <c r="J65" s="104"/>
      <c r="L65" s="47"/>
      <c r="N65" s="12">
        <v>15.5</v>
      </c>
    </row>
    <row r="66" spans="1:14" ht="13.2">
      <c r="B66" s="35" t="s">
        <v>768</v>
      </c>
      <c r="C66" s="35">
        <v>1</v>
      </c>
      <c r="D66" s="38">
        <v>997</v>
      </c>
      <c r="E66" s="35">
        <v>-1</v>
      </c>
      <c r="F66" s="35">
        <v>0.52</v>
      </c>
      <c r="G66" s="35"/>
      <c r="H66" s="35">
        <f t="shared" si="0"/>
        <v>0</v>
      </c>
      <c r="I66" s="49"/>
      <c r="J66" s="104"/>
      <c r="L66" s="47"/>
      <c r="N66" s="12">
        <v>20.5</v>
      </c>
    </row>
    <row r="67" spans="1:14" ht="13.2">
      <c r="B67" s="35" t="s">
        <v>781</v>
      </c>
      <c r="C67" s="35">
        <v>1</v>
      </c>
      <c r="D67" s="38">
        <v>7</v>
      </c>
      <c r="E67" s="35">
        <v>6</v>
      </c>
      <c r="F67" s="35">
        <v>0.28999999999999998</v>
      </c>
      <c r="G67" s="35"/>
      <c r="H67" s="35">
        <f t="shared" si="0"/>
        <v>0</v>
      </c>
      <c r="I67" s="49"/>
      <c r="J67" s="104"/>
      <c r="L67" s="47"/>
      <c r="N67" s="12">
        <v>15.5</v>
      </c>
    </row>
    <row r="68" spans="1:14" ht="14.4">
      <c r="B68" s="37" t="s">
        <v>788</v>
      </c>
      <c r="C68" s="38">
        <v>4</v>
      </c>
      <c r="D68" s="38">
        <v>3</v>
      </c>
      <c r="E68" s="38">
        <v>1</v>
      </c>
      <c r="F68" s="107">
        <v>0.12</v>
      </c>
      <c r="G68" s="37"/>
      <c r="H68" s="35">
        <f t="shared" si="0"/>
        <v>0</v>
      </c>
      <c r="I68" s="49"/>
      <c r="J68" s="104"/>
      <c r="L68" s="47"/>
    </row>
    <row r="69" spans="1:14" ht="14.4">
      <c r="B69" s="37" t="s">
        <v>807</v>
      </c>
      <c r="C69" s="38">
        <v>4</v>
      </c>
      <c r="D69" s="38">
        <v>4</v>
      </c>
      <c r="E69" s="38">
        <v>1</v>
      </c>
      <c r="F69" s="107">
        <v>0.13</v>
      </c>
      <c r="G69" s="37"/>
      <c r="H69" s="35">
        <f t="shared" si="0"/>
        <v>0</v>
      </c>
      <c r="I69" s="49"/>
      <c r="J69" s="104"/>
      <c r="L69" s="47"/>
      <c r="N69" s="12">
        <v>5</v>
      </c>
    </row>
    <row r="70" spans="1:14" ht="14.4">
      <c r="B70" s="37" t="s">
        <v>820</v>
      </c>
      <c r="C70" s="38">
        <v>3</v>
      </c>
      <c r="D70" s="38">
        <v>2</v>
      </c>
      <c r="E70" s="38">
        <v>1</v>
      </c>
      <c r="F70" s="107">
        <v>0.15</v>
      </c>
      <c r="G70" s="37"/>
      <c r="H70" s="35">
        <f t="shared" si="0"/>
        <v>0</v>
      </c>
      <c r="I70" s="49"/>
      <c r="J70" s="104"/>
      <c r="L70" s="47"/>
      <c r="N70" s="12">
        <v>5</v>
      </c>
    </row>
    <row r="71" spans="1:14" ht="14.4">
      <c r="B71" s="37" t="s">
        <v>826</v>
      </c>
      <c r="C71" s="38">
        <v>4</v>
      </c>
      <c r="D71" s="38">
        <v>3</v>
      </c>
      <c r="E71" s="38">
        <v>1</v>
      </c>
      <c r="F71" s="107">
        <v>0.12</v>
      </c>
      <c r="G71" s="38"/>
      <c r="H71" s="35">
        <f t="shared" si="0"/>
        <v>0</v>
      </c>
      <c r="I71" s="49"/>
      <c r="J71" s="104"/>
      <c r="L71" s="47"/>
      <c r="N71" s="12">
        <v>6</v>
      </c>
    </row>
    <row r="72" spans="1:14" ht="14.4">
      <c r="B72" s="37" t="s">
        <v>837</v>
      </c>
      <c r="C72" s="38">
        <v>4</v>
      </c>
      <c r="D72" s="38">
        <v>2</v>
      </c>
      <c r="E72" s="38">
        <v>1</v>
      </c>
      <c r="F72" s="107">
        <v>0.14000000000000001</v>
      </c>
      <c r="G72" s="37"/>
      <c r="H72" s="35">
        <f t="shared" si="0"/>
        <v>0</v>
      </c>
      <c r="I72" s="49"/>
      <c r="J72" s="104"/>
      <c r="L72" s="47"/>
      <c r="N72" s="12">
        <v>5</v>
      </c>
    </row>
    <row r="73" spans="1:14" ht="14.4">
      <c r="B73" s="37" t="s">
        <v>843</v>
      </c>
      <c r="C73" s="38">
        <v>6</v>
      </c>
      <c r="D73" s="38">
        <v>6</v>
      </c>
      <c r="E73" s="38">
        <v>1</v>
      </c>
      <c r="F73" s="107">
        <v>7.0000000000000007E-2</v>
      </c>
      <c r="G73" s="37"/>
      <c r="H73" s="35">
        <f t="shared" si="0"/>
        <v>0</v>
      </c>
      <c r="I73" s="49"/>
      <c r="J73" s="104"/>
      <c r="L73" s="47"/>
      <c r="N73" s="12">
        <v>5.5</v>
      </c>
    </row>
    <row r="74" spans="1:14" ht="13.2">
      <c r="B74" s="44" t="s">
        <v>859</v>
      </c>
      <c r="C74" s="35">
        <v>1</v>
      </c>
      <c r="D74" s="38">
        <v>14</v>
      </c>
      <c r="E74" s="38">
        <v>8</v>
      </c>
      <c r="F74" s="102">
        <v>0.39</v>
      </c>
      <c r="G74" s="37"/>
      <c r="H74" s="35">
        <f t="shared" si="0"/>
        <v>0</v>
      </c>
      <c r="I74" s="49"/>
      <c r="J74" s="104"/>
      <c r="L74" s="47"/>
      <c r="N74" s="12">
        <v>2.5</v>
      </c>
    </row>
    <row r="75" spans="1:14" ht="14.4">
      <c r="B75" s="44" t="s">
        <v>869</v>
      </c>
      <c r="C75" s="35">
        <v>1</v>
      </c>
      <c r="D75" s="38">
        <v>3</v>
      </c>
      <c r="E75" s="35">
        <v>2</v>
      </c>
      <c r="F75" s="107">
        <v>0.42</v>
      </c>
      <c r="G75" s="35"/>
      <c r="H75" s="35">
        <f t="shared" si="0"/>
        <v>0</v>
      </c>
      <c r="I75" s="49"/>
      <c r="J75" s="104"/>
    </row>
    <row r="76" spans="1:14" ht="14.4">
      <c r="B76" s="35" t="s">
        <v>879</v>
      </c>
      <c r="C76" s="38">
        <v>1</v>
      </c>
      <c r="D76" s="38">
        <v>2</v>
      </c>
      <c r="E76" s="38">
        <v>1</v>
      </c>
      <c r="F76" s="107">
        <v>0.37</v>
      </c>
      <c r="G76" s="37"/>
      <c r="H76" s="35">
        <f t="shared" si="0"/>
        <v>0</v>
      </c>
      <c r="I76" s="49"/>
      <c r="J76" s="104"/>
      <c r="L76" s="47"/>
    </row>
    <row r="77" spans="1:14" ht="14.4">
      <c r="B77" s="44" t="s">
        <v>889</v>
      </c>
      <c r="C77" s="38">
        <v>1</v>
      </c>
      <c r="D77" s="38">
        <v>13</v>
      </c>
      <c r="E77" s="38">
        <v>12</v>
      </c>
      <c r="F77" s="107">
        <v>0.45</v>
      </c>
      <c r="G77" s="37"/>
      <c r="H77" s="35">
        <f t="shared" si="0"/>
        <v>0</v>
      </c>
      <c r="I77" s="49"/>
      <c r="J77" s="104"/>
      <c r="L77" s="47"/>
      <c r="N77" s="12">
        <v>14.5</v>
      </c>
    </row>
    <row r="78" spans="1:14" ht="14.4">
      <c r="B78" s="44" t="s">
        <v>904</v>
      </c>
      <c r="C78" s="38">
        <v>2</v>
      </c>
      <c r="D78" s="38">
        <v>4</v>
      </c>
      <c r="E78" s="38">
        <v>2</v>
      </c>
      <c r="F78" s="107">
        <v>0.42</v>
      </c>
      <c r="G78" s="37"/>
      <c r="H78" s="35">
        <f t="shared" si="0"/>
        <v>0</v>
      </c>
      <c r="I78" s="49"/>
      <c r="J78" s="104"/>
      <c r="L78" s="47"/>
    </row>
    <row r="79" spans="1:14" ht="13.2">
      <c r="B79" s="44" t="s">
        <v>914</v>
      </c>
      <c r="C79" s="35">
        <v>2</v>
      </c>
      <c r="D79" s="38">
        <v>13</v>
      </c>
      <c r="E79" s="38">
        <v>4</v>
      </c>
      <c r="F79" s="102">
        <v>0.48</v>
      </c>
      <c r="G79" s="37"/>
      <c r="H79" s="35">
        <f t="shared" si="0"/>
        <v>0</v>
      </c>
      <c r="I79" s="49"/>
      <c r="J79" s="104"/>
      <c r="L79" s="47"/>
    </row>
    <row r="80" spans="1:14" ht="13.2">
      <c r="B80" s="44" t="s">
        <v>924</v>
      </c>
      <c r="C80" s="35">
        <v>1</v>
      </c>
      <c r="D80" s="38">
        <v>11</v>
      </c>
      <c r="E80" s="38">
        <v>10</v>
      </c>
      <c r="F80" s="102">
        <v>0.52</v>
      </c>
      <c r="G80" s="35"/>
      <c r="H80" s="35">
        <f t="shared" si="0"/>
        <v>0</v>
      </c>
      <c r="I80" s="49"/>
      <c r="J80" s="104"/>
      <c r="L80" s="47"/>
    </row>
    <row r="81" spans="2:12" ht="14.4">
      <c r="B81" s="44" t="s">
        <v>934</v>
      </c>
      <c r="C81" s="35">
        <v>2</v>
      </c>
      <c r="D81" s="38">
        <v>2</v>
      </c>
      <c r="E81" s="38">
        <v>1</v>
      </c>
      <c r="F81" s="102">
        <v>0.48</v>
      </c>
      <c r="G81" s="35"/>
      <c r="H81" s="35">
        <f t="shared" si="0"/>
        <v>0</v>
      </c>
      <c r="I81" s="72"/>
      <c r="J81" s="104"/>
      <c r="L81" s="47"/>
    </row>
    <row r="82" spans="2:12" ht="13.2">
      <c r="B82" s="44" t="s">
        <v>944</v>
      </c>
      <c r="C82" s="35">
        <v>2</v>
      </c>
      <c r="D82" s="38">
        <v>2</v>
      </c>
      <c r="E82" s="38">
        <v>1</v>
      </c>
      <c r="F82" s="102">
        <v>0.48</v>
      </c>
      <c r="G82" s="35"/>
      <c r="H82" s="35">
        <f t="shared" si="0"/>
        <v>0</v>
      </c>
      <c r="I82" s="49"/>
      <c r="J82" s="104"/>
      <c r="L82" s="47"/>
    </row>
    <row r="83" spans="2:12" ht="13.2">
      <c r="B83" s="44" t="s">
        <v>954</v>
      </c>
      <c r="C83" s="35">
        <v>1</v>
      </c>
      <c r="D83" s="38">
        <v>2</v>
      </c>
      <c r="E83" s="38">
        <v>1</v>
      </c>
      <c r="F83" s="102">
        <v>0.32</v>
      </c>
      <c r="G83" s="35"/>
      <c r="H83" s="35">
        <f t="shared" si="0"/>
        <v>0</v>
      </c>
      <c r="I83" s="49"/>
      <c r="J83" s="104"/>
      <c r="L83" s="47"/>
    </row>
    <row r="84" spans="2:12" ht="13.2">
      <c r="B84" s="44" t="s">
        <v>964</v>
      </c>
      <c r="C84" s="35">
        <v>1</v>
      </c>
      <c r="D84" s="38">
        <v>3</v>
      </c>
      <c r="E84" s="38">
        <v>2</v>
      </c>
      <c r="F84" s="102">
        <v>0.32</v>
      </c>
      <c r="G84" s="35"/>
      <c r="H84" s="35">
        <f t="shared" si="0"/>
        <v>0</v>
      </c>
      <c r="I84" s="49"/>
      <c r="J84" s="104"/>
      <c r="L84" s="47"/>
    </row>
    <row r="85" spans="2:12" ht="13.2">
      <c r="B85" s="44" t="s">
        <v>974</v>
      </c>
      <c r="C85" s="35">
        <v>2</v>
      </c>
      <c r="D85" s="38">
        <v>3</v>
      </c>
      <c r="E85" s="38">
        <v>1</v>
      </c>
      <c r="F85" s="102">
        <v>0.46</v>
      </c>
      <c r="G85" s="35"/>
      <c r="H85" s="35">
        <f t="shared" si="0"/>
        <v>0</v>
      </c>
      <c r="I85" s="49"/>
      <c r="J85" s="104"/>
      <c r="L85" s="47"/>
    </row>
    <row r="86" spans="2:12" ht="14.4">
      <c r="B86" s="44" t="s">
        <v>984</v>
      </c>
      <c r="C86" s="35">
        <v>1</v>
      </c>
      <c r="D86" s="38">
        <v>2</v>
      </c>
      <c r="E86" s="38">
        <v>1</v>
      </c>
      <c r="F86" s="102">
        <v>0.32</v>
      </c>
      <c r="G86" s="35"/>
      <c r="H86" s="35">
        <f t="shared" si="0"/>
        <v>0</v>
      </c>
      <c r="I86" s="72"/>
      <c r="J86" s="104"/>
      <c r="L86" s="47"/>
    </row>
    <row r="87" spans="2:12" ht="13.2">
      <c r="B87" s="44" t="s">
        <v>990</v>
      </c>
      <c r="C87" s="35">
        <v>1</v>
      </c>
      <c r="D87" s="38">
        <v>3</v>
      </c>
      <c r="E87" s="38">
        <v>2</v>
      </c>
      <c r="F87" s="102">
        <v>0.39</v>
      </c>
      <c r="G87" s="35"/>
      <c r="H87" s="35">
        <f t="shared" si="0"/>
        <v>0</v>
      </c>
      <c r="I87" s="49"/>
      <c r="J87" s="104"/>
      <c r="L87" s="47"/>
    </row>
    <row r="88" spans="2:12" ht="13.2">
      <c r="B88" s="44" t="s">
        <v>996</v>
      </c>
      <c r="C88" s="35">
        <v>3</v>
      </c>
      <c r="D88" s="38">
        <v>4</v>
      </c>
      <c r="E88" s="38">
        <v>1</v>
      </c>
      <c r="F88" s="102">
        <v>0.17</v>
      </c>
      <c r="G88" s="35"/>
      <c r="H88" s="35">
        <f t="shared" si="0"/>
        <v>0</v>
      </c>
      <c r="I88" s="49"/>
      <c r="J88" s="104"/>
      <c r="L88" s="47"/>
    </row>
    <row r="89" spans="2:12" ht="13.2">
      <c r="B89" s="44" t="s">
        <v>1006</v>
      </c>
      <c r="C89" s="35">
        <v>2</v>
      </c>
      <c r="D89" s="38">
        <v>5</v>
      </c>
      <c r="E89" s="38">
        <v>3</v>
      </c>
      <c r="F89" s="102">
        <v>1.02</v>
      </c>
      <c r="G89" s="35"/>
      <c r="H89" s="35">
        <f t="shared" si="0"/>
        <v>0</v>
      </c>
      <c r="I89" s="49"/>
      <c r="J89" s="104"/>
      <c r="L89" s="47"/>
    </row>
    <row r="90" spans="2:12" ht="13.2">
      <c r="B90" s="44" t="s">
        <v>1012</v>
      </c>
      <c r="C90" s="35">
        <v>1</v>
      </c>
      <c r="D90" s="38">
        <v>5</v>
      </c>
      <c r="E90" s="38">
        <v>4</v>
      </c>
      <c r="F90" s="102">
        <v>0.34</v>
      </c>
      <c r="G90" s="35"/>
      <c r="H90" s="35">
        <f t="shared" si="0"/>
        <v>0</v>
      </c>
      <c r="I90" s="49"/>
      <c r="J90" s="104"/>
      <c r="L90" s="47"/>
    </row>
    <row r="91" spans="2:12" ht="13.2">
      <c r="B91" s="44" t="s">
        <v>1022</v>
      </c>
      <c r="C91" s="35">
        <v>1</v>
      </c>
      <c r="D91" s="38">
        <v>2</v>
      </c>
      <c r="E91" s="38">
        <v>1</v>
      </c>
      <c r="F91" s="102">
        <v>0.34</v>
      </c>
      <c r="G91" s="35"/>
      <c r="H91" s="35">
        <f t="shared" si="0"/>
        <v>0</v>
      </c>
      <c r="I91" s="49"/>
      <c r="J91" s="104"/>
      <c r="L91" s="47"/>
    </row>
    <row r="92" spans="2:12" ht="13.2">
      <c r="B92" s="44" t="s">
        <v>1032</v>
      </c>
      <c r="C92" s="35">
        <v>1</v>
      </c>
      <c r="D92" s="38">
        <v>4</v>
      </c>
      <c r="E92" s="38">
        <v>3</v>
      </c>
      <c r="F92" s="102">
        <v>0.45</v>
      </c>
      <c r="G92" s="35"/>
      <c r="H92" s="35">
        <f t="shared" si="0"/>
        <v>0</v>
      </c>
      <c r="I92" s="49"/>
      <c r="J92" s="104"/>
      <c r="L92" s="47"/>
    </row>
    <row r="93" spans="2:12" ht="13.2">
      <c r="B93" s="44" t="s">
        <v>1042</v>
      </c>
      <c r="C93" s="35">
        <v>1</v>
      </c>
      <c r="D93" s="38">
        <v>3</v>
      </c>
      <c r="E93" s="38">
        <v>2</v>
      </c>
      <c r="F93" s="102">
        <v>0.38</v>
      </c>
      <c r="G93" s="35"/>
      <c r="H93" s="35">
        <f t="shared" si="0"/>
        <v>0</v>
      </c>
      <c r="I93" s="49"/>
      <c r="J93" s="104"/>
      <c r="L93" s="47"/>
    </row>
    <row r="94" spans="2:12" ht="13.2">
      <c r="B94" s="44" t="s">
        <v>1232</v>
      </c>
      <c r="C94" s="35">
        <v>1</v>
      </c>
      <c r="D94" s="38">
        <v>4</v>
      </c>
      <c r="E94" s="38">
        <v>3</v>
      </c>
      <c r="F94" s="102">
        <v>0.38</v>
      </c>
      <c r="G94" s="35"/>
      <c r="H94" s="35">
        <f t="shared" si="0"/>
        <v>0</v>
      </c>
      <c r="I94" s="49"/>
      <c r="J94" s="104"/>
      <c r="L94" s="47"/>
    </row>
    <row r="95" spans="2:12" ht="13.2">
      <c r="B95" s="44" t="s">
        <v>1239</v>
      </c>
      <c r="C95" s="35">
        <v>1</v>
      </c>
      <c r="D95" s="38">
        <v>7</v>
      </c>
      <c r="E95" s="38">
        <v>6</v>
      </c>
      <c r="F95" s="102">
        <v>0.51</v>
      </c>
      <c r="G95" s="35"/>
      <c r="H95" s="35">
        <f t="shared" si="0"/>
        <v>0</v>
      </c>
      <c r="I95" s="49"/>
      <c r="J95" s="104"/>
      <c r="L95" s="47"/>
    </row>
    <row r="96" spans="2:12" ht="13.2">
      <c r="B96" s="44" t="s">
        <v>1250</v>
      </c>
      <c r="C96" s="35">
        <v>1</v>
      </c>
      <c r="D96" s="38">
        <v>4</v>
      </c>
      <c r="E96" s="38">
        <v>3</v>
      </c>
      <c r="F96" s="102">
        <v>0.3</v>
      </c>
      <c r="G96" s="35"/>
      <c r="H96" s="35">
        <f t="shared" si="0"/>
        <v>0</v>
      </c>
      <c r="I96" s="49"/>
      <c r="J96" s="45"/>
      <c r="L96" s="47"/>
    </row>
    <row r="97" spans="2:12" ht="13.2">
      <c r="B97" s="44" t="s">
        <v>1260</v>
      </c>
      <c r="C97" s="35">
        <v>1</v>
      </c>
      <c r="D97" s="38">
        <v>4</v>
      </c>
      <c r="E97" s="38">
        <v>3</v>
      </c>
      <c r="F97" s="102">
        <v>0.37</v>
      </c>
      <c r="G97" s="35"/>
      <c r="H97" s="35">
        <f t="shared" si="0"/>
        <v>0</v>
      </c>
      <c r="I97" s="49"/>
      <c r="J97" s="45"/>
      <c r="L97" s="47"/>
    </row>
    <row r="98" spans="2:12" ht="13.2">
      <c r="B98" s="44" t="s">
        <v>1271</v>
      </c>
      <c r="C98" s="35">
        <v>1</v>
      </c>
      <c r="D98" s="38">
        <v>10</v>
      </c>
      <c r="E98" s="38">
        <v>4</v>
      </c>
      <c r="F98" s="102">
        <v>0.74</v>
      </c>
      <c r="G98" s="35"/>
      <c r="H98" s="35">
        <f t="shared" si="0"/>
        <v>0</v>
      </c>
      <c r="I98" s="49"/>
      <c r="J98" s="45"/>
      <c r="L98" s="47"/>
    </row>
    <row r="99" spans="2:12" ht="13.2">
      <c r="B99" s="44" t="s">
        <v>1282</v>
      </c>
      <c r="C99" s="35">
        <v>1</v>
      </c>
      <c r="D99" s="38">
        <v>999</v>
      </c>
      <c r="E99" s="35">
        <v>-1</v>
      </c>
      <c r="F99" s="102">
        <v>0.44</v>
      </c>
      <c r="G99" s="35"/>
      <c r="H99" s="35">
        <f t="shared" si="0"/>
        <v>0</v>
      </c>
      <c r="I99" s="49"/>
      <c r="J99" s="45"/>
      <c r="L99" s="47"/>
    </row>
    <row r="100" spans="2:12" ht="13.2">
      <c r="B100" s="44" t="s">
        <v>1309</v>
      </c>
      <c r="C100" s="35">
        <v>1</v>
      </c>
      <c r="D100" s="38">
        <v>3</v>
      </c>
      <c r="E100" s="35">
        <v>2</v>
      </c>
      <c r="F100" s="102">
        <v>0.23</v>
      </c>
      <c r="G100" s="35"/>
      <c r="H100" s="35">
        <f t="shared" si="0"/>
        <v>0</v>
      </c>
      <c r="I100" s="49"/>
      <c r="J100" s="45"/>
      <c r="L100" s="47"/>
    </row>
    <row r="101" spans="2:12" ht="13.2">
      <c r="B101" s="44" t="s">
        <v>1316</v>
      </c>
      <c r="C101" s="35">
        <v>1</v>
      </c>
      <c r="D101" s="38">
        <v>7</v>
      </c>
      <c r="E101" s="35">
        <v>6</v>
      </c>
      <c r="F101" s="102">
        <v>0.22</v>
      </c>
      <c r="G101" s="35"/>
      <c r="H101" s="35">
        <f t="shared" si="0"/>
        <v>0</v>
      </c>
      <c r="I101" s="49"/>
      <c r="J101" s="45"/>
      <c r="L101" s="47"/>
    </row>
    <row r="102" spans="2:12" ht="13.2">
      <c r="B102" s="44" t="s">
        <v>1289</v>
      </c>
      <c r="C102" s="35">
        <v>1</v>
      </c>
      <c r="D102" s="38">
        <v>3</v>
      </c>
      <c r="E102" s="35">
        <v>2</v>
      </c>
      <c r="F102" s="102">
        <v>0.41</v>
      </c>
      <c r="G102" s="35"/>
      <c r="H102" s="35">
        <f t="shared" si="0"/>
        <v>0</v>
      </c>
      <c r="I102" s="49"/>
      <c r="J102" s="45"/>
      <c r="L102" s="47"/>
    </row>
    <row r="103" spans="2:12" ht="13.2">
      <c r="B103" s="44" t="s">
        <v>1323</v>
      </c>
      <c r="C103" s="35">
        <v>2</v>
      </c>
      <c r="D103" s="38">
        <v>3</v>
      </c>
      <c r="E103" s="35">
        <v>2</v>
      </c>
      <c r="F103" s="102">
        <v>1.1299999999999999</v>
      </c>
      <c r="G103" s="35"/>
      <c r="H103" s="35">
        <f t="shared" si="0"/>
        <v>0</v>
      </c>
      <c r="I103" s="49"/>
      <c r="J103" s="45"/>
      <c r="L103" s="47"/>
    </row>
    <row r="104" spans="2:12" ht="13.2">
      <c r="B104" s="44" t="s">
        <v>1329</v>
      </c>
      <c r="C104" s="35">
        <v>2</v>
      </c>
      <c r="D104" s="38">
        <v>4</v>
      </c>
      <c r="E104" s="35">
        <v>2</v>
      </c>
      <c r="F104" s="102">
        <v>1.1299999999999999</v>
      </c>
      <c r="G104" s="35"/>
      <c r="H104" s="35">
        <f t="shared" si="0"/>
        <v>0</v>
      </c>
      <c r="I104" s="49"/>
      <c r="J104" s="45"/>
      <c r="L104" s="47"/>
    </row>
    <row r="105" spans="2:12" ht="13.2">
      <c r="B105" s="44" t="s">
        <v>1335</v>
      </c>
      <c r="C105" s="35">
        <v>1</v>
      </c>
      <c r="D105" s="38">
        <v>3</v>
      </c>
      <c r="E105" s="35">
        <v>2</v>
      </c>
      <c r="F105" s="102">
        <v>0.56000000000000005</v>
      </c>
      <c r="G105" s="35"/>
      <c r="H105" s="35">
        <f t="shared" si="0"/>
        <v>0</v>
      </c>
      <c r="I105" s="49"/>
      <c r="J105" s="45"/>
      <c r="L105" s="47"/>
    </row>
    <row r="106" spans="2:12" ht="13.2">
      <c r="B106" s="44" t="s">
        <v>1341</v>
      </c>
      <c r="C106" s="35">
        <v>1</v>
      </c>
      <c r="D106" s="38">
        <v>2</v>
      </c>
      <c r="E106" s="35">
        <v>1</v>
      </c>
      <c r="F106" s="102">
        <v>0.31</v>
      </c>
      <c r="G106" s="35"/>
      <c r="H106" s="35">
        <f t="shared" si="0"/>
        <v>0</v>
      </c>
      <c r="I106" s="49"/>
      <c r="J106" s="45"/>
      <c r="L106" s="47"/>
    </row>
    <row r="107" spans="2:12" ht="13.2">
      <c r="B107" s="44" t="s">
        <v>1348</v>
      </c>
      <c r="C107" s="35">
        <v>1</v>
      </c>
      <c r="D107" s="38">
        <v>2</v>
      </c>
      <c r="E107" s="35">
        <v>1</v>
      </c>
      <c r="F107" s="102"/>
      <c r="G107" s="35"/>
      <c r="H107" s="35">
        <f t="shared" si="0"/>
        <v>0</v>
      </c>
      <c r="I107" s="49"/>
      <c r="J107" s="45"/>
      <c r="L107" s="47"/>
    </row>
    <row r="108" spans="2:12" ht="13.2">
      <c r="B108" s="44" t="s">
        <v>1354</v>
      </c>
      <c r="C108" s="35">
        <v>1</v>
      </c>
      <c r="D108" s="38">
        <v>6</v>
      </c>
      <c r="E108" s="35">
        <v>5</v>
      </c>
      <c r="F108" s="102">
        <v>0.35</v>
      </c>
      <c r="G108" s="35"/>
      <c r="H108" s="35">
        <f t="shared" si="0"/>
        <v>0</v>
      </c>
      <c r="I108" s="49"/>
      <c r="J108" s="45"/>
      <c r="L108" s="47"/>
    </row>
    <row r="109" spans="2:12" ht="13.2">
      <c r="B109" s="44" t="s">
        <v>1361</v>
      </c>
      <c r="C109" s="35">
        <v>1</v>
      </c>
      <c r="D109" s="38">
        <v>2</v>
      </c>
      <c r="E109" s="35">
        <v>1</v>
      </c>
      <c r="F109" s="102">
        <v>0.65</v>
      </c>
      <c r="G109" s="35"/>
      <c r="H109" s="35">
        <f t="shared" si="0"/>
        <v>0</v>
      </c>
      <c r="I109" s="49"/>
      <c r="J109" s="45"/>
      <c r="L109" s="47"/>
    </row>
    <row r="110" spans="2:12" ht="13.2">
      <c r="B110" s="44" t="s">
        <v>1367</v>
      </c>
      <c r="C110" s="35">
        <v>1</v>
      </c>
      <c r="D110" s="38">
        <v>2</v>
      </c>
      <c r="E110" s="35">
        <v>1</v>
      </c>
      <c r="F110" s="102">
        <v>0.25</v>
      </c>
      <c r="G110" s="35"/>
      <c r="H110" s="35">
        <f t="shared" si="0"/>
        <v>0</v>
      </c>
      <c r="I110" s="49"/>
      <c r="J110" s="45"/>
      <c r="L110" s="47"/>
    </row>
    <row r="111" spans="2:12" ht="13.2">
      <c r="B111" s="44" t="s">
        <v>1373</v>
      </c>
      <c r="C111" s="35">
        <v>1</v>
      </c>
      <c r="D111" s="38">
        <v>2</v>
      </c>
      <c r="E111" s="35">
        <v>1</v>
      </c>
      <c r="F111" s="102"/>
      <c r="G111" s="35"/>
      <c r="H111" s="35">
        <f t="shared" si="0"/>
        <v>0</v>
      </c>
      <c r="I111" s="49"/>
      <c r="J111" s="45"/>
      <c r="L111" s="47"/>
    </row>
    <row r="112" spans="2:12" ht="13.2">
      <c r="B112" s="44" t="s">
        <v>1379</v>
      </c>
      <c r="C112" s="35">
        <v>1</v>
      </c>
      <c r="D112" s="38">
        <v>3</v>
      </c>
      <c r="E112" s="35">
        <v>2</v>
      </c>
      <c r="F112" s="102"/>
      <c r="G112" s="35"/>
      <c r="H112" s="35">
        <f t="shared" si="0"/>
        <v>0</v>
      </c>
      <c r="I112" s="49"/>
      <c r="J112" s="45"/>
      <c r="L112" s="47"/>
    </row>
    <row r="113" spans="1:12" ht="13.2">
      <c r="A113" s="12" t="s">
        <v>1621</v>
      </c>
      <c r="B113" s="44" t="s">
        <v>1385</v>
      </c>
      <c r="C113" s="35">
        <v>1</v>
      </c>
      <c r="D113" s="38">
        <v>11</v>
      </c>
      <c r="E113" s="35">
        <v>10</v>
      </c>
      <c r="F113" s="102">
        <v>0.35</v>
      </c>
      <c r="G113" s="35"/>
      <c r="H113" s="35">
        <f t="shared" si="0"/>
        <v>0</v>
      </c>
      <c r="I113" s="49"/>
      <c r="J113" s="45"/>
      <c r="L113" s="47"/>
    </row>
    <row r="114" spans="1:12" ht="13.2">
      <c r="A114" s="12" t="s">
        <v>1622</v>
      </c>
      <c r="B114" s="44" t="s">
        <v>1391</v>
      </c>
      <c r="C114" s="35">
        <v>1</v>
      </c>
      <c r="D114" s="38">
        <v>3</v>
      </c>
      <c r="E114" s="35">
        <v>2</v>
      </c>
      <c r="F114" s="102">
        <v>0.32</v>
      </c>
      <c r="G114" s="35">
        <v>2</v>
      </c>
      <c r="H114" s="35">
        <f t="shared" si="0"/>
        <v>0.64</v>
      </c>
      <c r="I114" s="49"/>
      <c r="J114" s="45"/>
      <c r="L114" s="47"/>
    </row>
    <row r="115" spans="1:12" ht="13.2">
      <c r="A115" s="12" t="s">
        <v>1621</v>
      </c>
      <c r="B115" s="44" t="s">
        <v>1623</v>
      </c>
      <c r="C115" s="35">
        <v>1</v>
      </c>
      <c r="D115" s="38">
        <v>2</v>
      </c>
      <c r="E115" s="35">
        <v>1</v>
      </c>
      <c r="F115" s="102">
        <v>0.34</v>
      </c>
      <c r="G115" s="35"/>
      <c r="H115" s="35">
        <f t="shared" si="0"/>
        <v>0</v>
      </c>
      <c r="I115" s="49"/>
      <c r="J115" s="45"/>
      <c r="L115" s="47"/>
    </row>
    <row r="116" spans="1:12" ht="13.2">
      <c r="A116" s="12" t="s">
        <v>1621</v>
      </c>
      <c r="B116" s="44" t="s">
        <v>1402</v>
      </c>
      <c r="C116" s="35">
        <v>1</v>
      </c>
      <c r="D116" s="38">
        <v>3</v>
      </c>
      <c r="E116" s="35">
        <v>2</v>
      </c>
      <c r="F116" s="102">
        <v>0.34</v>
      </c>
      <c r="G116" s="35"/>
      <c r="H116" s="35">
        <f t="shared" si="0"/>
        <v>0</v>
      </c>
      <c r="I116" s="49"/>
      <c r="J116" s="45"/>
      <c r="L116" s="47"/>
    </row>
    <row r="117" spans="1:12" ht="13.2">
      <c r="B117" s="44" t="s">
        <v>1624</v>
      </c>
      <c r="C117" s="35">
        <v>1</v>
      </c>
      <c r="D117" s="38">
        <v>998</v>
      </c>
      <c r="E117" s="35">
        <v>-1</v>
      </c>
      <c r="F117" s="102">
        <v>0.36</v>
      </c>
      <c r="G117" s="35"/>
      <c r="H117" s="35">
        <f t="shared" si="0"/>
        <v>0</v>
      </c>
      <c r="I117" s="49"/>
      <c r="J117" s="45"/>
      <c r="L117" s="47"/>
    </row>
    <row r="118" spans="1:12" ht="14.4">
      <c r="A118" s="12" t="s">
        <v>1622</v>
      </c>
      <c r="B118" s="44" t="s">
        <v>1625</v>
      </c>
      <c r="C118" s="35">
        <v>1</v>
      </c>
      <c r="D118" s="38">
        <v>2</v>
      </c>
      <c r="E118" s="35">
        <v>1</v>
      </c>
      <c r="F118" s="102">
        <v>0.36</v>
      </c>
      <c r="G118" s="35"/>
      <c r="H118" s="35">
        <f t="shared" si="0"/>
        <v>0</v>
      </c>
      <c r="I118" s="72"/>
      <c r="J118" s="45"/>
      <c r="L118" s="47"/>
    </row>
    <row r="119" spans="1:12" ht="13.2">
      <c r="A119" s="12" t="s">
        <v>1622</v>
      </c>
      <c r="B119" s="44" t="s">
        <v>1420</v>
      </c>
      <c r="C119" s="35">
        <v>1</v>
      </c>
      <c r="D119" s="38">
        <v>2</v>
      </c>
      <c r="E119" s="35">
        <v>1</v>
      </c>
      <c r="F119" s="102">
        <v>0.46</v>
      </c>
      <c r="G119" s="35"/>
      <c r="H119" s="35">
        <f t="shared" si="0"/>
        <v>0</v>
      </c>
      <c r="I119" s="49"/>
      <c r="J119" s="45"/>
      <c r="L119" s="47"/>
    </row>
    <row r="120" spans="1:12" ht="13.2">
      <c r="A120" s="12" t="s">
        <v>1621</v>
      </c>
      <c r="B120" s="44" t="s">
        <v>1426</v>
      </c>
      <c r="C120" s="35">
        <v>1</v>
      </c>
      <c r="D120" s="38">
        <v>2</v>
      </c>
      <c r="E120" s="35">
        <v>1</v>
      </c>
      <c r="F120" s="102">
        <v>0.26</v>
      </c>
      <c r="G120" s="35"/>
      <c r="H120" s="35">
        <f t="shared" si="0"/>
        <v>0</v>
      </c>
      <c r="I120" s="49"/>
      <c r="J120" s="45"/>
      <c r="L120" s="47"/>
    </row>
    <row r="121" spans="1:12" ht="13.2">
      <c r="A121" s="12" t="s">
        <v>1621</v>
      </c>
      <c r="B121" s="44" t="s">
        <v>1432</v>
      </c>
      <c r="C121" s="35">
        <v>1</v>
      </c>
      <c r="D121" s="38">
        <v>2</v>
      </c>
      <c r="E121" s="35">
        <v>1</v>
      </c>
      <c r="F121" s="102">
        <v>0.3</v>
      </c>
      <c r="G121" s="35"/>
      <c r="H121" s="35">
        <f t="shared" si="0"/>
        <v>0</v>
      </c>
      <c r="I121" s="49"/>
      <c r="J121" s="45"/>
      <c r="L121" s="47"/>
    </row>
    <row r="122" spans="1:12" ht="13.2">
      <c r="A122" s="12" t="s">
        <v>1621</v>
      </c>
      <c r="B122" s="44" t="s">
        <v>1438</v>
      </c>
      <c r="C122" s="35">
        <v>1</v>
      </c>
      <c r="D122" s="38">
        <v>2</v>
      </c>
      <c r="E122" s="35">
        <v>1</v>
      </c>
      <c r="F122" s="102">
        <v>0.32</v>
      </c>
      <c r="G122" s="35"/>
      <c r="H122" s="35">
        <f t="shared" si="0"/>
        <v>0</v>
      </c>
      <c r="I122" s="49"/>
      <c r="J122" s="45"/>
      <c r="L122" s="47"/>
    </row>
    <row r="123" spans="1:12" ht="13.2">
      <c r="A123" s="12" t="s">
        <v>1621</v>
      </c>
      <c r="B123" s="44" t="s">
        <v>1444</v>
      </c>
      <c r="C123" s="35">
        <v>1</v>
      </c>
      <c r="D123" s="38">
        <v>2</v>
      </c>
      <c r="E123" s="35">
        <v>1</v>
      </c>
      <c r="F123" s="102">
        <v>0.33</v>
      </c>
      <c r="G123" s="35"/>
      <c r="H123" s="35">
        <f t="shared" si="0"/>
        <v>0</v>
      </c>
      <c r="I123" s="49"/>
      <c r="J123" s="45"/>
      <c r="L123" s="47"/>
    </row>
    <row r="124" spans="1:12" ht="14.4">
      <c r="A124" s="12" t="s">
        <v>1621</v>
      </c>
      <c r="B124" s="44" t="s">
        <v>1450</v>
      </c>
      <c r="C124" s="35">
        <v>1</v>
      </c>
      <c r="D124" s="38">
        <v>2</v>
      </c>
      <c r="E124" s="35">
        <v>1</v>
      </c>
      <c r="F124" s="102">
        <v>0.25</v>
      </c>
      <c r="G124" s="35"/>
      <c r="H124" s="35">
        <f t="shared" si="0"/>
        <v>0</v>
      </c>
      <c r="I124" s="72"/>
      <c r="J124" s="163"/>
      <c r="L124" s="47"/>
    </row>
    <row r="125" spans="1:12" ht="14.4">
      <c r="A125" s="12" t="s">
        <v>1621</v>
      </c>
      <c r="B125" s="44" t="s">
        <v>1456</v>
      </c>
      <c r="C125" s="35">
        <v>1</v>
      </c>
      <c r="D125" s="38">
        <v>2</v>
      </c>
      <c r="E125" s="35">
        <v>1</v>
      </c>
      <c r="F125" s="102">
        <v>0.18</v>
      </c>
      <c r="G125" s="35"/>
      <c r="H125" s="35">
        <f t="shared" si="0"/>
        <v>0</v>
      </c>
      <c r="I125" s="72"/>
      <c r="J125" s="163"/>
      <c r="L125" s="47"/>
    </row>
    <row r="126" spans="1:12" ht="14.4">
      <c r="A126" s="12" t="s">
        <v>1621</v>
      </c>
      <c r="B126" s="44" t="s">
        <v>1462</v>
      </c>
      <c r="C126" s="35">
        <v>1</v>
      </c>
      <c r="D126" s="38">
        <v>1000</v>
      </c>
      <c r="E126" s="35">
        <v>-1</v>
      </c>
      <c r="F126" s="102">
        <v>0.18</v>
      </c>
      <c r="G126" s="35"/>
      <c r="H126" s="35">
        <f t="shared" si="0"/>
        <v>0</v>
      </c>
      <c r="I126" s="49"/>
      <c r="J126" s="163"/>
    </row>
    <row r="127" spans="1:12" ht="14.4">
      <c r="A127" s="12" t="s">
        <v>1621</v>
      </c>
      <c r="B127" s="44" t="s">
        <v>1468</v>
      </c>
      <c r="C127" s="35">
        <v>1</v>
      </c>
      <c r="D127" s="38">
        <v>2</v>
      </c>
      <c r="E127" s="35">
        <v>1</v>
      </c>
      <c r="F127" s="102">
        <v>0.36</v>
      </c>
      <c r="G127" s="35"/>
      <c r="H127" s="35">
        <f t="shared" si="0"/>
        <v>0</v>
      </c>
      <c r="I127" s="49"/>
      <c r="J127" s="163"/>
      <c r="L127" s="47"/>
    </row>
    <row r="128" spans="1:12" ht="13.2">
      <c r="A128" s="12" t="s">
        <v>1621</v>
      </c>
      <c r="B128" s="44" t="s">
        <v>1474</v>
      </c>
      <c r="C128" s="35">
        <v>1</v>
      </c>
      <c r="D128" s="38">
        <v>2</v>
      </c>
      <c r="E128" s="35">
        <v>1</v>
      </c>
      <c r="F128" s="102">
        <v>0.2</v>
      </c>
      <c r="G128" s="35"/>
      <c r="H128" s="35">
        <f t="shared" si="0"/>
        <v>0</v>
      </c>
      <c r="I128" s="49"/>
      <c r="J128" s="45"/>
      <c r="L128" s="47"/>
    </row>
    <row r="129" spans="1:16" ht="13.2">
      <c r="A129" s="12" t="s">
        <v>1621</v>
      </c>
      <c r="B129" s="44" t="s">
        <v>1480</v>
      </c>
      <c r="C129" s="35">
        <v>1</v>
      </c>
      <c r="D129" s="38">
        <v>1000</v>
      </c>
      <c r="E129" s="35">
        <v>-1</v>
      </c>
      <c r="F129" s="102">
        <v>0.48</v>
      </c>
      <c r="G129" s="35"/>
      <c r="H129" s="35">
        <f t="shared" si="0"/>
        <v>0</v>
      </c>
      <c r="I129" s="49"/>
      <c r="J129" s="45"/>
      <c r="L129" s="47"/>
    </row>
    <row r="130" spans="1:16" ht="13.2">
      <c r="B130" s="44" t="s">
        <v>1742</v>
      </c>
      <c r="C130" s="35">
        <v>1</v>
      </c>
      <c r="D130" s="38">
        <v>1000</v>
      </c>
      <c r="E130" s="35">
        <v>-1</v>
      </c>
      <c r="F130" s="102">
        <v>0.35</v>
      </c>
      <c r="G130" s="35"/>
      <c r="H130" s="35">
        <f t="shared" si="0"/>
        <v>0</v>
      </c>
      <c r="I130" s="49"/>
      <c r="J130" s="45"/>
      <c r="L130" s="47"/>
    </row>
    <row r="131" spans="1:16" ht="13.2">
      <c r="B131" s="44" t="s">
        <v>1748</v>
      </c>
      <c r="C131" s="35">
        <v>1</v>
      </c>
      <c r="D131" s="38">
        <v>1000</v>
      </c>
      <c r="E131" s="35">
        <v>-1</v>
      </c>
      <c r="F131" s="102">
        <v>0.46</v>
      </c>
      <c r="G131" s="35"/>
      <c r="H131" s="35">
        <f t="shared" si="0"/>
        <v>0</v>
      </c>
      <c r="I131" s="49"/>
      <c r="J131" s="45"/>
      <c r="L131" s="47"/>
    </row>
    <row r="132" spans="1:16" ht="13.2">
      <c r="B132" s="44" t="s">
        <v>1483</v>
      </c>
      <c r="C132" s="35">
        <v>1</v>
      </c>
      <c r="D132" s="38">
        <v>3</v>
      </c>
      <c r="E132" s="35">
        <v>2</v>
      </c>
      <c r="F132" s="102">
        <v>0.46</v>
      </c>
      <c r="G132" s="35"/>
      <c r="H132" s="35">
        <f t="shared" si="0"/>
        <v>0</v>
      </c>
      <c r="I132" s="49"/>
      <c r="J132" s="45"/>
      <c r="L132" s="47"/>
    </row>
    <row r="133" spans="1:16" ht="13.2">
      <c r="B133" s="44" t="s">
        <v>1489</v>
      </c>
      <c r="C133" s="35">
        <v>1</v>
      </c>
      <c r="D133" s="38">
        <v>2</v>
      </c>
      <c r="E133" s="35">
        <v>1</v>
      </c>
      <c r="F133" s="102">
        <v>0.5</v>
      </c>
      <c r="G133" s="35"/>
      <c r="H133" s="35">
        <f t="shared" si="0"/>
        <v>0</v>
      </c>
      <c r="I133" s="49"/>
      <c r="J133" s="45"/>
      <c r="L133" s="47"/>
    </row>
    <row r="134" spans="1:16" ht="13.2">
      <c r="B134" s="44" t="s">
        <v>1759</v>
      </c>
      <c r="C134" s="35">
        <v>1</v>
      </c>
      <c r="D134" s="38">
        <v>2</v>
      </c>
      <c r="E134" s="35">
        <v>1</v>
      </c>
      <c r="F134" s="102">
        <v>0.4</v>
      </c>
      <c r="G134" s="35"/>
      <c r="H134" s="35">
        <f t="shared" si="0"/>
        <v>0</v>
      </c>
      <c r="I134" s="49"/>
      <c r="J134" s="45"/>
      <c r="L134" s="47"/>
    </row>
    <row r="135" spans="1:16" ht="14.4">
      <c r="B135" s="44" t="s">
        <v>1501</v>
      </c>
      <c r="C135" s="35">
        <v>1</v>
      </c>
      <c r="D135" s="38">
        <v>2</v>
      </c>
      <c r="E135" s="35">
        <v>1</v>
      </c>
      <c r="F135" s="102">
        <v>0.32</v>
      </c>
      <c r="G135" s="35"/>
      <c r="H135" s="35">
        <f t="shared" si="0"/>
        <v>0</v>
      </c>
      <c r="I135" s="72"/>
      <c r="J135" s="45"/>
      <c r="L135" s="47"/>
    </row>
    <row r="136" spans="1:16" ht="13.2">
      <c r="B136" s="44" t="s">
        <v>1507</v>
      </c>
      <c r="C136" s="35">
        <v>1</v>
      </c>
      <c r="D136" s="38">
        <v>999</v>
      </c>
      <c r="E136" s="35">
        <v>-1</v>
      </c>
      <c r="F136" s="102">
        <v>0.31</v>
      </c>
      <c r="G136" s="35"/>
      <c r="H136" s="35">
        <f t="shared" si="0"/>
        <v>0</v>
      </c>
      <c r="I136" s="49"/>
      <c r="J136" s="45"/>
      <c r="L136" s="47"/>
    </row>
    <row r="137" spans="1:16" ht="13.2">
      <c r="B137" s="44" t="s">
        <v>1513</v>
      </c>
      <c r="C137" s="35">
        <v>1</v>
      </c>
      <c r="D137" s="38">
        <v>3</v>
      </c>
      <c r="E137" s="35">
        <v>2</v>
      </c>
      <c r="F137" s="102">
        <v>0.35</v>
      </c>
      <c r="G137" s="35"/>
      <c r="H137" s="35">
        <f t="shared" si="0"/>
        <v>0</v>
      </c>
      <c r="I137" s="49"/>
      <c r="J137" s="45"/>
      <c r="L137" s="47"/>
    </row>
    <row r="138" spans="1:16" ht="13.2">
      <c r="B138" s="44" t="s">
        <v>1519</v>
      </c>
      <c r="C138" s="35">
        <v>1</v>
      </c>
      <c r="D138" s="38">
        <v>2</v>
      </c>
      <c r="E138" s="35">
        <v>1</v>
      </c>
      <c r="F138" s="102">
        <v>0.4</v>
      </c>
      <c r="G138" s="35"/>
      <c r="H138" s="35">
        <f t="shared" si="0"/>
        <v>0</v>
      </c>
      <c r="I138" s="49"/>
      <c r="J138" s="45"/>
      <c r="L138" s="47"/>
    </row>
    <row r="139" spans="1:16" ht="14.4">
      <c r="B139" s="44" t="s">
        <v>1525</v>
      </c>
      <c r="C139" s="35">
        <v>1</v>
      </c>
      <c r="D139" s="38">
        <v>3</v>
      </c>
      <c r="E139" s="35">
        <v>2</v>
      </c>
      <c r="F139" s="102">
        <v>0.2</v>
      </c>
      <c r="G139" s="35"/>
      <c r="H139" s="35">
        <f t="shared" si="0"/>
        <v>0</v>
      </c>
      <c r="I139" s="49"/>
      <c r="J139" s="45"/>
      <c r="L139" s="47"/>
      <c r="O139" s="171"/>
      <c r="P139" s="12"/>
    </row>
    <row r="140" spans="1:16" ht="14.4">
      <c r="B140" s="44" t="s">
        <v>1531</v>
      </c>
      <c r="C140" s="35">
        <v>1</v>
      </c>
      <c r="D140" s="38">
        <v>2</v>
      </c>
      <c r="E140" s="35">
        <v>1</v>
      </c>
      <c r="F140" s="102">
        <v>0.22</v>
      </c>
      <c r="G140" s="35"/>
      <c r="H140" s="35">
        <f t="shared" si="0"/>
        <v>0</v>
      </c>
      <c r="I140" s="72"/>
      <c r="J140" s="45"/>
      <c r="L140" s="47"/>
      <c r="O140" s="173"/>
      <c r="P140" s="12"/>
    </row>
    <row r="141" spans="1:16" ht="14.4">
      <c r="B141" s="35"/>
      <c r="C141" s="35">
        <v>1</v>
      </c>
      <c r="D141" s="38">
        <v>1000</v>
      </c>
      <c r="E141" s="35">
        <v>-1</v>
      </c>
      <c r="F141" s="35"/>
      <c r="G141" s="35"/>
      <c r="H141" s="35">
        <f t="shared" si="0"/>
        <v>0</v>
      </c>
      <c r="I141" s="49"/>
      <c r="J141" s="45"/>
      <c r="L141" s="47"/>
      <c r="O141" s="173"/>
      <c r="P141" s="12"/>
    </row>
    <row r="142" spans="1:16" ht="14.4">
      <c r="B142" s="44" t="s">
        <v>1537</v>
      </c>
      <c r="C142" s="35">
        <v>1</v>
      </c>
      <c r="D142" s="38">
        <v>2</v>
      </c>
      <c r="E142" s="35">
        <v>1</v>
      </c>
      <c r="F142" s="102">
        <v>0.38</v>
      </c>
      <c r="G142" s="35"/>
      <c r="H142" s="35">
        <f t="shared" si="0"/>
        <v>0</v>
      </c>
      <c r="I142" s="49"/>
      <c r="J142" s="45"/>
      <c r="L142" s="47"/>
      <c r="O142" s="173"/>
      <c r="P142" s="12"/>
    </row>
    <row r="143" spans="1:16" ht="14.4">
      <c r="B143" s="44" t="s">
        <v>1543</v>
      </c>
      <c r="C143" s="35">
        <v>1</v>
      </c>
      <c r="D143" s="38">
        <v>0</v>
      </c>
      <c r="E143" s="35">
        <v>-1</v>
      </c>
      <c r="F143" s="102">
        <v>0.42</v>
      </c>
      <c r="G143" s="35"/>
      <c r="H143" s="35">
        <f t="shared" si="0"/>
        <v>0</v>
      </c>
      <c r="I143" s="72"/>
      <c r="J143" s="45"/>
      <c r="L143" s="47"/>
      <c r="O143" s="113"/>
      <c r="P143" s="12"/>
    </row>
    <row r="144" spans="1:16" ht="13.2">
      <c r="B144" s="44" t="s">
        <v>1549</v>
      </c>
      <c r="C144" s="35">
        <v>1</v>
      </c>
      <c r="D144" s="38">
        <v>2</v>
      </c>
      <c r="E144" s="35">
        <v>1</v>
      </c>
      <c r="F144" s="102">
        <v>0.28999999999999998</v>
      </c>
      <c r="G144" s="35"/>
      <c r="H144" s="35">
        <f t="shared" si="0"/>
        <v>0</v>
      </c>
      <c r="I144" s="49"/>
      <c r="J144" s="45"/>
      <c r="L144" s="47"/>
      <c r="O144" s="113"/>
      <c r="P144" s="12"/>
    </row>
    <row r="145" spans="2:16" ht="13.2">
      <c r="B145" s="44" t="s">
        <v>1555</v>
      </c>
      <c r="C145" s="35">
        <v>1</v>
      </c>
      <c r="D145" s="38">
        <v>2</v>
      </c>
      <c r="E145" s="35">
        <v>1</v>
      </c>
      <c r="F145" s="102"/>
      <c r="G145" s="35"/>
      <c r="H145" s="35">
        <f t="shared" si="0"/>
        <v>0</v>
      </c>
      <c r="I145" s="49"/>
      <c r="J145" s="45"/>
      <c r="L145" s="47"/>
      <c r="O145" s="113"/>
      <c r="P145" s="12"/>
    </row>
    <row r="146" spans="2:16" ht="13.2">
      <c r="B146" s="44" t="s">
        <v>1561</v>
      </c>
      <c r="C146" s="35">
        <v>1</v>
      </c>
      <c r="D146" s="38">
        <v>3</v>
      </c>
      <c r="E146" s="35">
        <v>2</v>
      </c>
      <c r="F146" s="102"/>
      <c r="G146" s="35"/>
      <c r="H146" s="35">
        <f t="shared" si="0"/>
        <v>0</v>
      </c>
      <c r="I146" s="37"/>
      <c r="J146" s="45"/>
      <c r="L146" s="47"/>
      <c r="O146" s="113"/>
      <c r="P146" s="12"/>
    </row>
    <row r="147" spans="2:16" ht="13.2">
      <c r="B147" s="44" t="s">
        <v>1567</v>
      </c>
      <c r="C147" s="35">
        <v>1</v>
      </c>
      <c r="D147" s="38">
        <v>3</v>
      </c>
      <c r="E147" s="35">
        <v>2</v>
      </c>
      <c r="F147" s="102"/>
      <c r="G147" s="35"/>
      <c r="H147" s="35">
        <f t="shared" si="0"/>
        <v>0</v>
      </c>
      <c r="I147" s="49"/>
      <c r="J147" s="45"/>
      <c r="L147" s="47"/>
    </row>
    <row r="148" spans="2:16" ht="13.2">
      <c r="B148" s="44" t="s">
        <v>1573</v>
      </c>
      <c r="C148" s="35">
        <v>1</v>
      </c>
      <c r="D148" s="38">
        <v>3</v>
      </c>
      <c r="E148" s="35">
        <v>2</v>
      </c>
      <c r="F148" s="102"/>
      <c r="G148" s="35"/>
      <c r="H148" s="35">
        <f t="shared" si="0"/>
        <v>0</v>
      </c>
      <c r="I148" s="49"/>
      <c r="J148" s="45"/>
      <c r="L148" s="47"/>
    </row>
    <row r="149" spans="2:16" ht="13.2">
      <c r="B149" s="44" t="s">
        <v>1579</v>
      </c>
      <c r="C149" s="35">
        <v>1</v>
      </c>
      <c r="D149" s="38">
        <v>3</v>
      </c>
      <c r="E149" s="35">
        <v>2</v>
      </c>
      <c r="F149" s="102"/>
      <c r="G149" s="35"/>
      <c r="H149" s="35">
        <f t="shared" si="0"/>
        <v>0</v>
      </c>
      <c r="I149" s="49"/>
      <c r="J149" s="45"/>
      <c r="L149" s="47"/>
    </row>
    <row r="150" spans="2:16" ht="13.2">
      <c r="B150" s="44" t="s">
        <v>1585</v>
      </c>
      <c r="C150" s="35">
        <v>1</v>
      </c>
      <c r="D150" s="38">
        <v>3</v>
      </c>
      <c r="E150" s="35">
        <v>2</v>
      </c>
      <c r="F150" s="102"/>
      <c r="G150" s="35"/>
      <c r="H150" s="35">
        <f t="shared" si="0"/>
        <v>0</v>
      </c>
      <c r="I150" s="49"/>
      <c r="J150" s="45"/>
      <c r="L150" s="47"/>
    </row>
    <row r="151" spans="2:16" ht="13.2">
      <c r="B151" s="44" t="s">
        <v>1591</v>
      </c>
      <c r="C151" s="35">
        <v>1</v>
      </c>
      <c r="D151" s="38">
        <v>2</v>
      </c>
      <c r="E151" s="35">
        <v>1</v>
      </c>
      <c r="F151" s="102"/>
      <c r="G151" s="35"/>
      <c r="H151" s="35">
        <f t="shared" si="0"/>
        <v>0</v>
      </c>
      <c r="I151" s="49"/>
      <c r="J151" s="45"/>
      <c r="L151" s="47"/>
    </row>
    <row r="152" spans="2:16" ht="14.4">
      <c r="B152" s="44" t="s">
        <v>1597</v>
      </c>
      <c r="C152" s="35">
        <v>1</v>
      </c>
      <c r="D152" s="38">
        <v>3</v>
      </c>
      <c r="E152" s="35">
        <v>2</v>
      </c>
      <c r="F152" s="102"/>
      <c r="G152" s="35"/>
      <c r="H152" s="35">
        <f t="shared" si="0"/>
        <v>0</v>
      </c>
      <c r="I152" s="72"/>
      <c r="J152" s="45"/>
      <c r="L152" s="47"/>
    </row>
    <row r="153" spans="2:16" ht="13.2">
      <c r="B153" s="44" t="s">
        <v>1603</v>
      </c>
      <c r="C153" s="35">
        <v>1</v>
      </c>
      <c r="D153" s="38">
        <v>2</v>
      </c>
      <c r="E153" s="35">
        <v>1</v>
      </c>
      <c r="F153" s="102"/>
      <c r="G153" s="35"/>
      <c r="H153" s="35">
        <f t="shared" si="0"/>
        <v>0</v>
      </c>
      <c r="I153" s="49"/>
      <c r="J153" s="45"/>
      <c r="L153" s="47"/>
    </row>
    <row r="154" spans="2:16" ht="13.2">
      <c r="B154" s="44" t="s">
        <v>1609</v>
      </c>
      <c r="C154" s="35">
        <v>1</v>
      </c>
      <c r="D154" s="38">
        <v>4</v>
      </c>
      <c r="E154" s="35">
        <v>3</v>
      </c>
      <c r="F154" s="102"/>
      <c r="G154" s="35"/>
      <c r="H154" s="35">
        <f t="shared" si="0"/>
        <v>0</v>
      </c>
      <c r="I154" s="49"/>
      <c r="J154" s="45"/>
      <c r="L154" s="47"/>
    </row>
    <row r="155" spans="2:16" ht="13.2">
      <c r="B155" s="44" t="s">
        <v>1615</v>
      </c>
      <c r="C155" s="35">
        <v>1</v>
      </c>
      <c r="D155" s="38">
        <v>3</v>
      </c>
      <c r="E155" s="35">
        <v>2</v>
      </c>
      <c r="F155" s="102"/>
      <c r="G155" s="35"/>
      <c r="H155" s="35">
        <f t="shared" si="0"/>
        <v>0</v>
      </c>
      <c r="I155" s="49"/>
      <c r="J155" s="45"/>
      <c r="L155" s="47"/>
    </row>
    <row r="156" spans="2:16" ht="13.2">
      <c r="B156" s="44"/>
      <c r="C156" s="35"/>
      <c r="D156" s="35"/>
      <c r="E156" s="35"/>
      <c r="F156" s="102"/>
      <c r="G156" s="35"/>
      <c r="H156" s="35">
        <f t="shared" si="0"/>
        <v>0</v>
      </c>
      <c r="I156" s="49"/>
      <c r="J156" s="45"/>
      <c r="L156" s="47"/>
    </row>
    <row r="157" spans="2:16" ht="13.2">
      <c r="B157" s="113"/>
      <c r="F157" s="192"/>
      <c r="I157" s="49"/>
      <c r="J157" s="45"/>
      <c r="L157" s="47"/>
    </row>
    <row r="158" spans="2:16" ht="13.2">
      <c r="B158" s="113"/>
      <c r="F158" s="192"/>
      <c r="I158" s="49"/>
      <c r="J158" s="45"/>
      <c r="L158" s="47"/>
    </row>
    <row r="159" spans="2:16" ht="13.2">
      <c r="B159" s="113"/>
      <c r="F159" s="192"/>
      <c r="I159" s="49"/>
      <c r="J159" s="45"/>
      <c r="L159" s="47"/>
    </row>
    <row r="160" spans="2:16" ht="13.2">
      <c r="B160" s="113"/>
      <c r="F160" s="192"/>
      <c r="I160" s="49"/>
      <c r="J160" s="45"/>
      <c r="L160" s="47"/>
    </row>
    <row r="161" spans="2:12" ht="13.2">
      <c r="B161" s="113"/>
      <c r="F161" s="192"/>
      <c r="I161" s="49"/>
      <c r="J161" s="45"/>
      <c r="L161" s="47"/>
    </row>
    <row r="162" spans="2:12" ht="13.2">
      <c r="B162" s="113"/>
      <c r="F162" s="192"/>
      <c r="I162" s="49"/>
      <c r="J162" s="45"/>
      <c r="L162" s="47"/>
    </row>
    <row r="163" spans="2:12" ht="13.2">
      <c r="B163" s="113"/>
      <c r="F163" s="192"/>
      <c r="I163" s="49"/>
      <c r="J163" s="45"/>
      <c r="L163" s="47"/>
    </row>
    <row r="164" spans="2:12" ht="13.2">
      <c r="B164" s="113"/>
      <c r="F164" s="192"/>
      <c r="I164" s="49"/>
      <c r="J164" s="45"/>
      <c r="L164" s="47"/>
    </row>
    <row r="165" spans="2:12" ht="13.2">
      <c r="B165" s="113"/>
      <c r="F165" s="192"/>
      <c r="I165" s="49"/>
      <c r="J165" s="45"/>
      <c r="L165" s="47"/>
    </row>
    <row r="166" spans="2:12" ht="13.2">
      <c r="B166" s="113"/>
      <c r="F166" s="192"/>
      <c r="I166" s="49"/>
      <c r="J166" s="45"/>
      <c r="L166" s="47"/>
    </row>
    <row r="167" spans="2:12" ht="14.4">
      <c r="B167" s="113"/>
      <c r="F167" s="192"/>
      <c r="I167" s="72"/>
      <c r="J167" s="45"/>
      <c r="L167" s="47"/>
    </row>
    <row r="168" spans="2:12" ht="13.2">
      <c r="B168" s="113"/>
      <c r="F168" s="192"/>
      <c r="I168" s="49"/>
      <c r="J168" s="45"/>
      <c r="L168" s="47"/>
    </row>
    <row r="169" spans="2:12" ht="13.2">
      <c r="B169" s="113"/>
      <c r="F169" s="192"/>
      <c r="I169" s="201"/>
      <c r="J169" s="45"/>
      <c r="L169" s="47"/>
    </row>
    <row r="170" spans="2:12" ht="13.2">
      <c r="B170" s="113"/>
      <c r="F170" s="192"/>
      <c r="I170" s="203"/>
      <c r="J170" s="45"/>
      <c r="L170" s="47"/>
    </row>
    <row r="171" spans="2:12" ht="13.2">
      <c r="B171" s="113"/>
      <c r="F171" s="192"/>
      <c r="I171" s="49"/>
      <c r="J171" s="204"/>
      <c r="L171" s="47"/>
    </row>
    <row r="172" spans="2:12" ht="13.2">
      <c r="B172" s="113"/>
      <c r="F172" s="192"/>
      <c r="I172" s="201"/>
      <c r="J172" s="205"/>
      <c r="L172" s="47"/>
    </row>
    <row r="173" spans="2:12" ht="13.2">
      <c r="B173" s="113"/>
      <c r="F173" s="192"/>
      <c r="I173" s="201"/>
      <c r="J173" s="205"/>
      <c r="L173" s="47"/>
    </row>
    <row r="174" spans="2:12" ht="13.2">
      <c r="B174" s="113"/>
      <c r="F174" s="192"/>
      <c r="I174" s="201"/>
      <c r="J174" s="205"/>
      <c r="L174" s="47"/>
    </row>
    <row r="175" spans="2:12" ht="13.2">
      <c r="B175" s="113"/>
      <c r="F175" s="192"/>
      <c r="I175" s="201"/>
      <c r="J175" s="205"/>
      <c r="L175" s="47"/>
    </row>
    <row r="176" spans="2:12" ht="13.2">
      <c r="B176" s="113"/>
      <c r="F176" s="192"/>
      <c r="I176" s="201"/>
      <c r="J176" s="205"/>
      <c r="L176" s="47"/>
    </row>
    <row r="177" spans="2:12" ht="13.2">
      <c r="B177" s="113"/>
      <c r="F177" s="192"/>
      <c r="I177" s="201"/>
      <c r="J177" s="205"/>
      <c r="L177" s="47"/>
    </row>
    <row r="178" spans="2:12" ht="13.2">
      <c r="B178" s="113"/>
      <c r="F178" s="192"/>
      <c r="I178" s="201"/>
      <c r="J178" s="205"/>
      <c r="L178" s="47"/>
    </row>
    <row r="179" spans="2:12" ht="13.2">
      <c r="B179" s="113"/>
      <c r="F179" s="192"/>
      <c r="I179" s="201"/>
      <c r="J179" s="205"/>
      <c r="L179" s="47"/>
    </row>
    <row r="180" spans="2:12" ht="13.2">
      <c r="B180" s="113"/>
      <c r="F180" s="192"/>
      <c r="I180" s="201"/>
      <c r="J180" s="205"/>
      <c r="L180" s="47"/>
    </row>
    <row r="181" spans="2:12" ht="13.2">
      <c r="B181" s="113"/>
      <c r="F181" s="192"/>
      <c r="I181" s="201"/>
      <c r="J181" s="205"/>
      <c r="L181" s="47"/>
    </row>
    <row r="182" spans="2:12" ht="13.2">
      <c r="B182" s="113"/>
      <c r="F182" s="192"/>
      <c r="I182" s="201"/>
      <c r="J182" s="208"/>
      <c r="L182" s="47"/>
    </row>
    <row r="183" spans="2:12" ht="13.2">
      <c r="B183" s="113"/>
      <c r="F183" s="192"/>
      <c r="I183" s="209"/>
      <c r="J183" s="208"/>
      <c r="L183" s="47"/>
    </row>
    <row r="184" spans="2:12" ht="13.2">
      <c r="B184" s="113"/>
      <c r="F184" s="192"/>
      <c r="I184" s="209"/>
      <c r="J184" s="208"/>
      <c r="L184" s="47"/>
    </row>
    <row r="185" spans="2:12" ht="13.2">
      <c r="B185" s="113"/>
      <c r="F185" s="192"/>
      <c r="I185" s="209"/>
      <c r="J185" s="208"/>
      <c r="L185" s="47"/>
    </row>
    <row r="186" spans="2:12" ht="13.2">
      <c r="B186" s="113"/>
      <c r="F186" s="192"/>
      <c r="I186" s="209"/>
      <c r="J186" s="208"/>
      <c r="L186" s="47"/>
    </row>
    <row r="187" spans="2:12" ht="13.2">
      <c r="B187" s="113"/>
      <c r="F187" s="192"/>
      <c r="I187" s="209"/>
      <c r="J187" s="208"/>
      <c r="L187" s="47"/>
    </row>
    <row r="188" spans="2:12" ht="13.2">
      <c r="B188" s="113"/>
      <c r="F188" s="192"/>
      <c r="I188" s="209"/>
      <c r="J188" s="208"/>
      <c r="L188" s="47"/>
    </row>
    <row r="189" spans="2:12" ht="13.2">
      <c r="B189" s="113"/>
      <c r="F189" s="192"/>
      <c r="I189" s="209"/>
      <c r="J189" s="208"/>
      <c r="L189" s="47"/>
    </row>
    <row r="190" spans="2:12" ht="13.2">
      <c r="B190" s="113"/>
      <c r="F190" s="192"/>
      <c r="I190" s="209"/>
      <c r="J190" s="208"/>
      <c r="L190" s="47"/>
    </row>
    <row r="191" spans="2:12" ht="13.2">
      <c r="B191" s="113"/>
      <c r="F191" s="192"/>
      <c r="I191" s="209"/>
      <c r="J191" s="208"/>
      <c r="L191" s="47"/>
    </row>
    <row r="192" spans="2:12" ht="13.2">
      <c r="B192" s="113"/>
      <c r="F192" s="192"/>
      <c r="I192" s="209"/>
      <c r="J192" s="208"/>
      <c r="L192" s="47"/>
    </row>
    <row r="193" spans="2:12" ht="13.2">
      <c r="B193" s="113"/>
      <c r="F193" s="192"/>
      <c r="I193" s="209"/>
      <c r="J193" s="208"/>
      <c r="L193" s="47"/>
    </row>
    <row r="194" spans="2:12" ht="13.2">
      <c r="B194" s="113"/>
      <c r="F194" s="192"/>
      <c r="I194" s="209"/>
      <c r="J194" s="208"/>
      <c r="L194" s="47"/>
    </row>
    <row r="195" spans="2:12" ht="13.2">
      <c r="B195" s="113"/>
      <c r="F195" s="192"/>
      <c r="I195" s="209"/>
      <c r="J195" s="208"/>
      <c r="L195" s="47"/>
    </row>
    <row r="196" spans="2:12" ht="13.2">
      <c r="B196" s="113"/>
      <c r="F196" s="192"/>
      <c r="I196" s="209"/>
      <c r="J196" s="208"/>
      <c r="L196" s="47"/>
    </row>
    <row r="197" spans="2:12" ht="13.2">
      <c r="B197" s="113"/>
      <c r="F197" s="192"/>
      <c r="I197" s="209"/>
      <c r="J197" s="208"/>
      <c r="L197" s="47"/>
    </row>
    <row r="198" spans="2:12" ht="13.2">
      <c r="B198" s="113"/>
      <c r="F198" s="192"/>
      <c r="I198" s="209"/>
      <c r="J198" s="208"/>
      <c r="L198" s="47"/>
    </row>
    <row r="199" spans="2:12" ht="13.2">
      <c r="B199" s="113"/>
      <c r="F199" s="192"/>
      <c r="I199" s="209"/>
      <c r="J199" s="208"/>
      <c r="L199" s="47"/>
    </row>
    <row r="200" spans="2:12" ht="13.2">
      <c r="B200" s="113"/>
      <c r="F200" s="192"/>
      <c r="I200" s="209"/>
      <c r="J200" s="208"/>
      <c r="L200" s="47"/>
    </row>
    <row r="201" spans="2:12" ht="13.2">
      <c r="B201" s="113"/>
      <c r="F201" s="192"/>
      <c r="I201" s="209"/>
      <c r="J201" s="208"/>
      <c r="L201" s="47"/>
    </row>
    <row r="202" spans="2:12" ht="13.2">
      <c r="B202" s="113"/>
      <c r="F202" s="192"/>
      <c r="I202" s="209"/>
      <c r="J202" s="208"/>
      <c r="L202" s="47"/>
    </row>
    <row r="203" spans="2:12" ht="13.2">
      <c r="B203" s="113"/>
      <c r="F203" s="192"/>
      <c r="I203" s="209"/>
      <c r="J203" s="208"/>
      <c r="L203" s="47"/>
    </row>
    <row r="204" spans="2:12" ht="13.2">
      <c r="B204" s="113"/>
      <c r="F204" s="192"/>
      <c r="I204" s="209"/>
      <c r="J204" s="208"/>
      <c r="L204" s="47"/>
    </row>
    <row r="205" spans="2:12" ht="13.2">
      <c r="B205" s="113"/>
      <c r="F205" s="192"/>
      <c r="I205" s="209"/>
      <c r="J205" s="208"/>
      <c r="L205" s="47"/>
    </row>
    <row r="206" spans="2:12" ht="13.2">
      <c r="B206" s="113"/>
      <c r="F206" s="192"/>
      <c r="I206" s="209"/>
      <c r="J206" s="208"/>
      <c r="L206" s="47"/>
    </row>
    <row r="207" spans="2:12" ht="13.2">
      <c r="B207" s="113"/>
      <c r="F207" s="192"/>
      <c r="I207" s="209"/>
      <c r="J207" s="208"/>
      <c r="L207" s="47"/>
    </row>
    <row r="208" spans="2:12" ht="13.2">
      <c r="B208" s="113"/>
      <c r="F208" s="192"/>
      <c r="I208" s="209"/>
      <c r="J208" s="208"/>
      <c r="L208" s="47"/>
    </row>
    <row r="209" spans="2:12" ht="13.2">
      <c r="B209" s="113"/>
      <c r="F209" s="192"/>
      <c r="I209" s="209"/>
      <c r="J209" s="208"/>
      <c r="L209" s="47"/>
    </row>
    <row r="210" spans="2:12" ht="13.2">
      <c r="B210" s="113"/>
      <c r="F210" s="192"/>
      <c r="I210" s="209"/>
      <c r="J210" s="208"/>
      <c r="L210" s="47"/>
    </row>
    <row r="211" spans="2:12" ht="13.2">
      <c r="B211" s="113"/>
      <c r="F211" s="192"/>
      <c r="I211" s="209"/>
      <c r="J211" s="208"/>
      <c r="L211" s="47"/>
    </row>
    <row r="212" spans="2:12" ht="13.2">
      <c r="B212" s="113"/>
      <c r="F212" s="192"/>
      <c r="I212" s="209"/>
      <c r="J212" s="208"/>
      <c r="L212" s="47"/>
    </row>
    <row r="213" spans="2:12" ht="13.2">
      <c r="B213" s="113"/>
      <c r="F213" s="192"/>
      <c r="I213" s="209"/>
      <c r="J213" s="208"/>
      <c r="L213" s="47"/>
    </row>
    <row r="214" spans="2:12" ht="13.2">
      <c r="B214" s="113"/>
      <c r="F214" s="192"/>
      <c r="I214" s="209"/>
      <c r="J214" s="208"/>
      <c r="L214" s="47"/>
    </row>
    <row r="215" spans="2:12" ht="13.2">
      <c r="B215" s="113"/>
      <c r="F215" s="192"/>
      <c r="I215" s="209"/>
      <c r="J215" s="208"/>
      <c r="L215" s="47"/>
    </row>
    <row r="216" spans="2:12" ht="13.2">
      <c r="B216" s="113"/>
      <c r="F216" s="192"/>
      <c r="I216" s="209"/>
      <c r="J216" s="208"/>
      <c r="L216" s="47"/>
    </row>
    <row r="217" spans="2:12" ht="13.2">
      <c r="B217" s="113"/>
      <c r="F217" s="192"/>
      <c r="I217" s="209"/>
      <c r="J217" s="208"/>
      <c r="L217" s="47"/>
    </row>
    <row r="218" spans="2:12" ht="13.2">
      <c r="B218" s="113"/>
      <c r="F218" s="192"/>
      <c r="I218" s="209"/>
      <c r="J218" s="208"/>
      <c r="L218" s="47"/>
    </row>
    <row r="219" spans="2:12" ht="13.2">
      <c r="B219" s="113"/>
      <c r="F219" s="192"/>
      <c r="I219" s="209"/>
      <c r="J219" s="208"/>
      <c r="L219" s="47"/>
    </row>
    <row r="220" spans="2:12" ht="13.2">
      <c r="B220" s="113"/>
      <c r="F220" s="192"/>
      <c r="I220" s="209"/>
      <c r="J220" s="208"/>
      <c r="L220" s="47"/>
    </row>
    <row r="221" spans="2:12" ht="13.2">
      <c r="B221" s="113"/>
      <c r="F221" s="192"/>
      <c r="I221" s="209"/>
      <c r="J221" s="208"/>
      <c r="L221" s="47"/>
    </row>
    <row r="222" spans="2:12" ht="13.2">
      <c r="B222" s="113"/>
      <c r="F222" s="192"/>
      <c r="I222" s="209"/>
      <c r="J222" s="208"/>
      <c r="L222" s="47"/>
    </row>
    <row r="223" spans="2:12" ht="13.2">
      <c r="B223" s="113"/>
      <c r="F223" s="192"/>
      <c r="I223" s="209"/>
      <c r="J223" s="208"/>
      <c r="L223" s="47"/>
    </row>
    <row r="224" spans="2:12" ht="13.2">
      <c r="B224" s="113"/>
      <c r="F224" s="192"/>
      <c r="I224" s="209"/>
      <c r="J224" s="208"/>
      <c r="L224" s="47"/>
    </row>
    <row r="225" spans="2:12" ht="13.2">
      <c r="B225" s="113"/>
      <c r="F225" s="192"/>
      <c r="I225" s="209"/>
      <c r="J225" s="208"/>
      <c r="L225" s="47"/>
    </row>
    <row r="226" spans="2:12" ht="13.2">
      <c r="B226" s="113"/>
      <c r="F226" s="192"/>
      <c r="I226" s="209"/>
      <c r="J226" s="208"/>
      <c r="L226" s="47"/>
    </row>
    <row r="227" spans="2:12" ht="13.2">
      <c r="B227" s="113"/>
      <c r="F227" s="192"/>
      <c r="I227" s="209"/>
      <c r="J227" s="208"/>
      <c r="L227" s="47"/>
    </row>
    <row r="228" spans="2:12" ht="13.2">
      <c r="B228" s="113"/>
      <c r="F228" s="192"/>
      <c r="I228" s="209"/>
      <c r="J228" s="208"/>
      <c r="L228" s="47"/>
    </row>
    <row r="229" spans="2:12" ht="13.2">
      <c r="B229" s="113"/>
      <c r="F229" s="192"/>
      <c r="I229" s="209"/>
      <c r="J229" s="208"/>
      <c r="L229" s="47"/>
    </row>
    <row r="230" spans="2:12" ht="13.2">
      <c r="B230" s="113"/>
      <c r="F230" s="192"/>
      <c r="I230" s="209"/>
      <c r="J230" s="208"/>
      <c r="L230" s="47"/>
    </row>
    <row r="231" spans="2:12" ht="13.2">
      <c r="B231" s="113"/>
      <c r="F231" s="192"/>
      <c r="I231" s="209"/>
      <c r="J231" s="208"/>
      <c r="L231" s="47"/>
    </row>
    <row r="232" spans="2:12" ht="13.2">
      <c r="B232" s="113"/>
      <c r="F232" s="192"/>
      <c r="I232" s="209"/>
      <c r="J232" s="208"/>
      <c r="L232" s="47"/>
    </row>
    <row r="233" spans="2:12" ht="13.2">
      <c r="B233" s="113"/>
      <c r="F233" s="192"/>
      <c r="I233" s="209"/>
      <c r="J233" s="208"/>
      <c r="L233" s="47"/>
    </row>
    <row r="234" spans="2:12" ht="13.2">
      <c r="B234" s="113"/>
      <c r="F234" s="192"/>
      <c r="I234" s="209"/>
      <c r="J234" s="208"/>
      <c r="L234" s="47"/>
    </row>
    <row r="235" spans="2:12" ht="13.2">
      <c r="B235" s="113"/>
      <c r="F235" s="192"/>
      <c r="I235" s="209"/>
      <c r="J235" s="208"/>
      <c r="L235" s="47"/>
    </row>
    <row r="236" spans="2:12" ht="13.2">
      <c r="B236" s="113"/>
      <c r="F236" s="192"/>
      <c r="I236" s="209"/>
      <c r="J236" s="208"/>
      <c r="L236" s="47"/>
    </row>
    <row r="237" spans="2:12" ht="13.2">
      <c r="B237" s="113"/>
      <c r="F237" s="192"/>
      <c r="I237" s="209"/>
      <c r="J237" s="208"/>
      <c r="L237" s="47"/>
    </row>
    <row r="238" spans="2:12" ht="13.2">
      <c r="B238" s="113"/>
      <c r="F238" s="192"/>
      <c r="I238" s="209"/>
      <c r="J238" s="208"/>
      <c r="L238" s="47"/>
    </row>
    <row r="239" spans="2:12" ht="13.2">
      <c r="B239" s="113"/>
      <c r="F239" s="192"/>
      <c r="I239" s="209"/>
      <c r="J239" s="208"/>
      <c r="L239" s="47"/>
    </row>
    <row r="240" spans="2:12" ht="13.2">
      <c r="B240" s="113"/>
      <c r="F240" s="192"/>
      <c r="I240" s="209"/>
      <c r="J240" s="208"/>
      <c r="L240" s="47"/>
    </row>
    <row r="241" spans="2:12" ht="13.2">
      <c r="B241" s="113"/>
      <c r="F241" s="192"/>
      <c r="I241" s="209"/>
      <c r="J241" s="208"/>
      <c r="L241" s="47"/>
    </row>
    <row r="242" spans="2:12" ht="13.2">
      <c r="B242" s="113"/>
      <c r="F242" s="192"/>
      <c r="I242" s="209"/>
      <c r="J242" s="208"/>
      <c r="L242" s="47"/>
    </row>
    <row r="243" spans="2:12" ht="13.2">
      <c r="B243" s="113"/>
      <c r="F243" s="192"/>
      <c r="I243" s="209"/>
      <c r="J243" s="208"/>
      <c r="L243" s="47"/>
    </row>
    <row r="244" spans="2:12" ht="13.2">
      <c r="B244" s="113"/>
      <c r="F244" s="192"/>
      <c r="I244" s="209"/>
      <c r="J244" s="208"/>
      <c r="L244" s="47"/>
    </row>
    <row r="245" spans="2:12" ht="13.2">
      <c r="B245" s="113"/>
      <c r="F245" s="192"/>
      <c r="I245" s="209"/>
      <c r="J245" s="208"/>
      <c r="L245" s="47"/>
    </row>
    <row r="246" spans="2:12" ht="13.2">
      <c r="B246" s="113"/>
      <c r="F246" s="192"/>
      <c r="I246" s="209"/>
      <c r="J246" s="208"/>
      <c r="L246" s="47"/>
    </row>
    <row r="247" spans="2:12" ht="13.2">
      <c r="B247" s="113"/>
      <c r="F247" s="192"/>
      <c r="I247" s="209"/>
      <c r="J247" s="208"/>
      <c r="L247" s="47"/>
    </row>
    <row r="248" spans="2:12" ht="13.2">
      <c r="B248" s="113"/>
      <c r="F248" s="192"/>
      <c r="I248" s="209"/>
      <c r="J248" s="208"/>
      <c r="L248" s="47"/>
    </row>
    <row r="249" spans="2:12" ht="13.2">
      <c r="B249" s="113"/>
      <c r="F249" s="192"/>
      <c r="I249" s="209"/>
      <c r="J249" s="208"/>
      <c r="L249" s="47"/>
    </row>
    <row r="250" spans="2:12" ht="13.2">
      <c r="B250" s="113"/>
      <c r="F250" s="192"/>
      <c r="I250" s="209"/>
      <c r="J250" s="208"/>
      <c r="L250" s="47"/>
    </row>
    <row r="251" spans="2:12" ht="13.2">
      <c r="B251" s="113"/>
      <c r="F251" s="192"/>
      <c r="I251" s="209"/>
      <c r="J251" s="208"/>
      <c r="L251" s="47"/>
    </row>
    <row r="252" spans="2:12" ht="13.2">
      <c r="B252" s="113"/>
      <c r="F252" s="192"/>
      <c r="I252" s="209"/>
      <c r="J252" s="208"/>
      <c r="L252" s="47"/>
    </row>
    <row r="253" spans="2:12" ht="13.2">
      <c r="B253" s="113"/>
      <c r="F253" s="192"/>
      <c r="I253" s="209"/>
      <c r="J253" s="208"/>
      <c r="L253" s="47"/>
    </row>
    <row r="254" spans="2:12" ht="13.2">
      <c r="B254" s="113"/>
      <c r="F254" s="192"/>
      <c r="I254" s="209"/>
      <c r="J254" s="208"/>
      <c r="L254" s="47"/>
    </row>
    <row r="255" spans="2:12" ht="13.2">
      <c r="B255" s="113"/>
      <c r="F255" s="192"/>
      <c r="I255" s="209"/>
      <c r="J255" s="208"/>
      <c r="L255" s="47"/>
    </row>
    <row r="256" spans="2:12" ht="13.2">
      <c r="B256" s="113"/>
      <c r="F256" s="192"/>
      <c r="I256" s="209"/>
      <c r="J256" s="208"/>
      <c r="L256" s="47"/>
    </row>
    <row r="257" spans="2:12" ht="13.2">
      <c r="B257" s="113"/>
      <c r="F257" s="192"/>
      <c r="I257" s="209"/>
      <c r="J257" s="208"/>
      <c r="L257" s="47"/>
    </row>
    <row r="258" spans="2:12" ht="13.2">
      <c r="B258" s="113"/>
      <c r="F258" s="192"/>
      <c r="I258" s="209"/>
      <c r="J258" s="208"/>
      <c r="L258" s="47"/>
    </row>
    <row r="259" spans="2:12" ht="13.2">
      <c r="B259" s="113"/>
      <c r="F259" s="192"/>
      <c r="I259" s="209"/>
      <c r="J259" s="208"/>
      <c r="L259" s="47"/>
    </row>
    <row r="260" spans="2:12" ht="13.2">
      <c r="B260" s="113"/>
      <c r="F260" s="192"/>
      <c r="I260" s="209"/>
      <c r="J260" s="208"/>
      <c r="L260" s="47"/>
    </row>
    <row r="261" spans="2:12" ht="13.2">
      <c r="B261" s="113"/>
      <c r="F261" s="192"/>
      <c r="I261" s="209"/>
      <c r="J261" s="208"/>
      <c r="L261" s="47"/>
    </row>
    <row r="262" spans="2:12" ht="13.2">
      <c r="B262" s="113"/>
      <c r="F262" s="192"/>
      <c r="I262" s="209"/>
      <c r="J262" s="208"/>
      <c r="L262" s="47"/>
    </row>
    <row r="263" spans="2:12" ht="13.2">
      <c r="B263" s="113"/>
      <c r="F263" s="192"/>
      <c r="I263" s="209"/>
      <c r="J263" s="208"/>
      <c r="L263" s="47"/>
    </row>
    <row r="264" spans="2:12" ht="13.2">
      <c r="B264" s="113"/>
      <c r="F264" s="192"/>
      <c r="I264" s="209"/>
      <c r="J264" s="208"/>
      <c r="L264" s="47"/>
    </row>
    <row r="265" spans="2:12" ht="13.2">
      <c r="B265" s="113"/>
      <c r="F265" s="192"/>
      <c r="I265" s="209"/>
      <c r="J265" s="208"/>
      <c r="L265" s="47"/>
    </row>
    <row r="266" spans="2:12" ht="13.2">
      <c r="B266" s="113"/>
      <c r="F266" s="192"/>
      <c r="I266" s="209"/>
      <c r="J266" s="208"/>
      <c r="L266" s="47"/>
    </row>
    <row r="267" spans="2:12" ht="13.2">
      <c r="B267" s="113"/>
      <c r="F267" s="192"/>
      <c r="I267" s="209"/>
      <c r="J267" s="208"/>
      <c r="L267" s="47"/>
    </row>
    <row r="268" spans="2:12" ht="13.2">
      <c r="B268" s="113"/>
      <c r="F268" s="192"/>
      <c r="I268" s="209"/>
      <c r="J268" s="208"/>
      <c r="L268" s="47"/>
    </row>
    <row r="269" spans="2:12" ht="13.2">
      <c r="B269" s="113"/>
      <c r="F269" s="192"/>
      <c r="I269" s="209"/>
      <c r="J269" s="208"/>
      <c r="L269" s="47"/>
    </row>
    <row r="270" spans="2:12" ht="13.2">
      <c r="B270" s="113"/>
      <c r="F270" s="192"/>
      <c r="I270" s="209"/>
      <c r="J270" s="208"/>
      <c r="L270" s="47"/>
    </row>
    <row r="271" spans="2:12" ht="13.2">
      <c r="B271" s="113"/>
      <c r="F271" s="192"/>
      <c r="I271" s="209"/>
      <c r="J271" s="208"/>
      <c r="L271" s="47"/>
    </row>
    <row r="272" spans="2:12" ht="13.2">
      <c r="B272" s="113"/>
      <c r="F272" s="192"/>
      <c r="I272" s="209"/>
      <c r="J272" s="208"/>
      <c r="L272" s="47"/>
    </row>
    <row r="273" spans="2:12" ht="13.2">
      <c r="B273" s="113"/>
      <c r="F273" s="192"/>
      <c r="I273" s="209"/>
      <c r="J273" s="208"/>
      <c r="L273" s="47"/>
    </row>
    <row r="274" spans="2:12" ht="13.2">
      <c r="B274" s="113"/>
      <c r="F274" s="192"/>
      <c r="I274" s="209"/>
      <c r="J274" s="208"/>
      <c r="L274" s="47"/>
    </row>
    <row r="275" spans="2:12" ht="13.2">
      <c r="B275" s="113"/>
      <c r="F275" s="192"/>
      <c r="I275" s="209"/>
      <c r="J275" s="208"/>
      <c r="L275" s="47"/>
    </row>
    <row r="276" spans="2:12" ht="13.2">
      <c r="B276" s="113"/>
      <c r="F276" s="192"/>
      <c r="I276" s="209"/>
      <c r="J276" s="208"/>
      <c r="L276" s="47"/>
    </row>
    <row r="277" spans="2:12" ht="13.2">
      <c r="B277" s="113"/>
      <c r="F277" s="192"/>
      <c r="I277" s="209"/>
      <c r="J277" s="208"/>
      <c r="L277" s="47"/>
    </row>
    <row r="278" spans="2:12" ht="13.2">
      <c r="B278" s="113"/>
      <c r="F278" s="192"/>
      <c r="I278" s="209"/>
      <c r="J278" s="208"/>
      <c r="L278" s="47"/>
    </row>
    <row r="279" spans="2:12" ht="13.2">
      <c r="B279" s="113"/>
      <c r="F279" s="192"/>
      <c r="I279" s="209"/>
      <c r="J279" s="208"/>
      <c r="L279" s="47"/>
    </row>
    <row r="280" spans="2:12" ht="13.2">
      <c r="B280" s="113"/>
      <c r="F280" s="192"/>
      <c r="I280" s="209"/>
      <c r="J280" s="208"/>
      <c r="L280" s="47"/>
    </row>
    <row r="281" spans="2:12" ht="13.2">
      <c r="B281" s="113"/>
      <c r="F281" s="192"/>
      <c r="I281" s="209"/>
      <c r="J281" s="208"/>
      <c r="L281" s="47"/>
    </row>
    <row r="282" spans="2:12" ht="13.2">
      <c r="B282" s="113"/>
      <c r="F282" s="192"/>
      <c r="I282" s="209"/>
      <c r="J282" s="208"/>
      <c r="L282" s="47"/>
    </row>
    <row r="283" spans="2:12" ht="13.2">
      <c r="B283" s="113"/>
      <c r="F283" s="192"/>
      <c r="I283" s="209"/>
      <c r="J283" s="208"/>
      <c r="L283" s="47"/>
    </row>
    <row r="284" spans="2:12" ht="13.2">
      <c r="B284" s="113"/>
      <c r="F284" s="192"/>
      <c r="I284" s="209"/>
      <c r="J284" s="208"/>
      <c r="L284" s="47"/>
    </row>
    <row r="285" spans="2:12" ht="13.2">
      <c r="B285" s="113"/>
      <c r="F285" s="192"/>
      <c r="I285" s="209"/>
      <c r="J285" s="208"/>
      <c r="L285" s="47"/>
    </row>
    <row r="286" spans="2:12" ht="13.2">
      <c r="B286" s="113"/>
      <c r="F286" s="192"/>
      <c r="I286" s="209"/>
      <c r="J286" s="208"/>
      <c r="L286" s="47"/>
    </row>
    <row r="287" spans="2:12" ht="13.2">
      <c r="B287" s="113"/>
      <c r="F287" s="192"/>
      <c r="I287" s="209"/>
      <c r="J287" s="208"/>
      <c r="L287" s="47"/>
    </row>
    <row r="288" spans="2:12" ht="13.2">
      <c r="B288" s="113"/>
      <c r="F288" s="192"/>
      <c r="I288" s="209"/>
      <c r="J288" s="208"/>
      <c r="L288" s="47"/>
    </row>
    <row r="289" spans="2:12" ht="13.2">
      <c r="B289" s="113"/>
      <c r="F289" s="192"/>
      <c r="I289" s="209"/>
      <c r="J289" s="208"/>
      <c r="L289" s="47"/>
    </row>
    <row r="290" spans="2:12" ht="13.2">
      <c r="B290" s="113"/>
      <c r="F290" s="192"/>
      <c r="I290" s="209"/>
      <c r="J290" s="208"/>
      <c r="L290" s="47"/>
    </row>
    <row r="291" spans="2:12" ht="13.2">
      <c r="B291" s="113"/>
      <c r="F291" s="192"/>
      <c r="I291" s="209"/>
      <c r="J291" s="208"/>
      <c r="L291" s="47"/>
    </row>
    <row r="292" spans="2:12" ht="13.2">
      <c r="B292" s="113"/>
      <c r="F292" s="192"/>
      <c r="I292" s="209"/>
      <c r="J292" s="208"/>
      <c r="L292" s="47"/>
    </row>
    <row r="293" spans="2:12" ht="13.2">
      <c r="B293" s="113"/>
      <c r="F293" s="192"/>
      <c r="I293" s="209"/>
      <c r="J293" s="208"/>
      <c r="L293" s="47"/>
    </row>
    <row r="294" spans="2:12" ht="13.2">
      <c r="B294" s="113"/>
      <c r="F294" s="192"/>
      <c r="I294" s="209"/>
      <c r="J294" s="208"/>
      <c r="L294" s="47"/>
    </row>
    <row r="295" spans="2:12" ht="13.2">
      <c r="B295" s="113"/>
      <c r="F295" s="192"/>
      <c r="I295" s="209"/>
      <c r="J295" s="208"/>
      <c r="L295" s="47"/>
    </row>
    <row r="296" spans="2:12" ht="13.2">
      <c r="B296" s="113"/>
      <c r="F296" s="192"/>
      <c r="I296" s="209"/>
      <c r="J296" s="208"/>
      <c r="L296" s="47"/>
    </row>
    <row r="297" spans="2:12" ht="13.2">
      <c r="B297" s="113"/>
      <c r="F297" s="192"/>
      <c r="I297" s="209"/>
      <c r="J297" s="208"/>
      <c r="L297" s="47"/>
    </row>
    <row r="298" spans="2:12" ht="13.2">
      <c r="B298" s="113"/>
      <c r="F298" s="192"/>
      <c r="I298" s="209"/>
      <c r="J298" s="208"/>
      <c r="L298" s="47"/>
    </row>
    <row r="299" spans="2:12" ht="13.2">
      <c r="B299" s="113"/>
      <c r="F299" s="192"/>
      <c r="I299" s="209"/>
      <c r="J299" s="208"/>
      <c r="L299" s="47"/>
    </row>
    <row r="300" spans="2:12" ht="13.2">
      <c r="B300" s="113"/>
      <c r="F300" s="192"/>
      <c r="I300" s="209"/>
      <c r="J300" s="208"/>
      <c r="L300" s="47"/>
    </row>
    <row r="301" spans="2:12" ht="13.2">
      <c r="B301" s="113"/>
      <c r="F301" s="192"/>
      <c r="I301" s="209"/>
      <c r="J301" s="208"/>
      <c r="L301" s="47"/>
    </row>
    <row r="302" spans="2:12" ht="13.2">
      <c r="B302" s="113"/>
      <c r="F302" s="192"/>
      <c r="I302" s="209"/>
      <c r="J302" s="208"/>
      <c r="L302" s="47"/>
    </row>
    <row r="303" spans="2:12" ht="13.2">
      <c r="B303" s="113"/>
      <c r="F303" s="192"/>
      <c r="I303" s="209"/>
      <c r="J303" s="208"/>
      <c r="L303" s="47"/>
    </row>
    <row r="304" spans="2:12" ht="13.2">
      <c r="B304" s="113"/>
      <c r="F304" s="192"/>
      <c r="I304" s="209"/>
      <c r="J304" s="208"/>
      <c r="L304" s="47"/>
    </row>
    <row r="305" spans="2:12" ht="13.2">
      <c r="B305" s="113"/>
      <c r="F305" s="192"/>
      <c r="I305" s="209"/>
      <c r="J305" s="208"/>
      <c r="L305" s="47"/>
    </row>
    <row r="306" spans="2:12" ht="13.2">
      <c r="B306" s="113"/>
      <c r="F306" s="192"/>
      <c r="I306" s="209"/>
      <c r="J306" s="208"/>
      <c r="L306" s="47"/>
    </row>
    <row r="307" spans="2:12" ht="13.2">
      <c r="B307" s="113"/>
      <c r="F307" s="192"/>
      <c r="I307" s="209"/>
      <c r="J307" s="208"/>
      <c r="L307" s="47"/>
    </row>
    <row r="308" spans="2:12" ht="13.2">
      <c r="B308" s="113"/>
      <c r="F308" s="192"/>
      <c r="I308" s="209"/>
      <c r="J308" s="208"/>
      <c r="L308" s="47"/>
    </row>
    <row r="309" spans="2:12" ht="13.2">
      <c r="B309" s="113"/>
      <c r="F309" s="192"/>
      <c r="I309" s="209"/>
      <c r="J309" s="208"/>
      <c r="L309" s="47"/>
    </row>
    <row r="310" spans="2:12" ht="13.2">
      <c r="B310" s="113"/>
      <c r="F310" s="192"/>
      <c r="I310" s="209"/>
      <c r="J310" s="208"/>
      <c r="L310" s="47"/>
    </row>
    <row r="311" spans="2:12" ht="13.2">
      <c r="B311" s="113"/>
      <c r="F311" s="192"/>
      <c r="I311" s="209"/>
      <c r="J311" s="208"/>
      <c r="L311" s="47"/>
    </row>
    <row r="312" spans="2:12" ht="13.2">
      <c r="B312" s="113"/>
      <c r="F312" s="192"/>
      <c r="I312" s="209"/>
      <c r="J312" s="208"/>
      <c r="L312" s="47"/>
    </row>
    <row r="313" spans="2:12" ht="13.2">
      <c r="B313" s="113"/>
      <c r="F313" s="192"/>
      <c r="I313" s="209"/>
      <c r="J313" s="208"/>
      <c r="L313" s="47"/>
    </row>
    <row r="314" spans="2:12" ht="13.2">
      <c r="B314" s="113"/>
      <c r="F314" s="192"/>
      <c r="I314" s="209"/>
      <c r="J314" s="208"/>
      <c r="L314" s="47"/>
    </row>
    <row r="315" spans="2:12" ht="13.2">
      <c r="B315" s="113"/>
      <c r="F315" s="192"/>
      <c r="I315" s="209"/>
      <c r="J315" s="208"/>
      <c r="L315" s="47"/>
    </row>
    <row r="316" spans="2:12" ht="13.2">
      <c r="B316" s="113"/>
      <c r="F316" s="192"/>
      <c r="I316" s="209"/>
      <c r="J316" s="208"/>
      <c r="L316" s="47"/>
    </row>
    <row r="317" spans="2:12" ht="13.2">
      <c r="B317" s="113"/>
      <c r="F317" s="192"/>
      <c r="I317" s="209"/>
      <c r="J317" s="208"/>
      <c r="L317" s="47"/>
    </row>
    <row r="318" spans="2:12" ht="13.2">
      <c r="B318" s="113"/>
      <c r="F318" s="192"/>
      <c r="I318" s="209"/>
      <c r="J318" s="208"/>
      <c r="L318" s="47"/>
    </row>
    <row r="319" spans="2:12" ht="13.2">
      <c r="B319" s="113"/>
      <c r="F319" s="192"/>
      <c r="I319" s="209"/>
      <c r="J319" s="208"/>
      <c r="L319" s="47"/>
    </row>
    <row r="320" spans="2:12" ht="13.2">
      <c r="B320" s="113"/>
      <c r="F320" s="192"/>
      <c r="I320" s="209"/>
      <c r="J320" s="208"/>
      <c r="L320" s="47"/>
    </row>
    <row r="321" spans="2:12" ht="13.2">
      <c r="B321" s="113"/>
      <c r="F321" s="192"/>
      <c r="I321" s="209"/>
      <c r="J321" s="208"/>
      <c r="L321" s="47"/>
    </row>
    <row r="322" spans="2:12" ht="13.2">
      <c r="B322" s="113"/>
      <c r="F322" s="192"/>
      <c r="I322" s="209"/>
      <c r="J322" s="208"/>
      <c r="L322" s="47"/>
    </row>
    <row r="323" spans="2:12" ht="13.2">
      <c r="B323" s="113"/>
      <c r="F323" s="192"/>
      <c r="I323" s="209"/>
      <c r="J323" s="208"/>
      <c r="L323" s="47"/>
    </row>
    <row r="324" spans="2:12" ht="13.2">
      <c r="B324" s="113"/>
      <c r="F324" s="192"/>
      <c r="I324" s="209"/>
      <c r="J324" s="208"/>
      <c r="L324" s="47"/>
    </row>
    <row r="325" spans="2:12" ht="13.2">
      <c r="B325" s="113"/>
      <c r="F325" s="192"/>
      <c r="I325" s="209"/>
      <c r="J325" s="208"/>
      <c r="L325" s="47"/>
    </row>
    <row r="326" spans="2:12" ht="13.2">
      <c r="B326" s="113"/>
      <c r="F326" s="192"/>
      <c r="I326" s="209"/>
      <c r="J326" s="208"/>
      <c r="L326" s="47"/>
    </row>
    <row r="327" spans="2:12" ht="13.2">
      <c r="B327" s="113"/>
      <c r="F327" s="192"/>
      <c r="I327" s="209"/>
      <c r="J327" s="208"/>
      <c r="L327" s="47"/>
    </row>
    <row r="328" spans="2:12" ht="13.2">
      <c r="B328" s="113"/>
      <c r="F328" s="192"/>
      <c r="I328" s="209"/>
      <c r="J328" s="208"/>
      <c r="L328" s="47"/>
    </row>
    <row r="329" spans="2:12" ht="13.2">
      <c r="B329" s="113"/>
      <c r="F329" s="192"/>
      <c r="I329" s="209"/>
      <c r="J329" s="208"/>
      <c r="L329" s="47"/>
    </row>
    <row r="330" spans="2:12" ht="13.2">
      <c r="B330" s="113"/>
      <c r="F330" s="192"/>
      <c r="I330" s="209"/>
      <c r="J330" s="208"/>
      <c r="L330" s="47"/>
    </row>
    <row r="331" spans="2:12" ht="13.2">
      <c r="B331" s="113"/>
      <c r="F331" s="192"/>
      <c r="I331" s="209"/>
      <c r="J331" s="208"/>
      <c r="L331" s="47"/>
    </row>
    <row r="332" spans="2:12" ht="13.2">
      <c r="B332" s="113"/>
      <c r="F332" s="192"/>
      <c r="I332" s="209"/>
      <c r="J332" s="208"/>
      <c r="L332" s="47"/>
    </row>
    <row r="333" spans="2:12" ht="13.2">
      <c r="B333" s="113"/>
      <c r="F333" s="192"/>
      <c r="I333" s="209"/>
      <c r="J333" s="208"/>
      <c r="L333" s="47"/>
    </row>
    <row r="334" spans="2:12" ht="13.2">
      <c r="B334" s="113"/>
      <c r="F334" s="192"/>
      <c r="I334" s="209"/>
      <c r="J334" s="208"/>
      <c r="L334" s="47"/>
    </row>
    <row r="335" spans="2:12" ht="13.2">
      <c r="B335" s="113"/>
      <c r="F335" s="192"/>
      <c r="I335" s="209"/>
      <c r="J335" s="208"/>
      <c r="L335" s="47"/>
    </row>
    <row r="336" spans="2:12" ht="13.2">
      <c r="B336" s="113"/>
      <c r="F336" s="192"/>
      <c r="I336" s="209"/>
      <c r="J336" s="208"/>
      <c r="L336" s="47"/>
    </row>
    <row r="337" spans="2:12" ht="13.2">
      <c r="B337" s="113"/>
      <c r="F337" s="192"/>
      <c r="I337" s="209"/>
      <c r="J337" s="208"/>
      <c r="L337" s="47"/>
    </row>
    <row r="338" spans="2:12" ht="13.2">
      <c r="B338" s="113"/>
      <c r="F338" s="192"/>
      <c r="I338" s="209"/>
      <c r="J338" s="208"/>
      <c r="L338" s="47"/>
    </row>
    <row r="339" spans="2:12" ht="13.2">
      <c r="B339" s="113"/>
      <c r="F339" s="192"/>
      <c r="I339" s="209"/>
      <c r="J339" s="208"/>
      <c r="L339" s="47"/>
    </row>
    <row r="340" spans="2:12" ht="13.2">
      <c r="B340" s="113"/>
      <c r="F340" s="192"/>
      <c r="I340" s="209"/>
      <c r="J340" s="208"/>
      <c r="L340" s="47"/>
    </row>
    <row r="341" spans="2:12" ht="13.2">
      <c r="B341" s="113"/>
      <c r="F341" s="192"/>
      <c r="I341" s="209"/>
      <c r="J341" s="208"/>
      <c r="L341" s="47"/>
    </row>
    <row r="342" spans="2:12" ht="13.2">
      <c r="B342" s="113"/>
      <c r="F342" s="192"/>
      <c r="I342" s="209"/>
      <c r="J342" s="208"/>
      <c r="L342" s="47"/>
    </row>
    <row r="343" spans="2:12" ht="13.2">
      <c r="B343" s="113"/>
      <c r="F343" s="192"/>
      <c r="I343" s="209"/>
      <c r="J343" s="208"/>
      <c r="L343" s="47"/>
    </row>
    <row r="344" spans="2:12" ht="13.2">
      <c r="B344" s="113"/>
      <c r="F344" s="192"/>
      <c r="I344" s="209"/>
      <c r="J344" s="208"/>
      <c r="L344" s="47"/>
    </row>
    <row r="345" spans="2:12" ht="13.2">
      <c r="B345" s="113"/>
      <c r="F345" s="192"/>
      <c r="I345" s="209"/>
      <c r="J345" s="208"/>
      <c r="L345" s="47"/>
    </row>
    <row r="346" spans="2:12" ht="13.2">
      <c r="B346" s="113"/>
      <c r="F346" s="192"/>
      <c r="I346" s="209"/>
      <c r="J346" s="208"/>
      <c r="L346" s="47"/>
    </row>
    <row r="347" spans="2:12" ht="13.2">
      <c r="B347" s="113"/>
      <c r="F347" s="192"/>
      <c r="I347" s="209"/>
      <c r="J347" s="208"/>
      <c r="L347" s="47"/>
    </row>
    <row r="348" spans="2:12" ht="13.2">
      <c r="B348" s="113"/>
      <c r="F348" s="192"/>
      <c r="I348" s="209"/>
      <c r="J348" s="208"/>
      <c r="L348" s="47"/>
    </row>
    <row r="349" spans="2:12" ht="13.2">
      <c r="B349" s="113"/>
      <c r="F349" s="192"/>
      <c r="I349" s="209"/>
      <c r="J349" s="208"/>
      <c r="L349" s="47"/>
    </row>
    <row r="350" spans="2:12" ht="13.2">
      <c r="B350" s="113"/>
      <c r="F350" s="192"/>
      <c r="I350" s="209"/>
      <c r="J350" s="208"/>
      <c r="L350" s="47"/>
    </row>
    <row r="351" spans="2:12" ht="13.2">
      <c r="B351" s="113"/>
      <c r="F351" s="192"/>
      <c r="I351" s="209"/>
      <c r="J351" s="208"/>
      <c r="L351" s="47"/>
    </row>
    <row r="352" spans="2:12" ht="13.2">
      <c r="B352" s="113"/>
      <c r="F352" s="192"/>
      <c r="I352" s="209"/>
      <c r="J352" s="208"/>
      <c r="L352" s="47"/>
    </row>
    <row r="353" spans="2:12" ht="13.2">
      <c r="B353" s="113"/>
      <c r="F353" s="192"/>
      <c r="I353" s="209"/>
      <c r="J353" s="208"/>
      <c r="L353" s="47"/>
    </row>
    <row r="354" spans="2:12" ht="13.2">
      <c r="B354" s="113"/>
      <c r="F354" s="192"/>
      <c r="I354" s="209"/>
      <c r="J354" s="208"/>
      <c r="L354" s="47"/>
    </row>
    <row r="355" spans="2:12" ht="13.2">
      <c r="B355" s="113"/>
      <c r="F355" s="192"/>
      <c r="I355" s="209"/>
      <c r="J355" s="208"/>
      <c r="L355" s="47"/>
    </row>
    <row r="356" spans="2:12" ht="13.2">
      <c r="B356" s="113"/>
      <c r="F356" s="192"/>
      <c r="I356" s="209"/>
      <c r="J356" s="208"/>
      <c r="L356" s="47"/>
    </row>
    <row r="357" spans="2:12" ht="13.2">
      <c r="B357" s="113"/>
      <c r="F357" s="192"/>
      <c r="I357" s="209"/>
      <c r="J357" s="208"/>
      <c r="L357" s="47"/>
    </row>
    <row r="358" spans="2:12" ht="13.2">
      <c r="B358" s="113"/>
      <c r="F358" s="192"/>
      <c r="I358" s="209"/>
      <c r="J358" s="208"/>
      <c r="L358" s="47"/>
    </row>
    <row r="359" spans="2:12" ht="13.2">
      <c r="B359" s="113"/>
      <c r="F359" s="192"/>
      <c r="I359" s="209"/>
      <c r="J359" s="208"/>
      <c r="L359" s="47"/>
    </row>
    <row r="360" spans="2:12" ht="13.2">
      <c r="B360" s="113"/>
      <c r="F360" s="192"/>
      <c r="I360" s="209"/>
      <c r="J360" s="208"/>
      <c r="L360" s="47"/>
    </row>
    <row r="361" spans="2:12" ht="13.2">
      <c r="B361" s="113"/>
      <c r="F361" s="192"/>
      <c r="I361" s="209"/>
      <c r="J361" s="208"/>
      <c r="L361" s="47"/>
    </row>
    <row r="362" spans="2:12" ht="13.2">
      <c r="B362" s="113"/>
      <c r="F362" s="192"/>
      <c r="I362" s="209"/>
      <c r="J362" s="208"/>
      <c r="L362" s="47"/>
    </row>
    <row r="363" spans="2:12" ht="13.2">
      <c r="B363" s="113"/>
      <c r="F363" s="192"/>
      <c r="I363" s="209"/>
      <c r="J363" s="208"/>
      <c r="L363" s="47"/>
    </row>
    <row r="364" spans="2:12" ht="13.2">
      <c r="B364" s="113"/>
      <c r="F364" s="192"/>
      <c r="I364" s="209"/>
      <c r="J364" s="208"/>
      <c r="L364" s="47"/>
    </row>
    <row r="365" spans="2:12" ht="13.2">
      <c r="B365" s="113"/>
      <c r="F365" s="192"/>
      <c r="I365" s="209"/>
      <c r="J365" s="208"/>
      <c r="L365" s="47"/>
    </row>
    <row r="366" spans="2:12" ht="13.2">
      <c r="B366" s="113"/>
      <c r="F366" s="192"/>
      <c r="I366" s="209"/>
      <c r="J366" s="208"/>
      <c r="L366" s="47"/>
    </row>
    <row r="367" spans="2:12" ht="13.2">
      <c r="B367" s="113"/>
      <c r="F367" s="192"/>
      <c r="I367" s="209"/>
      <c r="J367" s="208"/>
      <c r="L367" s="47"/>
    </row>
    <row r="368" spans="2:12" ht="13.2">
      <c r="B368" s="113"/>
      <c r="F368" s="192"/>
      <c r="I368" s="209"/>
      <c r="J368" s="208"/>
      <c r="L368" s="47"/>
    </row>
    <row r="369" spans="2:12" ht="13.2">
      <c r="B369" s="113"/>
      <c r="F369" s="192"/>
      <c r="I369" s="209"/>
      <c r="J369" s="208"/>
      <c r="L369" s="47"/>
    </row>
    <row r="370" spans="2:12" ht="13.2">
      <c r="B370" s="113"/>
      <c r="F370" s="192"/>
      <c r="I370" s="209"/>
      <c r="J370" s="208"/>
      <c r="L370" s="47"/>
    </row>
    <row r="371" spans="2:12" ht="13.2">
      <c r="B371" s="113"/>
      <c r="F371" s="192"/>
      <c r="I371" s="209"/>
      <c r="J371" s="208"/>
      <c r="L371" s="47"/>
    </row>
    <row r="372" spans="2:12" ht="13.2">
      <c r="B372" s="113"/>
      <c r="F372" s="192"/>
      <c r="I372" s="209"/>
      <c r="J372" s="208"/>
      <c r="L372" s="47"/>
    </row>
    <row r="373" spans="2:12" ht="13.2">
      <c r="B373" s="113"/>
      <c r="F373" s="192"/>
      <c r="I373" s="209"/>
      <c r="J373" s="208"/>
      <c r="L373" s="47"/>
    </row>
    <row r="374" spans="2:12" ht="13.2">
      <c r="B374" s="113"/>
      <c r="F374" s="192"/>
      <c r="I374" s="209"/>
      <c r="J374" s="208"/>
      <c r="L374" s="47"/>
    </row>
    <row r="375" spans="2:12" ht="13.2">
      <c r="B375" s="113"/>
      <c r="F375" s="192"/>
      <c r="I375" s="209"/>
      <c r="J375" s="208"/>
      <c r="L375" s="47"/>
    </row>
    <row r="376" spans="2:12" ht="13.2">
      <c r="B376" s="113"/>
      <c r="F376" s="192"/>
      <c r="I376" s="209"/>
      <c r="J376" s="208"/>
      <c r="L376" s="47"/>
    </row>
    <row r="377" spans="2:12" ht="13.2">
      <c r="B377" s="113"/>
      <c r="F377" s="192"/>
      <c r="I377" s="209"/>
      <c r="J377" s="208"/>
      <c r="L377" s="47"/>
    </row>
    <row r="378" spans="2:12" ht="13.2">
      <c r="B378" s="113"/>
      <c r="F378" s="192"/>
      <c r="I378" s="209"/>
      <c r="J378" s="208"/>
      <c r="L378" s="47"/>
    </row>
    <row r="379" spans="2:12" ht="13.2">
      <c r="B379" s="113"/>
      <c r="F379" s="192"/>
      <c r="I379" s="209"/>
      <c r="J379" s="208"/>
      <c r="L379" s="47"/>
    </row>
    <row r="380" spans="2:12" ht="13.2">
      <c r="B380" s="113"/>
      <c r="F380" s="192"/>
      <c r="I380" s="209"/>
      <c r="J380" s="208"/>
      <c r="L380" s="47"/>
    </row>
    <row r="381" spans="2:12" ht="13.2">
      <c r="B381" s="113"/>
      <c r="F381" s="192"/>
      <c r="I381" s="209"/>
      <c r="J381" s="208"/>
      <c r="L381" s="47"/>
    </row>
    <row r="382" spans="2:12" ht="13.2">
      <c r="B382" s="113"/>
      <c r="F382" s="192"/>
      <c r="I382" s="209"/>
      <c r="J382" s="208"/>
      <c r="L382" s="47"/>
    </row>
    <row r="383" spans="2:12" ht="13.2">
      <c r="B383" s="113"/>
      <c r="F383" s="192"/>
      <c r="I383" s="209"/>
      <c r="J383" s="208"/>
      <c r="L383" s="47"/>
    </row>
    <row r="384" spans="2:12" ht="13.2">
      <c r="B384" s="113"/>
      <c r="F384" s="192"/>
      <c r="I384" s="209"/>
      <c r="J384" s="208"/>
      <c r="L384" s="47"/>
    </row>
    <row r="385" spans="2:12" ht="13.2">
      <c r="B385" s="113"/>
      <c r="F385" s="192"/>
      <c r="I385" s="209"/>
      <c r="J385" s="208"/>
      <c r="L385" s="47"/>
    </row>
    <row r="386" spans="2:12" ht="13.2">
      <c r="B386" s="113"/>
      <c r="F386" s="192"/>
      <c r="I386" s="209"/>
      <c r="J386" s="208"/>
      <c r="L386" s="47"/>
    </row>
    <row r="387" spans="2:12" ht="13.2">
      <c r="B387" s="113"/>
      <c r="F387" s="192"/>
      <c r="I387" s="209"/>
      <c r="J387" s="208"/>
      <c r="L387" s="47"/>
    </row>
    <row r="388" spans="2:12" ht="13.2">
      <c r="B388" s="113"/>
      <c r="F388" s="192"/>
      <c r="I388" s="209"/>
      <c r="J388" s="208"/>
      <c r="L388" s="47"/>
    </row>
    <row r="389" spans="2:12" ht="13.2">
      <c r="B389" s="113"/>
      <c r="F389" s="192"/>
      <c r="I389" s="209"/>
      <c r="J389" s="208"/>
      <c r="L389" s="47"/>
    </row>
    <row r="390" spans="2:12" ht="13.2">
      <c r="B390" s="113"/>
      <c r="F390" s="192"/>
      <c r="I390" s="209"/>
      <c r="J390" s="208"/>
      <c r="L390" s="47"/>
    </row>
    <row r="391" spans="2:12" ht="13.2">
      <c r="B391" s="113"/>
      <c r="F391" s="192"/>
      <c r="I391" s="209"/>
      <c r="J391" s="208"/>
      <c r="L391" s="47"/>
    </row>
    <row r="392" spans="2:12" ht="13.2">
      <c r="B392" s="113"/>
      <c r="F392" s="192"/>
      <c r="I392" s="209"/>
      <c r="J392" s="208"/>
      <c r="L392" s="47"/>
    </row>
    <row r="393" spans="2:12" ht="13.2">
      <c r="B393" s="113"/>
      <c r="F393" s="192"/>
      <c r="I393" s="209"/>
      <c r="J393" s="208"/>
      <c r="L393" s="47"/>
    </row>
    <row r="394" spans="2:12" ht="13.2">
      <c r="B394" s="113"/>
      <c r="F394" s="192"/>
      <c r="I394" s="209"/>
      <c r="J394" s="208"/>
      <c r="L394" s="47"/>
    </row>
    <row r="395" spans="2:12" ht="13.2">
      <c r="B395" s="113"/>
      <c r="F395" s="192"/>
      <c r="I395" s="209"/>
      <c r="J395" s="208"/>
      <c r="L395" s="47"/>
    </row>
    <row r="396" spans="2:12" ht="13.2">
      <c r="B396" s="113"/>
      <c r="F396" s="192"/>
      <c r="I396" s="209"/>
      <c r="J396" s="208"/>
      <c r="L396" s="47"/>
    </row>
    <row r="397" spans="2:12" ht="13.2">
      <c r="B397" s="113"/>
      <c r="F397" s="192"/>
      <c r="I397" s="209"/>
      <c r="J397" s="208"/>
      <c r="L397" s="47"/>
    </row>
    <row r="398" spans="2:12" ht="13.2">
      <c r="B398" s="113"/>
      <c r="F398" s="192"/>
      <c r="I398" s="209"/>
      <c r="J398" s="208"/>
      <c r="L398" s="47"/>
    </row>
    <row r="399" spans="2:12" ht="13.2">
      <c r="B399" s="113"/>
      <c r="F399" s="192"/>
      <c r="I399" s="209"/>
      <c r="J399" s="208"/>
      <c r="L399" s="47"/>
    </row>
    <row r="400" spans="2:12" ht="13.2">
      <c r="B400" s="113"/>
      <c r="F400" s="192"/>
      <c r="I400" s="209"/>
      <c r="J400" s="208"/>
      <c r="L400" s="47"/>
    </row>
    <row r="401" spans="2:12" ht="13.2">
      <c r="B401" s="113"/>
      <c r="F401" s="192"/>
      <c r="I401" s="209"/>
      <c r="J401" s="208"/>
      <c r="L401" s="47"/>
    </row>
    <row r="402" spans="2:12" ht="13.2">
      <c r="B402" s="113"/>
      <c r="F402" s="192"/>
      <c r="I402" s="209"/>
      <c r="J402" s="208"/>
      <c r="L402" s="47"/>
    </row>
    <row r="403" spans="2:12" ht="13.2">
      <c r="B403" s="113"/>
      <c r="F403" s="192"/>
      <c r="I403" s="209"/>
      <c r="J403" s="208"/>
      <c r="L403" s="47"/>
    </row>
    <row r="404" spans="2:12" ht="13.2">
      <c r="B404" s="113"/>
      <c r="F404" s="192"/>
      <c r="I404" s="209"/>
      <c r="J404" s="208"/>
      <c r="L404" s="47"/>
    </row>
    <row r="405" spans="2:12" ht="13.2">
      <c r="B405" s="113"/>
      <c r="F405" s="192"/>
      <c r="I405" s="209"/>
      <c r="J405" s="208"/>
      <c r="L405" s="47"/>
    </row>
    <row r="406" spans="2:12" ht="13.2">
      <c r="B406" s="113"/>
      <c r="F406" s="192"/>
      <c r="I406" s="209"/>
      <c r="J406" s="208"/>
      <c r="L406" s="47"/>
    </row>
    <row r="407" spans="2:12" ht="13.2">
      <c r="B407" s="113"/>
      <c r="F407" s="192"/>
      <c r="I407" s="209"/>
      <c r="J407" s="208"/>
      <c r="L407" s="47"/>
    </row>
    <row r="408" spans="2:12" ht="13.2">
      <c r="B408" s="113"/>
      <c r="F408" s="192"/>
      <c r="I408" s="209"/>
      <c r="J408" s="208"/>
      <c r="L408" s="47"/>
    </row>
    <row r="409" spans="2:12" ht="13.2">
      <c r="B409" s="113"/>
      <c r="F409" s="192"/>
      <c r="I409" s="209"/>
      <c r="J409" s="208"/>
      <c r="L409" s="47"/>
    </row>
    <row r="410" spans="2:12" ht="13.2">
      <c r="B410" s="113"/>
      <c r="F410" s="192"/>
      <c r="I410" s="209"/>
      <c r="J410" s="208"/>
      <c r="L410" s="47"/>
    </row>
    <row r="411" spans="2:12" ht="13.2">
      <c r="B411" s="113"/>
      <c r="F411" s="192"/>
      <c r="I411" s="209"/>
      <c r="J411" s="208"/>
      <c r="L411" s="47"/>
    </row>
    <row r="412" spans="2:12" ht="13.2">
      <c r="B412" s="113"/>
      <c r="F412" s="192"/>
      <c r="I412" s="209"/>
      <c r="J412" s="208"/>
      <c r="L412" s="47"/>
    </row>
    <row r="413" spans="2:12" ht="13.2">
      <c r="B413" s="113"/>
      <c r="F413" s="192"/>
      <c r="I413" s="209"/>
      <c r="J413" s="208"/>
      <c r="L413" s="47"/>
    </row>
    <row r="414" spans="2:12" ht="13.2">
      <c r="B414" s="113"/>
      <c r="F414" s="192"/>
      <c r="I414" s="209"/>
      <c r="J414" s="208"/>
      <c r="L414" s="47"/>
    </row>
    <row r="415" spans="2:12" ht="13.2">
      <c r="B415" s="113"/>
      <c r="F415" s="192"/>
      <c r="I415" s="209"/>
      <c r="J415" s="208"/>
      <c r="L415" s="47"/>
    </row>
    <row r="416" spans="2:12" ht="13.2">
      <c r="B416" s="113"/>
      <c r="F416" s="192"/>
      <c r="I416" s="209"/>
      <c r="J416" s="208"/>
      <c r="L416" s="47"/>
    </row>
    <row r="417" spans="2:12" ht="13.2">
      <c r="B417" s="113"/>
      <c r="F417" s="192"/>
      <c r="I417" s="209"/>
      <c r="J417" s="208"/>
      <c r="L417" s="47"/>
    </row>
    <row r="418" spans="2:12" ht="13.2">
      <c r="B418" s="113"/>
      <c r="F418" s="192"/>
      <c r="I418" s="209"/>
      <c r="J418" s="208"/>
      <c r="L418" s="47"/>
    </row>
    <row r="419" spans="2:12" ht="13.2">
      <c r="B419" s="113"/>
      <c r="F419" s="192"/>
      <c r="I419" s="209"/>
      <c r="J419" s="208"/>
      <c r="L419" s="47"/>
    </row>
    <row r="420" spans="2:12" ht="13.2">
      <c r="B420" s="113"/>
      <c r="F420" s="192"/>
      <c r="I420" s="209"/>
      <c r="J420" s="208"/>
      <c r="L420" s="47"/>
    </row>
    <row r="421" spans="2:12" ht="13.2">
      <c r="B421" s="113"/>
      <c r="F421" s="192"/>
      <c r="I421" s="209"/>
      <c r="J421" s="208"/>
      <c r="L421" s="47"/>
    </row>
    <row r="422" spans="2:12" ht="13.2">
      <c r="B422" s="113"/>
      <c r="F422" s="192"/>
      <c r="I422" s="209"/>
      <c r="J422" s="208"/>
      <c r="L422" s="47"/>
    </row>
    <row r="423" spans="2:12" ht="13.2">
      <c r="B423" s="113"/>
      <c r="F423" s="192"/>
      <c r="I423" s="209"/>
      <c r="J423" s="208"/>
      <c r="L423" s="47"/>
    </row>
    <row r="424" spans="2:12" ht="13.2">
      <c r="B424" s="113"/>
      <c r="F424" s="192"/>
      <c r="I424" s="209"/>
      <c r="J424" s="208"/>
      <c r="L424" s="47"/>
    </row>
    <row r="425" spans="2:12" ht="13.2">
      <c r="B425" s="113"/>
      <c r="F425" s="192"/>
      <c r="I425" s="209"/>
      <c r="J425" s="208"/>
      <c r="L425" s="47"/>
    </row>
    <row r="426" spans="2:12" ht="13.2">
      <c r="B426" s="113"/>
      <c r="F426" s="192"/>
      <c r="I426" s="209"/>
      <c r="J426" s="208"/>
      <c r="L426" s="47"/>
    </row>
    <row r="427" spans="2:12" ht="13.2">
      <c r="B427" s="113"/>
      <c r="F427" s="192"/>
      <c r="I427" s="209"/>
      <c r="J427" s="208"/>
      <c r="L427" s="47"/>
    </row>
    <row r="428" spans="2:12" ht="13.2">
      <c r="B428" s="113"/>
      <c r="F428" s="192"/>
      <c r="I428" s="209"/>
      <c r="J428" s="208"/>
      <c r="L428" s="47"/>
    </row>
    <row r="429" spans="2:12" ht="13.2">
      <c r="B429" s="113"/>
      <c r="F429" s="192"/>
      <c r="I429" s="209"/>
      <c r="J429" s="208"/>
      <c r="L429" s="47"/>
    </row>
    <row r="430" spans="2:12" ht="13.2">
      <c r="B430" s="113"/>
      <c r="F430" s="192"/>
      <c r="I430" s="209"/>
      <c r="J430" s="208"/>
      <c r="L430" s="47"/>
    </row>
    <row r="431" spans="2:12" ht="13.2">
      <c r="B431" s="113"/>
      <c r="F431" s="192"/>
      <c r="I431" s="209"/>
      <c r="J431" s="208"/>
      <c r="L431" s="47"/>
    </row>
    <row r="432" spans="2:12" ht="13.2">
      <c r="B432" s="113"/>
      <c r="F432" s="192"/>
      <c r="I432" s="209"/>
      <c r="J432" s="208"/>
      <c r="L432" s="47"/>
    </row>
    <row r="433" spans="2:12" ht="13.2">
      <c r="B433" s="113"/>
      <c r="F433" s="192"/>
      <c r="I433" s="209"/>
      <c r="J433" s="208"/>
      <c r="L433" s="47"/>
    </row>
    <row r="434" spans="2:12" ht="13.2">
      <c r="B434" s="113"/>
      <c r="F434" s="192"/>
      <c r="I434" s="209"/>
      <c r="J434" s="208"/>
      <c r="L434" s="47"/>
    </row>
    <row r="435" spans="2:12" ht="13.2">
      <c r="B435" s="113"/>
      <c r="F435" s="192"/>
      <c r="I435" s="209"/>
      <c r="J435" s="208"/>
      <c r="L435" s="47"/>
    </row>
    <row r="436" spans="2:12" ht="13.2">
      <c r="B436" s="113"/>
      <c r="F436" s="192"/>
      <c r="I436" s="209"/>
      <c r="J436" s="208"/>
      <c r="L436" s="47"/>
    </row>
    <row r="437" spans="2:12" ht="13.2">
      <c r="B437" s="113"/>
      <c r="F437" s="192"/>
      <c r="I437" s="209"/>
      <c r="J437" s="208"/>
      <c r="L437" s="47"/>
    </row>
    <row r="438" spans="2:12" ht="13.2">
      <c r="B438" s="113"/>
      <c r="F438" s="192"/>
      <c r="I438" s="209"/>
      <c r="J438" s="208"/>
      <c r="L438" s="47"/>
    </row>
    <row r="439" spans="2:12" ht="13.2">
      <c r="B439" s="113"/>
      <c r="F439" s="192"/>
      <c r="I439" s="209"/>
      <c r="J439" s="208"/>
      <c r="L439" s="47"/>
    </row>
    <row r="440" spans="2:12" ht="13.2">
      <c r="B440" s="113"/>
      <c r="F440" s="192"/>
      <c r="I440" s="209"/>
      <c r="J440" s="208"/>
      <c r="L440" s="47"/>
    </row>
    <row r="441" spans="2:12" ht="13.2">
      <c r="B441" s="113"/>
      <c r="F441" s="192"/>
      <c r="I441" s="209"/>
      <c r="J441" s="208"/>
      <c r="L441" s="47"/>
    </row>
    <row r="442" spans="2:12" ht="13.2">
      <c r="B442" s="113"/>
      <c r="F442" s="192"/>
      <c r="I442" s="209"/>
      <c r="J442" s="208"/>
      <c r="L442" s="47"/>
    </row>
    <row r="443" spans="2:12" ht="13.2">
      <c r="B443" s="113"/>
      <c r="F443" s="192"/>
      <c r="I443" s="209"/>
      <c r="J443" s="208"/>
      <c r="L443" s="47"/>
    </row>
    <row r="444" spans="2:12" ht="13.2">
      <c r="B444" s="113"/>
      <c r="F444" s="192"/>
      <c r="I444" s="209"/>
      <c r="J444" s="208"/>
      <c r="L444" s="47"/>
    </row>
    <row r="445" spans="2:12" ht="13.2">
      <c r="B445" s="113"/>
      <c r="F445" s="192"/>
      <c r="I445" s="209"/>
      <c r="J445" s="208"/>
      <c r="L445" s="47"/>
    </row>
    <row r="446" spans="2:12" ht="13.2">
      <c r="B446" s="113"/>
      <c r="F446" s="192"/>
      <c r="I446" s="209"/>
      <c r="J446" s="208"/>
      <c r="L446" s="47"/>
    </row>
    <row r="447" spans="2:12" ht="13.2">
      <c r="B447" s="113"/>
      <c r="F447" s="192"/>
      <c r="I447" s="209"/>
      <c r="J447" s="208"/>
      <c r="L447" s="47"/>
    </row>
    <row r="448" spans="2:12" ht="13.2">
      <c r="B448" s="113"/>
      <c r="F448" s="192"/>
      <c r="I448" s="209"/>
      <c r="J448" s="208"/>
      <c r="L448" s="47"/>
    </row>
    <row r="449" spans="2:12" ht="13.2">
      <c r="B449" s="113"/>
      <c r="F449" s="192"/>
      <c r="I449" s="209"/>
      <c r="J449" s="208"/>
      <c r="L449" s="47"/>
    </row>
    <row r="450" spans="2:12" ht="13.2">
      <c r="B450" s="113"/>
      <c r="F450" s="192"/>
      <c r="I450" s="209"/>
      <c r="J450" s="208"/>
      <c r="L450" s="47"/>
    </row>
    <row r="451" spans="2:12" ht="13.2">
      <c r="B451" s="113"/>
      <c r="F451" s="192"/>
      <c r="I451" s="209"/>
      <c r="J451" s="208"/>
      <c r="L451" s="47"/>
    </row>
    <row r="452" spans="2:12" ht="13.2">
      <c r="B452" s="113"/>
      <c r="F452" s="192"/>
      <c r="I452" s="209"/>
      <c r="J452" s="208"/>
      <c r="L452" s="47"/>
    </row>
    <row r="453" spans="2:12" ht="13.2">
      <c r="B453" s="113"/>
      <c r="F453" s="192"/>
      <c r="I453" s="209"/>
      <c r="J453" s="208"/>
      <c r="L453" s="47"/>
    </row>
    <row r="454" spans="2:12" ht="13.2">
      <c r="B454" s="113"/>
      <c r="F454" s="192"/>
      <c r="I454" s="209"/>
      <c r="J454" s="208"/>
      <c r="L454" s="47"/>
    </row>
    <row r="455" spans="2:12" ht="13.2">
      <c r="B455" s="113"/>
      <c r="F455" s="192"/>
      <c r="I455" s="209"/>
      <c r="J455" s="208"/>
      <c r="L455" s="47"/>
    </row>
    <row r="456" spans="2:12" ht="13.2">
      <c r="B456" s="113"/>
      <c r="F456" s="192"/>
      <c r="I456" s="209"/>
      <c r="J456" s="208"/>
      <c r="L456" s="47"/>
    </row>
    <row r="457" spans="2:12" ht="13.2">
      <c r="B457" s="113"/>
      <c r="F457" s="192"/>
      <c r="I457" s="209"/>
      <c r="J457" s="208"/>
      <c r="L457" s="47"/>
    </row>
    <row r="458" spans="2:12" ht="13.2">
      <c r="B458" s="113"/>
      <c r="F458" s="192"/>
      <c r="I458" s="209"/>
      <c r="J458" s="208"/>
      <c r="L458" s="47"/>
    </row>
    <row r="459" spans="2:12" ht="13.2">
      <c r="B459" s="113"/>
      <c r="F459" s="192"/>
      <c r="I459" s="209"/>
      <c r="J459" s="208"/>
      <c r="L459" s="47"/>
    </row>
    <row r="460" spans="2:12" ht="13.2">
      <c r="B460" s="113"/>
      <c r="F460" s="192"/>
      <c r="I460" s="209"/>
      <c r="J460" s="208"/>
      <c r="L460" s="47"/>
    </row>
    <row r="461" spans="2:12" ht="13.2">
      <c r="B461" s="113"/>
      <c r="F461" s="192"/>
      <c r="I461" s="209"/>
      <c r="J461" s="208"/>
      <c r="L461" s="47"/>
    </row>
    <row r="462" spans="2:12" ht="13.2">
      <c r="B462" s="113"/>
      <c r="F462" s="192"/>
      <c r="I462" s="209"/>
      <c r="J462" s="208"/>
      <c r="L462" s="47"/>
    </row>
    <row r="463" spans="2:12" ht="13.2">
      <c r="B463" s="113"/>
      <c r="F463" s="192"/>
      <c r="I463" s="209"/>
      <c r="J463" s="208"/>
      <c r="L463" s="47"/>
    </row>
    <row r="464" spans="2:12" ht="13.2">
      <c r="B464" s="113"/>
      <c r="F464" s="192"/>
      <c r="I464" s="209"/>
      <c r="J464" s="208"/>
      <c r="L464" s="47"/>
    </row>
    <row r="465" spans="2:12" ht="13.2">
      <c r="B465" s="113"/>
      <c r="F465" s="192"/>
      <c r="I465" s="209"/>
      <c r="J465" s="208"/>
      <c r="L465" s="47"/>
    </row>
    <row r="466" spans="2:12" ht="13.2">
      <c r="B466" s="113"/>
      <c r="F466" s="192"/>
      <c r="I466" s="209"/>
      <c r="J466" s="208"/>
      <c r="L466" s="47"/>
    </row>
    <row r="467" spans="2:12" ht="13.2">
      <c r="B467" s="113"/>
      <c r="F467" s="192"/>
      <c r="I467" s="209"/>
      <c r="J467" s="208"/>
      <c r="L467" s="47"/>
    </row>
    <row r="468" spans="2:12" ht="13.2">
      <c r="B468" s="113"/>
      <c r="F468" s="192"/>
      <c r="I468" s="209"/>
      <c r="J468" s="208"/>
      <c r="L468" s="47"/>
    </row>
    <row r="469" spans="2:12" ht="13.2">
      <c r="B469" s="113"/>
      <c r="F469" s="192"/>
      <c r="I469" s="209"/>
      <c r="J469" s="208"/>
      <c r="L469" s="47"/>
    </row>
    <row r="470" spans="2:12" ht="13.2">
      <c r="B470" s="113"/>
      <c r="F470" s="192"/>
      <c r="I470" s="209"/>
      <c r="J470" s="208"/>
      <c r="L470" s="47"/>
    </row>
    <row r="471" spans="2:12" ht="13.2">
      <c r="B471" s="113"/>
      <c r="F471" s="192"/>
      <c r="I471" s="209"/>
      <c r="J471" s="208"/>
      <c r="L471" s="47"/>
    </row>
    <row r="472" spans="2:12" ht="13.2">
      <c r="B472" s="113"/>
      <c r="F472" s="192"/>
      <c r="I472" s="209"/>
      <c r="J472" s="208"/>
      <c r="L472" s="47"/>
    </row>
    <row r="473" spans="2:12" ht="13.2">
      <c r="B473" s="113"/>
      <c r="F473" s="192"/>
      <c r="I473" s="209"/>
      <c r="J473" s="208"/>
      <c r="L473" s="47"/>
    </row>
    <row r="474" spans="2:12" ht="13.2">
      <c r="B474" s="113"/>
      <c r="F474" s="192"/>
      <c r="I474" s="209"/>
      <c r="J474" s="208"/>
      <c r="L474" s="47"/>
    </row>
    <row r="475" spans="2:12" ht="13.2">
      <c r="B475" s="113"/>
      <c r="F475" s="192"/>
      <c r="I475" s="209"/>
      <c r="J475" s="208"/>
      <c r="L475" s="47"/>
    </row>
    <row r="476" spans="2:12" ht="13.2">
      <c r="B476" s="113"/>
      <c r="F476" s="192"/>
      <c r="I476" s="209"/>
      <c r="J476" s="208"/>
      <c r="L476" s="47"/>
    </row>
    <row r="477" spans="2:12" ht="13.2">
      <c r="B477" s="113"/>
      <c r="F477" s="192"/>
      <c r="I477" s="209"/>
      <c r="J477" s="208"/>
      <c r="L477" s="47"/>
    </row>
    <row r="478" spans="2:12" ht="13.2">
      <c r="B478" s="113"/>
      <c r="F478" s="192"/>
      <c r="I478" s="209"/>
      <c r="J478" s="208"/>
      <c r="L478" s="47"/>
    </row>
    <row r="479" spans="2:12" ht="13.2">
      <c r="B479" s="113"/>
      <c r="F479" s="192"/>
      <c r="I479" s="209"/>
      <c r="J479" s="208"/>
      <c r="L479" s="47"/>
    </row>
    <row r="480" spans="2:12" ht="13.2">
      <c r="B480" s="113"/>
      <c r="F480" s="192"/>
      <c r="I480" s="209"/>
      <c r="J480" s="208"/>
      <c r="L480" s="47"/>
    </row>
    <row r="481" spans="2:12" ht="13.2">
      <c r="B481" s="113"/>
      <c r="F481" s="192"/>
      <c r="I481" s="209"/>
      <c r="J481" s="208"/>
      <c r="L481" s="47"/>
    </row>
    <row r="482" spans="2:12" ht="13.2">
      <c r="B482" s="113"/>
      <c r="F482" s="192"/>
      <c r="I482" s="209"/>
      <c r="J482" s="208"/>
      <c r="L482" s="47"/>
    </row>
    <row r="483" spans="2:12" ht="13.2">
      <c r="B483" s="113"/>
      <c r="F483" s="192"/>
      <c r="I483" s="209"/>
      <c r="J483" s="208"/>
      <c r="L483" s="47"/>
    </row>
    <row r="484" spans="2:12" ht="13.2">
      <c r="B484" s="113"/>
      <c r="F484" s="192"/>
      <c r="I484" s="209"/>
      <c r="J484" s="208"/>
      <c r="L484" s="47"/>
    </row>
    <row r="485" spans="2:12" ht="13.2">
      <c r="B485" s="113"/>
      <c r="F485" s="192"/>
      <c r="I485" s="209"/>
      <c r="J485" s="208"/>
      <c r="L485" s="47"/>
    </row>
    <row r="486" spans="2:12" ht="13.2">
      <c r="B486" s="113"/>
      <c r="F486" s="192"/>
      <c r="I486" s="209"/>
      <c r="J486" s="208"/>
      <c r="L486" s="47"/>
    </row>
    <row r="487" spans="2:12" ht="13.2">
      <c r="B487" s="113"/>
      <c r="F487" s="192"/>
      <c r="I487" s="209"/>
      <c r="J487" s="208"/>
      <c r="L487" s="47"/>
    </row>
    <row r="488" spans="2:12" ht="13.2">
      <c r="B488" s="113"/>
      <c r="F488" s="192"/>
      <c r="I488" s="209"/>
      <c r="J488" s="208"/>
      <c r="L488" s="47"/>
    </row>
    <row r="489" spans="2:12" ht="13.2">
      <c r="B489" s="113"/>
      <c r="F489" s="192"/>
      <c r="I489" s="209"/>
      <c r="J489" s="208"/>
      <c r="L489" s="47"/>
    </row>
    <row r="490" spans="2:12" ht="13.2">
      <c r="B490" s="113"/>
      <c r="F490" s="192"/>
      <c r="I490" s="209"/>
      <c r="J490" s="208"/>
      <c r="L490" s="47"/>
    </row>
    <row r="491" spans="2:12" ht="13.2">
      <c r="B491" s="113"/>
      <c r="F491" s="192"/>
      <c r="I491" s="209"/>
      <c r="J491" s="208"/>
      <c r="L491" s="47"/>
    </row>
    <row r="492" spans="2:12" ht="13.2">
      <c r="B492" s="113"/>
      <c r="F492" s="192"/>
      <c r="I492" s="209"/>
      <c r="J492" s="208"/>
      <c r="L492" s="47"/>
    </row>
    <row r="493" spans="2:12" ht="13.2">
      <c r="B493" s="113"/>
      <c r="F493" s="192"/>
      <c r="I493" s="209"/>
      <c r="J493" s="208"/>
      <c r="L493" s="47"/>
    </row>
    <row r="494" spans="2:12" ht="13.2">
      <c r="B494" s="113"/>
      <c r="F494" s="192"/>
      <c r="I494" s="209"/>
      <c r="J494" s="208"/>
      <c r="L494" s="47"/>
    </row>
    <row r="495" spans="2:12" ht="13.2">
      <c r="B495" s="113"/>
      <c r="F495" s="192"/>
      <c r="I495" s="209"/>
      <c r="J495" s="208"/>
      <c r="L495" s="47"/>
    </row>
    <row r="496" spans="2:12" ht="13.2">
      <c r="B496" s="113"/>
      <c r="F496" s="192"/>
      <c r="I496" s="209"/>
      <c r="J496" s="208"/>
      <c r="L496" s="47"/>
    </row>
    <row r="497" spans="2:12" ht="13.2">
      <c r="B497" s="113"/>
      <c r="F497" s="192"/>
      <c r="I497" s="209"/>
      <c r="J497" s="208"/>
      <c r="L497" s="47"/>
    </row>
    <row r="498" spans="2:12" ht="13.2">
      <c r="B498" s="113"/>
      <c r="F498" s="192"/>
      <c r="I498" s="209"/>
      <c r="J498" s="208"/>
      <c r="L498" s="47"/>
    </row>
    <row r="499" spans="2:12" ht="13.2">
      <c r="B499" s="113"/>
      <c r="F499" s="192"/>
      <c r="I499" s="209"/>
      <c r="J499" s="208"/>
      <c r="L499" s="47"/>
    </row>
    <row r="500" spans="2:12" ht="13.2">
      <c r="B500" s="113"/>
      <c r="F500" s="192"/>
      <c r="I500" s="209"/>
      <c r="J500" s="208"/>
      <c r="L500" s="47"/>
    </row>
    <row r="501" spans="2:12" ht="13.2">
      <c r="B501" s="113"/>
      <c r="F501" s="192"/>
      <c r="I501" s="209"/>
      <c r="J501" s="208"/>
      <c r="L501" s="47"/>
    </row>
    <row r="502" spans="2:12" ht="13.2">
      <c r="B502" s="113"/>
      <c r="F502" s="192"/>
      <c r="I502" s="209"/>
      <c r="J502" s="208"/>
      <c r="L502" s="47"/>
    </row>
    <row r="503" spans="2:12" ht="13.2">
      <c r="B503" s="113"/>
      <c r="F503" s="192"/>
      <c r="I503" s="209"/>
      <c r="J503" s="208"/>
      <c r="L503" s="47"/>
    </row>
    <row r="504" spans="2:12" ht="13.2">
      <c r="B504" s="113"/>
      <c r="F504" s="192"/>
      <c r="I504" s="209"/>
      <c r="J504" s="208"/>
      <c r="L504" s="47"/>
    </row>
    <row r="505" spans="2:12" ht="13.2">
      <c r="B505" s="113"/>
      <c r="F505" s="192"/>
      <c r="I505" s="209"/>
      <c r="J505" s="208"/>
      <c r="L505" s="47"/>
    </row>
    <row r="506" spans="2:12" ht="13.2">
      <c r="B506" s="113"/>
      <c r="F506" s="192"/>
      <c r="I506" s="209"/>
      <c r="J506" s="208"/>
      <c r="L506" s="47"/>
    </row>
    <row r="507" spans="2:12" ht="13.2">
      <c r="B507" s="113"/>
      <c r="F507" s="192"/>
      <c r="I507" s="209"/>
      <c r="J507" s="208"/>
      <c r="L507" s="47"/>
    </row>
    <row r="508" spans="2:12" ht="13.2">
      <c r="B508" s="113"/>
      <c r="F508" s="192"/>
      <c r="I508" s="209"/>
      <c r="J508" s="208"/>
      <c r="L508" s="47"/>
    </row>
    <row r="509" spans="2:12" ht="13.2">
      <c r="B509" s="113"/>
      <c r="F509" s="192"/>
      <c r="I509" s="209"/>
      <c r="J509" s="208"/>
      <c r="L509" s="47"/>
    </row>
    <row r="510" spans="2:12" ht="13.2">
      <c r="B510" s="113"/>
      <c r="F510" s="192"/>
      <c r="I510" s="209"/>
      <c r="J510" s="208"/>
      <c r="L510" s="47"/>
    </row>
    <row r="511" spans="2:12" ht="13.2">
      <c r="B511" s="113"/>
      <c r="F511" s="192"/>
      <c r="I511" s="209"/>
      <c r="J511" s="208"/>
      <c r="L511" s="47"/>
    </row>
    <row r="512" spans="2:12" ht="13.2">
      <c r="B512" s="113"/>
      <c r="F512" s="192"/>
      <c r="I512" s="209"/>
      <c r="J512" s="208"/>
      <c r="L512" s="47"/>
    </row>
    <row r="513" spans="2:12" ht="13.2">
      <c r="B513" s="113"/>
      <c r="F513" s="192"/>
      <c r="I513" s="209"/>
      <c r="J513" s="208"/>
      <c r="L513" s="47"/>
    </row>
    <row r="514" spans="2:12" ht="13.2">
      <c r="B514" s="113"/>
      <c r="F514" s="192"/>
      <c r="I514" s="209"/>
      <c r="J514" s="208"/>
      <c r="L514" s="47"/>
    </row>
    <row r="515" spans="2:12" ht="13.2">
      <c r="B515" s="113"/>
      <c r="F515" s="192"/>
      <c r="I515" s="209"/>
      <c r="J515" s="208"/>
      <c r="L515" s="47"/>
    </row>
    <row r="516" spans="2:12" ht="13.2">
      <c r="B516" s="113"/>
      <c r="F516" s="192"/>
      <c r="I516" s="209"/>
      <c r="J516" s="208"/>
      <c r="L516" s="47"/>
    </row>
    <row r="517" spans="2:12" ht="13.2">
      <c r="B517" s="113"/>
      <c r="F517" s="192"/>
      <c r="I517" s="209"/>
      <c r="J517" s="208"/>
      <c r="L517" s="47"/>
    </row>
    <row r="518" spans="2:12" ht="13.2">
      <c r="B518" s="113"/>
      <c r="F518" s="192"/>
      <c r="I518" s="209"/>
      <c r="J518" s="208"/>
      <c r="L518" s="47"/>
    </row>
    <row r="519" spans="2:12" ht="13.2">
      <c r="B519" s="113"/>
      <c r="F519" s="192"/>
      <c r="I519" s="209"/>
      <c r="J519" s="208"/>
      <c r="L519" s="47"/>
    </row>
    <row r="520" spans="2:12" ht="13.2">
      <c r="B520" s="113"/>
      <c r="F520" s="192"/>
      <c r="I520" s="209"/>
      <c r="J520" s="208"/>
      <c r="L520" s="47"/>
    </row>
    <row r="521" spans="2:12" ht="13.2">
      <c r="B521" s="113"/>
      <c r="F521" s="192"/>
      <c r="I521" s="209"/>
      <c r="J521" s="208"/>
      <c r="L521" s="47"/>
    </row>
    <row r="522" spans="2:12" ht="13.2">
      <c r="B522" s="113"/>
      <c r="F522" s="192"/>
      <c r="I522" s="209"/>
      <c r="J522" s="208"/>
      <c r="L522" s="47"/>
    </row>
    <row r="523" spans="2:12" ht="13.2">
      <c r="B523" s="113"/>
      <c r="F523" s="192"/>
      <c r="I523" s="209"/>
      <c r="J523" s="208"/>
      <c r="L523" s="47"/>
    </row>
    <row r="524" spans="2:12" ht="13.2">
      <c r="B524" s="113"/>
      <c r="F524" s="192"/>
      <c r="I524" s="209"/>
      <c r="J524" s="208"/>
      <c r="L524" s="47"/>
    </row>
    <row r="525" spans="2:12" ht="13.2">
      <c r="B525" s="113"/>
      <c r="F525" s="192"/>
      <c r="I525" s="209"/>
      <c r="J525" s="208"/>
      <c r="L525" s="47"/>
    </row>
    <row r="526" spans="2:12" ht="13.2">
      <c r="B526" s="113"/>
      <c r="F526" s="192"/>
      <c r="I526" s="209"/>
      <c r="J526" s="208"/>
      <c r="L526" s="47"/>
    </row>
    <row r="527" spans="2:12" ht="13.2">
      <c r="B527" s="113"/>
      <c r="F527" s="192"/>
      <c r="I527" s="209"/>
      <c r="J527" s="208"/>
      <c r="L527" s="47"/>
    </row>
    <row r="528" spans="2:12" ht="13.2">
      <c r="B528" s="113"/>
      <c r="F528" s="192"/>
      <c r="I528" s="209"/>
      <c r="J528" s="208"/>
      <c r="L528" s="47"/>
    </row>
    <row r="529" spans="2:12" ht="13.2">
      <c r="B529" s="113"/>
      <c r="F529" s="192"/>
      <c r="I529" s="209"/>
      <c r="J529" s="208"/>
      <c r="L529" s="47"/>
    </row>
    <row r="530" spans="2:12" ht="13.2">
      <c r="B530" s="113"/>
      <c r="F530" s="192"/>
      <c r="I530" s="209"/>
      <c r="J530" s="208"/>
      <c r="L530" s="47"/>
    </row>
    <row r="531" spans="2:12" ht="13.2">
      <c r="B531" s="113"/>
      <c r="F531" s="192"/>
      <c r="I531" s="209"/>
      <c r="J531" s="208"/>
      <c r="L531" s="47"/>
    </row>
    <row r="532" spans="2:12" ht="13.2">
      <c r="B532" s="113"/>
      <c r="F532" s="192"/>
      <c r="I532" s="209"/>
      <c r="J532" s="208"/>
      <c r="L532" s="47"/>
    </row>
    <row r="533" spans="2:12" ht="13.2">
      <c r="B533" s="113"/>
      <c r="F533" s="192"/>
      <c r="I533" s="209"/>
      <c r="J533" s="208"/>
      <c r="L533" s="47"/>
    </row>
    <row r="534" spans="2:12" ht="13.2">
      <c r="B534" s="113"/>
      <c r="F534" s="192"/>
      <c r="I534" s="209"/>
      <c r="J534" s="208"/>
      <c r="L534" s="47"/>
    </row>
    <row r="535" spans="2:12" ht="13.2">
      <c r="B535" s="113"/>
      <c r="F535" s="192"/>
      <c r="I535" s="209"/>
      <c r="J535" s="208"/>
      <c r="L535" s="47"/>
    </row>
    <row r="536" spans="2:12" ht="13.2">
      <c r="B536" s="113"/>
      <c r="F536" s="192"/>
      <c r="I536" s="209"/>
      <c r="J536" s="208"/>
      <c r="L536" s="47"/>
    </row>
    <row r="537" spans="2:12" ht="13.2">
      <c r="B537" s="113"/>
      <c r="F537" s="192"/>
      <c r="I537" s="209"/>
      <c r="J537" s="208"/>
      <c r="L537" s="47"/>
    </row>
    <row r="538" spans="2:12" ht="13.2">
      <c r="B538" s="113"/>
      <c r="F538" s="192"/>
      <c r="I538" s="209"/>
      <c r="J538" s="208"/>
      <c r="L538" s="47"/>
    </row>
    <row r="539" spans="2:12" ht="13.2">
      <c r="B539" s="113"/>
      <c r="F539" s="192"/>
      <c r="I539" s="209"/>
      <c r="J539" s="208"/>
      <c r="L539" s="47"/>
    </row>
    <row r="540" spans="2:12" ht="13.2">
      <c r="B540" s="113"/>
      <c r="F540" s="192"/>
      <c r="I540" s="209"/>
      <c r="J540" s="208"/>
      <c r="L540" s="47"/>
    </row>
    <row r="541" spans="2:12" ht="13.2">
      <c r="B541" s="113"/>
      <c r="F541" s="192"/>
      <c r="I541" s="209"/>
      <c r="J541" s="208"/>
      <c r="L541" s="47"/>
    </row>
    <row r="542" spans="2:12" ht="13.2">
      <c r="B542" s="113"/>
      <c r="F542" s="192"/>
      <c r="I542" s="209"/>
      <c r="J542" s="208"/>
      <c r="L542" s="47"/>
    </row>
    <row r="543" spans="2:12" ht="13.2">
      <c r="B543" s="113"/>
      <c r="F543" s="192"/>
      <c r="I543" s="209"/>
      <c r="J543" s="208"/>
      <c r="L543" s="47"/>
    </row>
    <row r="544" spans="2:12" ht="13.2">
      <c r="B544" s="113"/>
      <c r="F544" s="192"/>
      <c r="I544" s="209"/>
      <c r="J544" s="208"/>
      <c r="L544" s="47"/>
    </row>
    <row r="545" spans="2:12" ht="13.2">
      <c r="B545" s="113"/>
      <c r="F545" s="192"/>
      <c r="I545" s="209"/>
      <c r="J545" s="208"/>
      <c r="L545" s="47"/>
    </row>
    <row r="546" spans="2:12" ht="13.2">
      <c r="B546" s="113"/>
      <c r="F546" s="192"/>
      <c r="I546" s="209"/>
      <c r="J546" s="208"/>
      <c r="L546" s="47"/>
    </row>
    <row r="547" spans="2:12" ht="13.2">
      <c r="B547" s="113"/>
      <c r="F547" s="192"/>
      <c r="I547" s="209"/>
      <c r="J547" s="208"/>
      <c r="L547" s="47"/>
    </row>
    <row r="548" spans="2:12" ht="13.2">
      <c r="B548" s="113"/>
      <c r="F548" s="192"/>
      <c r="I548" s="209"/>
      <c r="J548" s="208"/>
      <c r="L548" s="47"/>
    </row>
    <row r="549" spans="2:12" ht="13.2">
      <c r="B549" s="113"/>
      <c r="F549" s="192"/>
      <c r="I549" s="209"/>
      <c r="J549" s="208"/>
      <c r="L549" s="47"/>
    </row>
    <row r="550" spans="2:12" ht="13.2">
      <c r="B550" s="113"/>
      <c r="F550" s="192"/>
      <c r="I550" s="209"/>
      <c r="J550" s="208"/>
      <c r="L550" s="47"/>
    </row>
    <row r="551" spans="2:12" ht="13.2">
      <c r="B551" s="113"/>
      <c r="F551" s="192"/>
      <c r="I551" s="209"/>
      <c r="J551" s="208"/>
      <c r="L551" s="47"/>
    </row>
    <row r="552" spans="2:12" ht="13.2">
      <c r="B552" s="113"/>
      <c r="F552" s="192"/>
      <c r="I552" s="209"/>
      <c r="J552" s="208"/>
      <c r="L552" s="47"/>
    </row>
    <row r="553" spans="2:12" ht="13.2">
      <c r="B553" s="113"/>
      <c r="F553" s="192"/>
      <c r="I553" s="209"/>
      <c r="J553" s="208"/>
      <c r="L553" s="47"/>
    </row>
    <row r="554" spans="2:12" ht="13.2">
      <c r="B554" s="113"/>
      <c r="F554" s="192"/>
      <c r="I554" s="209"/>
      <c r="J554" s="208"/>
      <c r="L554" s="47"/>
    </row>
    <row r="555" spans="2:12" ht="13.2">
      <c r="B555" s="113"/>
      <c r="F555" s="192"/>
      <c r="I555" s="209"/>
      <c r="J555" s="208"/>
      <c r="L555" s="47"/>
    </row>
    <row r="556" spans="2:12" ht="13.2">
      <c r="B556" s="113"/>
      <c r="F556" s="192"/>
      <c r="I556" s="209"/>
      <c r="J556" s="208"/>
      <c r="L556" s="47"/>
    </row>
    <row r="557" spans="2:12" ht="13.2">
      <c r="B557" s="113"/>
      <c r="F557" s="192"/>
      <c r="I557" s="209"/>
      <c r="J557" s="208"/>
      <c r="L557" s="47"/>
    </row>
    <row r="558" spans="2:12" ht="13.2">
      <c r="B558" s="113"/>
      <c r="F558" s="192"/>
      <c r="I558" s="209"/>
      <c r="J558" s="208"/>
      <c r="L558" s="47"/>
    </row>
    <row r="559" spans="2:12" ht="13.2">
      <c r="B559" s="113"/>
      <c r="F559" s="192"/>
      <c r="I559" s="209"/>
      <c r="J559" s="208"/>
      <c r="L559" s="47"/>
    </row>
    <row r="560" spans="2:12" ht="13.2">
      <c r="B560" s="113"/>
      <c r="F560" s="192"/>
      <c r="I560" s="209"/>
      <c r="J560" s="208"/>
      <c r="L560" s="47"/>
    </row>
    <row r="561" spans="2:12" ht="13.2">
      <c r="B561" s="113"/>
      <c r="F561" s="192"/>
      <c r="I561" s="209"/>
      <c r="J561" s="208"/>
      <c r="L561" s="47"/>
    </row>
    <row r="562" spans="2:12" ht="13.2">
      <c r="B562" s="113"/>
      <c r="F562" s="192"/>
      <c r="I562" s="209"/>
      <c r="J562" s="208"/>
      <c r="L562" s="47"/>
    </row>
    <row r="563" spans="2:12" ht="13.2">
      <c r="B563" s="113"/>
      <c r="F563" s="192"/>
      <c r="I563" s="209"/>
      <c r="J563" s="208"/>
      <c r="L563" s="47"/>
    </row>
    <row r="564" spans="2:12" ht="13.2">
      <c r="B564" s="113"/>
      <c r="F564" s="192"/>
      <c r="I564" s="209"/>
      <c r="J564" s="208"/>
      <c r="L564" s="47"/>
    </row>
    <row r="565" spans="2:12" ht="13.2">
      <c r="B565" s="113"/>
      <c r="F565" s="192"/>
      <c r="I565" s="209"/>
      <c r="J565" s="208"/>
      <c r="L565" s="47"/>
    </row>
    <row r="566" spans="2:12" ht="13.2">
      <c r="B566" s="113"/>
      <c r="F566" s="192"/>
      <c r="I566" s="209"/>
      <c r="J566" s="208"/>
      <c r="L566" s="47"/>
    </row>
    <row r="567" spans="2:12" ht="13.2">
      <c r="B567" s="113"/>
      <c r="F567" s="192"/>
      <c r="I567" s="209"/>
      <c r="J567" s="208"/>
      <c r="L567" s="47"/>
    </row>
    <row r="568" spans="2:12" ht="13.2">
      <c r="B568" s="113"/>
      <c r="F568" s="192"/>
      <c r="I568" s="209"/>
      <c r="J568" s="208"/>
      <c r="L568" s="47"/>
    </row>
    <row r="569" spans="2:12" ht="13.2">
      <c r="B569" s="113"/>
      <c r="F569" s="192"/>
      <c r="I569" s="209"/>
      <c r="J569" s="208"/>
      <c r="L569" s="47"/>
    </row>
    <row r="570" spans="2:12" ht="13.2">
      <c r="B570" s="113"/>
      <c r="F570" s="192"/>
      <c r="I570" s="209"/>
      <c r="J570" s="208"/>
      <c r="L570" s="47"/>
    </row>
    <row r="571" spans="2:12" ht="13.2">
      <c r="B571" s="113"/>
      <c r="F571" s="192"/>
      <c r="I571" s="209"/>
      <c r="J571" s="208"/>
      <c r="L571" s="47"/>
    </row>
    <row r="572" spans="2:12" ht="13.2">
      <c r="B572" s="113"/>
      <c r="F572" s="192"/>
      <c r="I572" s="209"/>
      <c r="J572" s="208"/>
      <c r="L572" s="47"/>
    </row>
    <row r="573" spans="2:12" ht="13.2">
      <c r="B573" s="113"/>
      <c r="F573" s="192"/>
      <c r="I573" s="209"/>
      <c r="J573" s="208"/>
      <c r="L573" s="47"/>
    </row>
    <row r="574" spans="2:12" ht="13.2">
      <c r="B574" s="113"/>
      <c r="F574" s="192"/>
      <c r="I574" s="209"/>
      <c r="J574" s="208"/>
      <c r="L574" s="47"/>
    </row>
    <row r="575" spans="2:12" ht="13.2">
      <c r="B575" s="113"/>
      <c r="F575" s="192"/>
      <c r="I575" s="209"/>
      <c r="J575" s="208"/>
      <c r="L575" s="47"/>
    </row>
    <row r="576" spans="2:12" ht="13.2">
      <c r="B576" s="113"/>
      <c r="F576" s="192"/>
      <c r="I576" s="209"/>
      <c r="J576" s="208"/>
      <c r="L576" s="47"/>
    </row>
    <row r="577" spans="2:12" ht="13.2">
      <c r="B577" s="113"/>
      <c r="F577" s="192"/>
      <c r="I577" s="209"/>
      <c r="J577" s="208"/>
      <c r="L577" s="47"/>
    </row>
    <row r="578" spans="2:12" ht="13.2">
      <c r="B578" s="113"/>
      <c r="F578" s="192"/>
      <c r="I578" s="209"/>
      <c r="J578" s="208"/>
      <c r="L578" s="47"/>
    </row>
    <row r="579" spans="2:12" ht="13.2">
      <c r="B579" s="113"/>
      <c r="F579" s="192"/>
      <c r="I579" s="209"/>
      <c r="J579" s="208"/>
      <c r="L579" s="47"/>
    </row>
    <row r="580" spans="2:12" ht="13.2">
      <c r="B580" s="113"/>
      <c r="F580" s="192"/>
      <c r="I580" s="209"/>
      <c r="J580" s="208"/>
      <c r="L580" s="47"/>
    </row>
    <row r="581" spans="2:12" ht="13.2">
      <c r="B581" s="113"/>
      <c r="F581" s="192"/>
      <c r="I581" s="209"/>
      <c r="J581" s="208"/>
      <c r="L581" s="47"/>
    </row>
    <row r="582" spans="2:12" ht="13.2">
      <c r="B582" s="113"/>
      <c r="F582" s="192"/>
      <c r="I582" s="209"/>
      <c r="J582" s="208"/>
      <c r="L582" s="47"/>
    </row>
    <row r="583" spans="2:12" ht="13.2">
      <c r="B583" s="113"/>
      <c r="F583" s="192"/>
      <c r="I583" s="209"/>
      <c r="J583" s="208"/>
      <c r="L583" s="47"/>
    </row>
    <row r="584" spans="2:12" ht="13.2">
      <c r="B584" s="113"/>
      <c r="F584" s="192"/>
      <c r="I584" s="209"/>
      <c r="J584" s="208"/>
      <c r="L584" s="47"/>
    </row>
    <row r="585" spans="2:12" ht="13.2">
      <c r="B585" s="113"/>
      <c r="F585" s="192"/>
      <c r="I585" s="209"/>
      <c r="J585" s="208"/>
      <c r="L585" s="47"/>
    </row>
    <row r="586" spans="2:12" ht="13.2">
      <c r="B586" s="113"/>
      <c r="F586" s="192"/>
      <c r="I586" s="209"/>
      <c r="J586" s="208"/>
      <c r="L586" s="47"/>
    </row>
    <row r="587" spans="2:12" ht="13.2">
      <c r="B587" s="113"/>
      <c r="F587" s="192"/>
      <c r="I587" s="209"/>
      <c r="J587" s="208"/>
      <c r="L587" s="47"/>
    </row>
    <row r="588" spans="2:12" ht="13.2">
      <c r="B588" s="113"/>
      <c r="F588" s="192"/>
      <c r="I588" s="209"/>
      <c r="J588" s="208"/>
      <c r="L588" s="47"/>
    </row>
    <row r="589" spans="2:12" ht="13.2">
      <c r="B589" s="113"/>
      <c r="F589" s="192"/>
      <c r="I589" s="209"/>
      <c r="J589" s="208"/>
      <c r="L589" s="47"/>
    </row>
    <row r="590" spans="2:12" ht="13.2">
      <c r="B590" s="113"/>
      <c r="F590" s="192"/>
      <c r="I590" s="209"/>
      <c r="J590" s="208"/>
      <c r="L590" s="47"/>
    </row>
    <row r="591" spans="2:12" ht="13.2">
      <c r="B591" s="113"/>
      <c r="F591" s="192"/>
      <c r="I591" s="209"/>
      <c r="J591" s="208"/>
      <c r="L591" s="47"/>
    </row>
    <row r="592" spans="2:12" ht="13.2">
      <c r="B592" s="113"/>
      <c r="F592" s="192"/>
      <c r="I592" s="209"/>
      <c r="J592" s="208"/>
      <c r="L592" s="47"/>
    </row>
    <row r="593" spans="2:12" ht="13.2">
      <c r="B593" s="113"/>
      <c r="F593" s="192"/>
      <c r="I593" s="209"/>
      <c r="J593" s="208"/>
      <c r="L593" s="47"/>
    </row>
    <row r="594" spans="2:12" ht="13.2">
      <c r="B594" s="113"/>
      <c r="F594" s="192"/>
      <c r="I594" s="209"/>
      <c r="J594" s="208"/>
      <c r="L594" s="47"/>
    </row>
    <row r="595" spans="2:12" ht="13.2">
      <c r="B595" s="113"/>
      <c r="F595" s="192"/>
      <c r="I595" s="209"/>
      <c r="J595" s="208"/>
      <c r="L595" s="47"/>
    </row>
    <row r="596" spans="2:12" ht="13.2">
      <c r="B596" s="113"/>
      <c r="F596" s="192"/>
      <c r="I596" s="209"/>
      <c r="J596" s="208"/>
      <c r="L596" s="47"/>
    </row>
    <row r="597" spans="2:12" ht="13.2">
      <c r="B597" s="113"/>
      <c r="F597" s="192"/>
      <c r="I597" s="209"/>
      <c r="J597" s="208"/>
      <c r="L597" s="47"/>
    </row>
    <row r="598" spans="2:12" ht="13.2">
      <c r="B598" s="113"/>
      <c r="F598" s="192"/>
      <c r="I598" s="209"/>
      <c r="J598" s="208"/>
      <c r="L598" s="47"/>
    </row>
    <row r="599" spans="2:12" ht="13.2">
      <c r="B599" s="113"/>
      <c r="F599" s="192"/>
      <c r="I599" s="209"/>
      <c r="J599" s="208"/>
      <c r="L599" s="47"/>
    </row>
    <row r="600" spans="2:12" ht="13.2">
      <c r="B600" s="113"/>
      <c r="F600" s="192"/>
      <c r="I600" s="209"/>
      <c r="J600" s="208"/>
      <c r="L600" s="47"/>
    </row>
    <row r="601" spans="2:12" ht="13.2">
      <c r="B601" s="113"/>
      <c r="F601" s="192"/>
      <c r="I601" s="209"/>
      <c r="J601" s="208"/>
      <c r="L601" s="47"/>
    </row>
    <row r="602" spans="2:12" ht="13.2">
      <c r="B602" s="113"/>
      <c r="F602" s="192"/>
      <c r="I602" s="209"/>
      <c r="J602" s="208"/>
      <c r="L602" s="47"/>
    </row>
    <row r="603" spans="2:12" ht="13.2">
      <c r="B603" s="113"/>
      <c r="F603" s="192"/>
      <c r="I603" s="209"/>
      <c r="J603" s="208"/>
      <c r="L603" s="47"/>
    </row>
    <row r="604" spans="2:12" ht="13.2">
      <c r="B604" s="113"/>
      <c r="F604" s="192"/>
      <c r="I604" s="209"/>
      <c r="J604" s="208"/>
      <c r="L604" s="47"/>
    </row>
    <row r="605" spans="2:12" ht="13.2">
      <c r="B605" s="113"/>
      <c r="F605" s="192"/>
      <c r="I605" s="209"/>
      <c r="J605" s="208"/>
      <c r="L605" s="47"/>
    </row>
    <row r="606" spans="2:12" ht="13.2">
      <c r="B606" s="113"/>
      <c r="F606" s="192"/>
      <c r="I606" s="209"/>
      <c r="J606" s="208"/>
      <c r="L606" s="47"/>
    </row>
    <row r="607" spans="2:12" ht="13.2">
      <c r="B607" s="113"/>
      <c r="F607" s="192"/>
      <c r="I607" s="209"/>
      <c r="J607" s="208"/>
      <c r="L607" s="47"/>
    </row>
    <row r="608" spans="2:12" ht="13.2">
      <c r="B608" s="113"/>
      <c r="F608" s="192"/>
      <c r="I608" s="209"/>
      <c r="J608" s="208"/>
      <c r="L608" s="47"/>
    </row>
    <row r="609" spans="2:12" ht="13.2">
      <c r="B609" s="113"/>
      <c r="F609" s="192"/>
      <c r="I609" s="209"/>
      <c r="J609" s="208"/>
      <c r="L609" s="47"/>
    </row>
    <row r="610" spans="2:12" ht="13.2">
      <c r="B610" s="113"/>
      <c r="F610" s="192"/>
      <c r="I610" s="209"/>
      <c r="J610" s="208"/>
      <c r="L610" s="47"/>
    </row>
    <row r="611" spans="2:12" ht="13.2">
      <c r="B611" s="113"/>
      <c r="F611" s="192"/>
      <c r="I611" s="209"/>
      <c r="J611" s="208"/>
      <c r="L611" s="47"/>
    </row>
    <row r="612" spans="2:12" ht="13.2">
      <c r="B612" s="113"/>
      <c r="F612" s="192"/>
      <c r="I612" s="209"/>
      <c r="J612" s="208"/>
      <c r="L612" s="47"/>
    </row>
    <row r="613" spans="2:12" ht="13.2">
      <c r="B613" s="113"/>
      <c r="F613" s="192"/>
      <c r="I613" s="209"/>
      <c r="J613" s="208"/>
      <c r="L613" s="47"/>
    </row>
    <row r="614" spans="2:12" ht="13.2">
      <c r="B614" s="113"/>
      <c r="F614" s="192"/>
      <c r="I614" s="209"/>
      <c r="J614" s="208"/>
      <c r="L614" s="47"/>
    </row>
    <row r="615" spans="2:12" ht="13.2">
      <c r="B615" s="113"/>
      <c r="F615" s="192"/>
      <c r="I615" s="209"/>
      <c r="J615" s="208"/>
      <c r="L615" s="47"/>
    </row>
    <row r="616" spans="2:12" ht="13.2">
      <c r="B616" s="113"/>
      <c r="F616" s="192"/>
      <c r="I616" s="209"/>
      <c r="J616" s="208"/>
      <c r="L616" s="47"/>
    </row>
    <row r="617" spans="2:12" ht="13.2">
      <c r="B617" s="113"/>
      <c r="F617" s="192"/>
      <c r="I617" s="209"/>
      <c r="J617" s="208"/>
      <c r="L617" s="47"/>
    </row>
    <row r="618" spans="2:12" ht="13.2">
      <c r="B618" s="113"/>
      <c r="F618" s="192"/>
      <c r="I618" s="209"/>
      <c r="J618" s="208"/>
      <c r="L618" s="47"/>
    </row>
    <row r="619" spans="2:12" ht="13.2">
      <c r="B619" s="113"/>
      <c r="F619" s="192"/>
      <c r="I619" s="209"/>
      <c r="J619" s="208"/>
      <c r="L619" s="47"/>
    </row>
    <row r="620" spans="2:12" ht="13.2">
      <c r="B620" s="113"/>
      <c r="F620" s="192"/>
      <c r="I620" s="209"/>
      <c r="J620" s="208"/>
      <c r="L620" s="47"/>
    </row>
    <row r="621" spans="2:12" ht="13.2">
      <c r="B621" s="113"/>
      <c r="F621" s="192"/>
      <c r="I621" s="209"/>
      <c r="J621" s="208"/>
      <c r="L621" s="47"/>
    </row>
    <row r="622" spans="2:12" ht="13.2">
      <c r="B622" s="113"/>
      <c r="F622" s="192"/>
      <c r="I622" s="209"/>
      <c r="J622" s="208"/>
      <c r="L622" s="47"/>
    </row>
    <row r="623" spans="2:12" ht="13.2">
      <c r="B623" s="113"/>
      <c r="F623" s="192"/>
      <c r="I623" s="209"/>
      <c r="J623" s="208"/>
      <c r="L623" s="47"/>
    </row>
    <row r="624" spans="2:12" ht="13.2">
      <c r="B624" s="113"/>
      <c r="F624" s="192"/>
      <c r="I624" s="209"/>
      <c r="J624" s="208"/>
      <c r="L624" s="47"/>
    </row>
    <row r="625" spans="2:12" ht="13.2">
      <c r="B625" s="113"/>
      <c r="F625" s="192"/>
      <c r="I625" s="209"/>
      <c r="J625" s="208"/>
      <c r="L625" s="47"/>
    </row>
    <row r="626" spans="2:12" ht="13.2">
      <c r="B626" s="113"/>
      <c r="F626" s="192"/>
      <c r="I626" s="209"/>
      <c r="J626" s="208"/>
      <c r="L626" s="47"/>
    </row>
    <row r="627" spans="2:12" ht="13.2">
      <c r="B627" s="113"/>
      <c r="F627" s="192"/>
      <c r="I627" s="209"/>
      <c r="J627" s="208"/>
      <c r="L627" s="47"/>
    </row>
    <row r="628" spans="2:12" ht="13.2">
      <c r="B628" s="113"/>
      <c r="F628" s="192"/>
      <c r="I628" s="209"/>
      <c r="J628" s="208"/>
      <c r="L628" s="47"/>
    </row>
    <row r="629" spans="2:12" ht="13.2">
      <c r="B629" s="113"/>
      <c r="F629" s="192"/>
      <c r="I629" s="209"/>
      <c r="J629" s="208"/>
      <c r="L629" s="47"/>
    </row>
    <row r="630" spans="2:12" ht="13.2">
      <c r="B630" s="113"/>
      <c r="F630" s="192"/>
      <c r="I630" s="209"/>
      <c r="J630" s="208"/>
      <c r="L630" s="47"/>
    </row>
    <row r="631" spans="2:12" ht="13.2">
      <c r="B631" s="113"/>
      <c r="F631" s="192"/>
      <c r="I631" s="209"/>
      <c r="J631" s="208"/>
      <c r="L631" s="47"/>
    </row>
    <row r="632" spans="2:12" ht="13.2">
      <c r="B632" s="113"/>
      <c r="F632" s="192"/>
      <c r="I632" s="209"/>
      <c r="J632" s="208"/>
      <c r="L632" s="47"/>
    </row>
    <row r="633" spans="2:12" ht="13.2">
      <c r="B633" s="113"/>
      <c r="F633" s="192"/>
      <c r="I633" s="209"/>
      <c r="J633" s="208"/>
      <c r="L633" s="47"/>
    </row>
    <row r="634" spans="2:12" ht="13.2">
      <c r="B634" s="113"/>
      <c r="F634" s="192"/>
      <c r="I634" s="209"/>
      <c r="J634" s="208"/>
      <c r="L634" s="47"/>
    </row>
    <row r="635" spans="2:12" ht="13.2">
      <c r="B635" s="113"/>
      <c r="F635" s="192"/>
      <c r="I635" s="209"/>
      <c r="J635" s="208"/>
      <c r="L635" s="47"/>
    </row>
    <row r="636" spans="2:12" ht="13.2">
      <c r="B636" s="113"/>
      <c r="F636" s="192"/>
      <c r="I636" s="209"/>
      <c r="J636" s="208"/>
      <c r="L636" s="47"/>
    </row>
    <row r="637" spans="2:12" ht="13.2">
      <c r="B637" s="113"/>
      <c r="F637" s="192"/>
      <c r="I637" s="209"/>
      <c r="J637" s="208"/>
      <c r="L637" s="47"/>
    </row>
    <row r="638" spans="2:12" ht="13.2">
      <c r="B638" s="113"/>
      <c r="F638" s="192"/>
      <c r="I638" s="209"/>
      <c r="J638" s="208"/>
      <c r="L638" s="47"/>
    </row>
    <row r="639" spans="2:12" ht="13.2">
      <c r="B639" s="113"/>
      <c r="F639" s="192"/>
      <c r="I639" s="209"/>
      <c r="J639" s="208"/>
      <c r="L639" s="47"/>
    </row>
    <row r="640" spans="2:12" ht="13.2">
      <c r="B640" s="113"/>
      <c r="F640" s="192"/>
      <c r="I640" s="209"/>
      <c r="J640" s="208"/>
      <c r="L640" s="47"/>
    </row>
    <row r="641" spans="2:12" ht="13.2">
      <c r="B641" s="113"/>
      <c r="F641" s="192"/>
      <c r="I641" s="209"/>
      <c r="J641" s="208"/>
      <c r="L641" s="47"/>
    </row>
    <row r="642" spans="2:12" ht="13.2">
      <c r="B642" s="113"/>
      <c r="F642" s="192"/>
      <c r="I642" s="209"/>
      <c r="J642" s="208"/>
      <c r="L642" s="47"/>
    </row>
    <row r="643" spans="2:12" ht="13.2">
      <c r="B643" s="113"/>
      <c r="F643" s="192"/>
      <c r="I643" s="209"/>
      <c r="J643" s="208"/>
      <c r="L643" s="47"/>
    </row>
    <row r="644" spans="2:12" ht="13.2">
      <c r="B644" s="113"/>
      <c r="F644" s="192"/>
      <c r="I644" s="209"/>
      <c r="J644" s="208"/>
      <c r="L644" s="47"/>
    </row>
    <row r="645" spans="2:12" ht="13.2">
      <c r="B645" s="113"/>
      <c r="F645" s="192"/>
      <c r="I645" s="209"/>
      <c r="J645" s="208"/>
      <c r="L645" s="47"/>
    </row>
    <row r="646" spans="2:12" ht="13.2">
      <c r="B646" s="113"/>
      <c r="F646" s="192"/>
      <c r="I646" s="209"/>
      <c r="J646" s="208"/>
      <c r="L646" s="47"/>
    </row>
    <row r="647" spans="2:12" ht="13.2">
      <c r="B647" s="113"/>
      <c r="F647" s="192"/>
      <c r="I647" s="209"/>
      <c r="J647" s="208"/>
      <c r="L647" s="47"/>
    </row>
    <row r="648" spans="2:12" ht="13.2">
      <c r="B648" s="113"/>
      <c r="F648" s="192"/>
      <c r="I648" s="209"/>
      <c r="J648" s="208"/>
      <c r="L648" s="47"/>
    </row>
    <row r="649" spans="2:12" ht="13.2">
      <c r="B649" s="113"/>
      <c r="F649" s="192"/>
      <c r="I649" s="209"/>
      <c r="J649" s="208"/>
      <c r="L649" s="47"/>
    </row>
    <row r="650" spans="2:12" ht="13.2">
      <c r="B650" s="113"/>
      <c r="F650" s="192"/>
      <c r="I650" s="209"/>
      <c r="J650" s="208"/>
      <c r="L650" s="47"/>
    </row>
    <row r="651" spans="2:12" ht="13.2">
      <c r="B651" s="113"/>
      <c r="F651" s="192"/>
      <c r="I651" s="209"/>
      <c r="J651" s="208"/>
      <c r="L651" s="47"/>
    </row>
    <row r="652" spans="2:12" ht="13.2">
      <c r="B652" s="113"/>
      <c r="F652" s="192"/>
      <c r="I652" s="209"/>
      <c r="J652" s="208"/>
      <c r="L652" s="47"/>
    </row>
    <row r="653" spans="2:12" ht="13.2">
      <c r="B653" s="113"/>
      <c r="F653" s="192"/>
      <c r="I653" s="209"/>
      <c r="J653" s="208"/>
      <c r="L653" s="47"/>
    </row>
    <row r="654" spans="2:12" ht="13.2">
      <c r="B654" s="113"/>
      <c r="F654" s="192"/>
      <c r="I654" s="209"/>
      <c r="J654" s="208"/>
      <c r="L654" s="47"/>
    </row>
    <row r="655" spans="2:12" ht="13.2">
      <c r="B655" s="113"/>
      <c r="F655" s="192"/>
      <c r="I655" s="209"/>
      <c r="J655" s="208"/>
      <c r="L655" s="47"/>
    </row>
    <row r="656" spans="2:12" ht="13.2">
      <c r="B656" s="113"/>
      <c r="F656" s="192"/>
      <c r="I656" s="209"/>
      <c r="J656" s="208"/>
      <c r="L656" s="47"/>
    </row>
    <row r="657" spans="2:12" ht="13.2">
      <c r="B657" s="113"/>
      <c r="F657" s="192"/>
      <c r="I657" s="209"/>
      <c r="J657" s="208"/>
      <c r="L657" s="47"/>
    </row>
    <row r="658" spans="2:12" ht="13.2">
      <c r="B658" s="113"/>
      <c r="F658" s="192"/>
      <c r="I658" s="209"/>
      <c r="J658" s="208"/>
      <c r="L658" s="47"/>
    </row>
    <row r="659" spans="2:12" ht="13.2">
      <c r="B659" s="113"/>
      <c r="F659" s="192"/>
      <c r="I659" s="209"/>
      <c r="J659" s="208"/>
      <c r="L659" s="47"/>
    </row>
    <row r="660" spans="2:12" ht="13.2">
      <c r="B660" s="113"/>
      <c r="F660" s="192"/>
      <c r="I660" s="209"/>
      <c r="J660" s="208"/>
      <c r="L660" s="47"/>
    </row>
    <row r="661" spans="2:12" ht="13.2">
      <c r="B661" s="113"/>
      <c r="F661" s="192"/>
      <c r="I661" s="209"/>
      <c r="J661" s="208"/>
      <c r="L661" s="47"/>
    </row>
    <row r="662" spans="2:12" ht="13.2">
      <c r="B662" s="113"/>
      <c r="F662" s="192"/>
      <c r="I662" s="209"/>
      <c r="J662" s="208"/>
      <c r="L662" s="47"/>
    </row>
    <row r="663" spans="2:12" ht="13.2">
      <c r="B663" s="113"/>
      <c r="F663" s="192"/>
      <c r="I663" s="209"/>
      <c r="J663" s="208"/>
      <c r="L663" s="47"/>
    </row>
    <row r="664" spans="2:12" ht="13.2">
      <c r="B664" s="113"/>
      <c r="F664" s="192"/>
      <c r="I664" s="209"/>
      <c r="J664" s="208"/>
      <c r="L664" s="47"/>
    </row>
    <row r="665" spans="2:12" ht="13.2">
      <c r="B665" s="113"/>
      <c r="F665" s="192"/>
      <c r="I665" s="209"/>
      <c r="J665" s="208"/>
      <c r="L665" s="47"/>
    </row>
    <row r="666" spans="2:12" ht="13.2">
      <c r="B666" s="113"/>
      <c r="F666" s="192"/>
      <c r="I666" s="209"/>
      <c r="J666" s="208"/>
      <c r="L666" s="47"/>
    </row>
    <row r="667" spans="2:12" ht="13.2">
      <c r="B667" s="113"/>
      <c r="F667" s="192"/>
      <c r="I667" s="209"/>
      <c r="J667" s="208"/>
      <c r="L667" s="47"/>
    </row>
    <row r="668" spans="2:12" ht="13.2">
      <c r="B668" s="113"/>
      <c r="F668" s="192"/>
      <c r="I668" s="209"/>
      <c r="J668" s="208"/>
      <c r="L668" s="47"/>
    </row>
    <row r="669" spans="2:12" ht="13.2">
      <c r="B669" s="113"/>
      <c r="F669" s="192"/>
      <c r="I669" s="209"/>
      <c r="J669" s="208"/>
      <c r="L669" s="47"/>
    </row>
    <row r="670" spans="2:12" ht="13.2">
      <c r="B670" s="113"/>
      <c r="F670" s="192"/>
      <c r="I670" s="209"/>
      <c r="J670" s="208"/>
      <c r="L670" s="47"/>
    </row>
    <row r="671" spans="2:12" ht="13.2">
      <c r="B671" s="113"/>
      <c r="F671" s="192"/>
      <c r="I671" s="209"/>
      <c r="J671" s="208"/>
      <c r="L671" s="47"/>
    </row>
    <row r="672" spans="2:12" ht="13.2">
      <c r="B672" s="113"/>
      <c r="F672" s="192"/>
      <c r="I672" s="209"/>
      <c r="J672" s="208"/>
      <c r="L672" s="47"/>
    </row>
    <row r="673" spans="2:12" ht="13.2">
      <c r="B673" s="113"/>
      <c r="F673" s="192"/>
      <c r="I673" s="209"/>
      <c r="J673" s="208"/>
      <c r="L673" s="47"/>
    </row>
    <row r="674" spans="2:12" ht="13.2">
      <c r="B674" s="113"/>
      <c r="F674" s="192"/>
      <c r="I674" s="209"/>
      <c r="J674" s="208"/>
      <c r="L674" s="47"/>
    </row>
    <row r="675" spans="2:12" ht="13.2">
      <c r="B675" s="113"/>
      <c r="F675" s="192"/>
      <c r="I675" s="209"/>
      <c r="J675" s="208"/>
      <c r="L675" s="47"/>
    </row>
    <row r="676" spans="2:12" ht="13.2">
      <c r="B676" s="113"/>
      <c r="F676" s="192"/>
      <c r="I676" s="209"/>
      <c r="J676" s="208"/>
      <c r="L676" s="47"/>
    </row>
    <row r="677" spans="2:12" ht="13.2">
      <c r="B677" s="113"/>
      <c r="F677" s="192"/>
      <c r="I677" s="209"/>
      <c r="J677" s="208"/>
      <c r="L677" s="47"/>
    </row>
    <row r="678" spans="2:12" ht="13.2">
      <c r="B678" s="113"/>
      <c r="F678" s="192"/>
      <c r="I678" s="209"/>
      <c r="J678" s="208"/>
      <c r="L678" s="47"/>
    </row>
    <row r="679" spans="2:12" ht="13.2">
      <c r="B679" s="113"/>
      <c r="F679" s="192"/>
      <c r="I679" s="209"/>
      <c r="J679" s="208"/>
      <c r="L679" s="47"/>
    </row>
    <row r="680" spans="2:12" ht="13.2">
      <c r="B680" s="113"/>
      <c r="F680" s="192"/>
      <c r="I680" s="209"/>
      <c r="J680" s="208"/>
      <c r="L680" s="47"/>
    </row>
    <row r="681" spans="2:12" ht="13.2">
      <c r="B681" s="113"/>
      <c r="F681" s="192"/>
      <c r="I681" s="209"/>
      <c r="J681" s="208"/>
      <c r="L681" s="47"/>
    </row>
    <row r="682" spans="2:12" ht="13.2">
      <c r="B682" s="113"/>
      <c r="F682" s="192"/>
      <c r="I682" s="209"/>
      <c r="J682" s="208"/>
      <c r="L682" s="47"/>
    </row>
    <row r="683" spans="2:12" ht="13.2">
      <c r="B683" s="113"/>
      <c r="F683" s="192"/>
      <c r="I683" s="209"/>
      <c r="J683" s="208"/>
      <c r="L683" s="47"/>
    </row>
    <row r="684" spans="2:12" ht="13.2">
      <c r="B684" s="113"/>
      <c r="F684" s="192"/>
      <c r="I684" s="209"/>
      <c r="J684" s="208"/>
      <c r="L684" s="47"/>
    </row>
    <row r="685" spans="2:12" ht="13.2">
      <c r="B685" s="113"/>
      <c r="F685" s="192"/>
      <c r="I685" s="209"/>
      <c r="J685" s="208"/>
      <c r="L685" s="47"/>
    </row>
    <row r="686" spans="2:12" ht="13.2">
      <c r="B686" s="113"/>
      <c r="F686" s="192"/>
      <c r="I686" s="209"/>
      <c r="J686" s="208"/>
      <c r="L686" s="47"/>
    </row>
    <row r="687" spans="2:12" ht="13.2">
      <c r="B687" s="113"/>
      <c r="F687" s="192"/>
      <c r="I687" s="209"/>
      <c r="J687" s="208"/>
      <c r="L687" s="47"/>
    </row>
    <row r="688" spans="2:12" ht="13.2">
      <c r="B688" s="113"/>
      <c r="F688" s="192"/>
      <c r="I688" s="209"/>
      <c r="J688" s="208"/>
      <c r="L688" s="47"/>
    </row>
    <row r="689" spans="2:12" ht="13.2">
      <c r="B689" s="113"/>
      <c r="F689" s="192"/>
      <c r="I689" s="209"/>
      <c r="J689" s="208"/>
      <c r="L689" s="47"/>
    </row>
    <row r="690" spans="2:12" ht="13.2">
      <c r="B690" s="113"/>
      <c r="F690" s="192"/>
      <c r="I690" s="209"/>
      <c r="J690" s="208"/>
      <c r="L690" s="47"/>
    </row>
    <row r="691" spans="2:12" ht="13.2">
      <c r="B691" s="113"/>
      <c r="F691" s="192"/>
      <c r="I691" s="209"/>
      <c r="J691" s="208"/>
      <c r="L691" s="47"/>
    </row>
    <row r="692" spans="2:12" ht="13.2">
      <c r="B692" s="113"/>
      <c r="F692" s="192"/>
      <c r="I692" s="209"/>
      <c r="J692" s="208"/>
      <c r="L692" s="47"/>
    </row>
    <row r="693" spans="2:12" ht="13.2">
      <c r="B693" s="113"/>
      <c r="F693" s="192"/>
      <c r="I693" s="209"/>
      <c r="J693" s="208"/>
      <c r="L693" s="47"/>
    </row>
    <row r="694" spans="2:12" ht="13.2">
      <c r="B694" s="113"/>
      <c r="F694" s="192"/>
      <c r="I694" s="209"/>
      <c r="J694" s="208"/>
      <c r="L694" s="47"/>
    </row>
    <row r="695" spans="2:12" ht="13.2">
      <c r="B695" s="113"/>
      <c r="F695" s="192"/>
      <c r="I695" s="209"/>
      <c r="J695" s="208"/>
      <c r="L695" s="47"/>
    </row>
    <row r="696" spans="2:12" ht="13.2">
      <c r="B696" s="113"/>
      <c r="F696" s="192"/>
      <c r="I696" s="209"/>
      <c r="J696" s="208"/>
      <c r="L696" s="47"/>
    </row>
    <row r="697" spans="2:12" ht="13.2">
      <c r="B697" s="113"/>
      <c r="F697" s="192"/>
      <c r="I697" s="209"/>
      <c r="J697" s="208"/>
      <c r="L697" s="47"/>
    </row>
    <row r="698" spans="2:12" ht="13.2">
      <c r="B698" s="113"/>
      <c r="F698" s="192"/>
      <c r="I698" s="209"/>
      <c r="J698" s="208"/>
      <c r="L698" s="47"/>
    </row>
    <row r="699" spans="2:12" ht="13.2">
      <c r="B699" s="113"/>
      <c r="F699" s="192"/>
      <c r="I699" s="209"/>
      <c r="J699" s="208"/>
      <c r="L699" s="47"/>
    </row>
    <row r="700" spans="2:12" ht="13.2">
      <c r="B700" s="113"/>
      <c r="F700" s="192"/>
      <c r="I700" s="209"/>
      <c r="J700" s="208"/>
      <c r="L700" s="47"/>
    </row>
    <row r="701" spans="2:12" ht="13.2">
      <c r="B701" s="113"/>
      <c r="F701" s="192"/>
      <c r="I701" s="209"/>
      <c r="J701" s="208"/>
      <c r="L701" s="47"/>
    </row>
    <row r="702" spans="2:12" ht="13.2">
      <c r="B702" s="113"/>
      <c r="F702" s="192"/>
      <c r="I702" s="209"/>
      <c r="J702" s="208"/>
      <c r="L702" s="47"/>
    </row>
    <row r="703" spans="2:12" ht="13.2">
      <c r="B703" s="113"/>
      <c r="F703" s="192"/>
      <c r="I703" s="209"/>
      <c r="J703" s="208"/>
      <c r="L703" s="47"/>
    </row>
    <row r="704" spans="2:12" ht="13.2">
      <c r="B704" s="113"/>
      <c r="F704" s="192"/>
      <c r="I704" s="209"/>
      <c r="J704" s="208"/>
      <c r="L704" s="47"/>
    </row>
    <row r="705" spans="2:12" ht="13.2">
      <c r="B705" s="113"/>
      <c r="F705" s="192"/>
      <c r="I705" s="209"/>
      <c r="J705" s="208"/>
      <c r="L705" s="47"/>
    </row>
    <row r="706" spans="2:12" ht="13.2">
      <c r="B706" s="113"/>
      <c r="F706" s="192"/>
      <c r="I706" s="209"/>
      <c r="J706" s="208"/>
      <c r="L706" s="47"/>
    </row>
    <row r="707" spans="2:12" ht="13.2">
      <c r="B707" s="113"/>
      <c r="F707" s="192"/>
      <c r="I707" s="209"/>
      <c r="J707" s="208"/>
      <c r="L707" s="47"/>
    </row>
    <row r="708" spans="2:12" ht="13.2">
      <c r="B708" s="113"/>
      <c r="F708" s="192"/>
      <c r="I708" s="209"/>
      <c r="J708" s="208"/>
      <c r="L708" s="47"/>
    </row>
    <row r="709" spans="2:12" ht="13.2">
      <c r="B709" s="113"/>
      <c r="F709" s="192"/>
      <c r="I709" s="209"/>
      <c r="J709" s="208"/>
      <c r="L709" s="47"/>
    </row>
    <row r="710" spans="2:12" ht="13.2">
      <c r="B710" s="113"/>
      <c r="F710" s="192"/>
      <c r="I710" s="209"/>
      <c r="J710" s="208"/>
      <c r="L710" s="47"/>
    </row>
    <row r="711" spans="2:12" ht="13.2">
      <c r="B711" s="113"/>
      <c r="F711" s="192"/>
      <c r="I711" s="209"/>
      <c r="J711" s="208"/>
      <c r="L711" s="47"/>
    </row>
    <row r="712" spans="2:12" ht="13.2">
      <c r="B712" s="113"/>
      <c r="F712" s="192"/>
      <c r="I712" s="209"/>
      <c r="J712" s="208"/>
      <c r="L712" s="47"/>
    </row>
    <row r="713" spans="2:12" ht="13.2">
      <c r="B713" s="113"/>
      <c r="F713" s="192"/>
      <c r="I713" s="209"/>
      <c r="J713" s="208"/>
      <c r="L713" s="47"/>
    </row>
    <row r="714" spans="2:12" ht="13.2">
      <c r="B714" s="113"/>
      <c r="F714" s="192"/>
      <c r="I714" s="209"/>
      <c r="J714" s="208"/>
      <c r="L714" s="47"/>
    </row>
    <row r="715" spans="2:12" ht="13.2">
      <c r="B715" s="113"/>
      <c r="F715" s="192"/>
      <c r="I715" s="209"/>
      <c r="J715" s="208"/>
      <c r="L715" s="47"/>
    </row>
    <row r="716" spans="2:12" ht="13.2">
      <c r="B716" s="113"/>
      <c r="F716" s="192"/>
      <c r="I716" s="209"/>
      <c r="J716" s="208"/>
      <c r="L716" s="47"/>
    </row>
    <row r="717" spans="2:12" ht="13.2">
      <c r="B717" s="113"/>
      <c r="F717" s="192"/>
      <c r="I717" s="209"/>
      <c r="J717" s="208"/>
      <c r="L717" s="47"/>
    </row>
    <row r="718" spans="2:12" ht="13.2">
      <c r="B718" s="113"/>
      <c r="F718" s="192"/>
      <c r="I718" s="209"/>
      <c r="J718" s="208"/>
      <c r="L718" s="47"/>
    </row>
    <row r="719" spans="2:12" ht="13.2">
      <c r="B719" s="113"/>
      <c r="F719" s="192"/>
      <c r="I719" s="209"/>
      <c r="J719" s="208"/>
      <c r="L719" s="47"/>
    </row>
    <row r="720" spans="2:12" ht="13.2">
      <c r="B720" s="113"/>
      <c r="F720" s="192"/>
      <c r="I720" s="209"/>
      <c r="J720" s="208"/>
      <c r="L720" s="47"/>
    </row>
    <row r="721" spans="2:12" ht="13.2">
      <c r="B721" s="113"/>
      <c r="F721" s="192"/>
      <c r="I721" s="209"/>
      <c r="J721" s="208"/>
      <c r="L721" s="47"/>
    </row>
    <row r="722" spans="2:12" ht="13.2">
      <c r="B722" s="113"/>
      <c r="F722" s="192"/>
      <c r="I722" s="209"/>
      <c r="J722" s="208"/>
      <c r="L722" s="47"/>
    </row>
    <row r="723" spans="2:12" ht="13.2">
      <c r="B723" s="113"/>
      <c r="F723" s="192"/>
      <c r="I723" s="209"/>
      <c r="J723" s="208"/>
      <c r="L723" s="47"/>
    </row>
    <row r="724" spans="2:12" ht="13.2">
      <c r="B724" s="113"/>
      <c r="F724" s="192"/>
      <c r="I724" s="209"/>
      <c r="J724" s="208"/>
      <c r="L724" s="47"/>
    </row>
    <row r="725" spans="2:12" ht="13.2">
      <c r="B725" s="113"/>
      <c r="F725" s="192"/>
      <c r="I725" s="209"/>
      <c r="J725" s="208"/>
      <c r="L725" s="47"/>
    </row>
    <row r="726" spans="2:12" ht="13.2">
      <c r="B726" s="113"/>
      <c r="F726" s="192"/>
      <c r="I726" s="209"/>
      <c r="J726" s="208"/>
      <c r="L726" s="47"/>
    </row>
    <row r="727" spans="2:12" ht="13.2">
      <c r="B727" s="113"/>
      <c r="F727" s="192"/>
      <c r="I727" s="209"/>
      <c r="J727" s="208"/>
      <c r="L727" s="47"/>
    </row>
    <row r="728" spans="2:12" ht="13.2">
      <c r="B728" s="113"/>
      <c r="F728" s="192"/>
      <c r="I728" s="209"/>
      <c r="J728" s="208"/>
      <c r="L728" s="47"/>
    </row>
    <row r="729" spans="2:12" ht="13.2">
      <c r="B729" s="113"/>
      <c r="F729" s="192"/>
      <c r="I729" s="209"/>
      <c r="J729" s="208"/>
      <c r="L729" s="47"/>
    </row>
    <row r="730" spans="2:12" ht="13.2">
      <c r="B730" s="113"/>
      <c r="F730" s="192"/>
      <c r="I730" s="209"/>
      <c r="J730" s="208"/>
      <c r="L730" s="47"/>
    </row>
    <row r="731" spans="2:12" ht="13.2">
      <c r="B731" s="113"/>
      <c r="F731" s="192"/>
      <c r="I731" s="209"/>
      <c r="J731" s="208"/>
      <c r="L731" s="47"/>
    </row>
    <row r="732" spans="2:12" ht="13.2">
      <c r="B732" s="113"/>
      <c r="F732" s="192"/>
      <c r="I732" s="209"/>
      <c r="J732" s="208"/>
      <c r="L732" s="47"/>
    </row>
    <row r="733" spans="2:12" ht="13.2">
      <c r="B733" s="113"/>
      <c r="F733" s="192"/>
      <c r="I733" s="209"/>
      <c r="J733" s="208"/>
      <c r="L733" s="47"/>
    </row>
    <row r="734" spans="2:12" ht="13.2">
      <c r="B734" s="113"/>
      <c r="F734" s="192"/>
      <c r="I734" s="209"/>
      <c r="J734" s="208"/>
      <c r="L734" s="47"/>
    </row>
    <row r="735" spans="2:12" ht="13.2">
      <c r="B735" s="113"/>
      <c r="F735" s="192"/>
      <c r="I735" s="209"/>
      <c r="J735" s="208"/>
      <c r="L735" s="47"/>
    </row>
    <row r="736" spans="2:12" ht="13.2">
      <c r="B736" s="113"/>
      <c r="F736" s="192"/>
      <c r="I736" s="209"/>
      <c r="J736" s="208"/>
      <c r="L736" s="47"/>
    </row>
    <row r="737" spans="2:12" ht="13.2">
      <c r="B737" s="113"/>
      <c r="F737" s="192"/>
      <c r="I737" s="209"/>
      <c r="J737" s="208"/>
      <c r="L737" s="47"/>
    </row>
    <row r="738" spans="2:12" ht="13.2">
      <c r="B738" s="113"/>
      <c r="F738" s="192"/>
      <c r="I738" s="209"/>
      <c r="J738" s="208"/>
      <c r="L738" s="47"/>
    </row>
    <row r="739" spans="2:12" ht="13.2">
      <c r="B739" s="113"/>
      <c r="F739" s="192"/>
      <c r="I739" s="209"/>
      <c r="J739" s="208"/>
      <c r="L739" s="47"/>
    </row>
    <row r="740" spans="2:12" ht="13.2">
      <c r="B740" s="113"/>
      <c r="F740" s="192"/>
      <c r="I740" s="209"/>
      <c r="J740" s="208"/>
      <c r="L740" s="47"/>
    </row>
    <row r="741" spans="2:12" ht="13.2">
      <c r="B741" s="113"/>
      <c r="F741" s="192"/>
      <c r="I741" s="209"/>
      <c r="J741" s="208"/>
      <c r="L741" s="47"/>
    </row>
    <row r="742" spans="2:12" ht="13.2">
      <c r="B742" s="113"/>
      <c r="F742" s="192"/>
      <c r="I742" s="209"/>
      <c r="J742" s="208"/>
      <c r="L742" s="47"/>
    </row>
    <row r="743" spans="2:12" ht="13.2">
      <c r="B743" s="113"/>
      <c r="F743" s="192"/>
      <c r="I743" s="209"/>
      <c r="J743" s="208"/>
      <c r="L743" s="47"/>
    </row>
    <row r="744" spans="2:12" ht="13.2">
      <c r="B744" s="113"/>
      <c r="F744" s="192"/>
      <c r="I744" s="209"/>
      <c r="J744" s="208"/>
      <c r="L744" s="47"/>
    </row>
    <row r="745" spans="2:12" ht="13.2">
      <c r="B745" s="113"/>
      <c r="F745" s="192"/>
      <c r="I745" s="209"/>
      <c r="J745" s="208"/>
      <c r="L745" s="47"/>
    </row>
    <row r="746" spans="2:12" ht="13.2">
      <c r="B746" s="113"/>
      <c r="F746" s="192"/>
      <c r="I746" s="209"/>
      <c r="J746" s="208"/>
      <c r="L746" s="47"/>
    </row>
    <row r="747" spans="2:12" ht="13.2">
      <c r="B747" s="113"/>
      <c r="F747" s="192"/>
      <c r="I747" s="209"/>
      <c r="J747" s="208"/>
      <c r="L747" s="47"/>
    </row>
    <row r="748" spans="2:12" ht="13.2">
      <c r="B748" s="113"/>
      <c r="F748" s="192"/>
      <c r="I748" s="209"/>
      <c r="J748" s="208"/>
      <c r="L748" s="47"/>
    </row>
    <row r="749" spans="2:12" ht="13.2">
      <c r="B749" s="113"/>
      <c r="F749" s="192"/>
      <c r="I749" s="209"/>
      <c r="J749" s="208"/>
      <c r="L749" s="47"/>
    </row>
    <row r="750" spans="2:12" ht="13.2">
      <c r="B750" s="113"/>
      <c r="F750" s="192"/>
      <c r="I750" s="209"/>
      <c r="J750" s="208"/>
      <c r="L750" s="47"/>
    </row>
    <row r="751" spans="2:12" ht="13.2">
      <c r="B751" s="113"/>
      <c r="F751" s="192"/>
      <c r="I751" s="209"/>
      <c r="J751" s="208"/>
      <c r="L751" s="47"/>
    </row>
    <row r="752" spans="2:12" ht="13.2">
      <c r="B752" s="113"/>
      <c r="F752" s="192"/>
      <c r="I752" s="209"/>
      <c r="J752" s="208"/>
      <c r="L752" s="47"/>
    </row>
    <row r="753" spans="2:12" ht="13.2">
      <c r="B753" s="113"/>
      <c r="F753" s="192"/>
      <c r="I753" s="209"/>
      <c r="J753" s="208"/>
      <c r="L753" s="47"/>
    </row>
    <row r="754" spans="2:12" ht="13.2">
      <c r="B754" s="113"/>
      <c r="F754" s="192"/>
      <c r="I754" s="209"/>
      <c r="J754" s="208"/>
      <c r="L754" s="47"/>
    </row>
    <row r="755" spans="2:12" ht="13.2">
      <c r="B755" s="113"/>
      <c r="F755" s="192"/>
      <c r="I755" s="209"/>
      <c r="J755" s="208"/>
      <c r="L755" s="47"/>
    </row>
    <row r="756" spans="2:12" ht="13.2">
      <c r="B756" s="113"/>
      <c r="F756" s="192"/>
      <c r="I756" s="209"/>
      <c r="J756" s="208"/>
      <c r="L756" s="47"/>
    </row>
    <row r="757" spans="2:12" ht="13.2">
      <c r="B757" s="113"/>
      <c r="F757" s="192"/>
      <c r="I757" s="209"/>
      <c r="J757" s="208"/>
      <c r="L757" s="47"/>
    </row>
    <row r="758" spans="2:12" ht="13.2">
      <c r="B758" s="113"/>
      <c r="F758" s="192"/>
      <c r="I758" s="209"/>
      <c r="J758" s="208"/>
      <c r="L758" s="47"/>
    </row>
    <row r="759" spans="2:12" ht="13.2">
      <c r="B759" s="113"/>
      <c r="F759" s="192"/>
      <c r="I759" s="209"/>
      <c r="J759" s="208"/>
      <c r="L759" s="47"/>
    </row>
    <row r="760" spans="2:12" ht="13.2">
      <c r="B760" s="113"/>
      <c r="F760" s="192"/>
      <c r="I760" s="209"/>
      <c r="J760" s="208"/>
      <c r="L760" s="47"/>
    </row>
    <row r="761" spans="2:12" ht="13.2">
      <c r="B761" s="113"/>
      <c r="F761" s="192"/>
      <c r="I761" s="209"/>
      <c r="J761" s="208"/>
      <c r="L761" s="47"/>
    </row>
    <row r="762" spans="2:12" ht="13.2">
      <c r="B762" s="113"/>
      <c r="F762" s="192"/>
      <c r="I762" s="209"/>
      <c r="J762" s="208"/>
      <c r="L762" s="47"/>
    </row>
    <row r="763" spans="2:12" ht="13.2">
      <c r="B763" s="113"/>
      <c r="F763" s="192"/>
      <c r="I763" s="209"/>
      <c r="J763" s="208"/>
      <c r="L763" s="47"/>
    </row>
    <row r="764" spans="2:12" ht="13.2">
      <c r="B764" s="113"/>
      <c r="F764" s="192"/>
      <c r="I764" s="209"/>
      <c r="J764" s="208"/>
      <c r="L764" s="47"/>
    </row>
    <row r="765" spans="2:12" ht="13.2">
      <c r="B765" s="113"/>
      <c r="F765" s="192"/>
      <c r="I765" s="209"/>
      <c r="J765" s="208"/>
      <c r="L765" s="47"/>
    </row>
    <row r="766" spans="2:12" ht="13.2">
      <c r="B766" s="113"/>
      <c r="F766" s="192"/>
      <c r="I766" s="209"/>
      <c r="J766" s="208"/>
      <c r="L766" s="47"/>
    </row>
    <row r="767" spans="2:12" ht="13.2">
      <c r="B767" s="113"/>
      <c r="F767" s="192"/>
      <c r="I767" s="209"/>
      <c r="J767" s="208"/>
      <c r="L767" s="47"/>
    </row>
    <row r="768" spans="2:12" ht="13.2">
      <c r="B768" s="113"/>
      <c r="F768" s="192"/>
      <c r="I768" s="209"/>
      <c r="J768" s="208"/>
      <c r="L768" s="47"/>
    </row>
    <row r="769" spans="2:12" ht="13.2">
      <c r="B769" s="113"/>
      <c r="F769" s="192"/>
      <c r="I769" s="209"/>
      <c r="J769" s="208"/>
      <c r="L769" s="47"/>
    </row>
    <row r="770" spans="2:12" ht="13.2">
      <c r="B770" s="113"/>
      <c r="F770" s="192"/>
      <c r="I770" s="209"/>
      <c r="J770" s="208"/>
      <c r="L770" s="47"/>
    </row>
    <row r="771" spans="2:12" ht="13.2">
      <c r="B771" s="113"/>
      <c r="F771" s="192"/>
      <c r="I771" s="209"/>
      <c r="J771" s="208"/>
      <c r="L771" s="47"/>
    </row>
    <row r="772" spans="2:12" ht="13.2">
      <c r="B772" s="113"/>
      <c r="F772" s="192"/>
      <c r="I772" s="209"/>
      <c r="J772" s="208"/>
      <c r="L772" s="47"/>
    </row>
    <row r="773" spans="2:12" ht="13.2">
      <c r="B773" s="113"/>
      <c r="F773" s="192"/>
      <c r="I773" s="209"/>
      <c r="J773" s="208"/>
      <c r="L773" s="47"/>
    </row>
    <row r="774" spans="2:12" ht="13.2">
      <c r="B774" s="113"/>
      <c r="F774" s="192"/>
      <c r="I774" s="209"/>
      <c r="J774" s="208"/>
      <c r="L774" s="47"/>
    </row>
    <row r="775" spans="2:12" ht="13.2">
      <c r="B775" s="113"/>
      <c r="F775" s="192"/>
      <c r="I775" s="209"/>
      <c r="J775" s="208"/>
      <c r="L775" s="47"/>
    </row>
    <row r="776" spans="2:12" ht="13.2">
      <c r="B776" s="113"/>
      <c r="F776" s="192"/>
      <c r="I776" s="209"/>
      <c r="J776" s="208"/>
      <c r="L776" s="47"/>
    </row>
    <row r="777" spans="2:12" ht="13.2">
      <c r="B777" s="113"/>
      <c r="F777" s="192"/>
      <c r="I777" s="209"/>
      <c r="J777" s="208"/>
      <c r="L777" s="47"/>
    </row>
    <row r="778" spans="2:12" ht="13.2">
      <c r="B778" s="113"/>
      <c r="F778" s="192"/>
      <c r="I778" s="209"/>
      <c r="J778" s="208"/>
      <c r="L778" s="47"/>
    </row>
    <row r="779" spans="2:12" ht="13.2">
      <c r="B779" s="113"/>
      <c r="F779" s="192"/>
      <c r="I779" s="209"/>
      <c r="J779" s="208"/>
      <c r="L779" s="47"/>
    </row>
    <row r="780" spans="2:12" ht="13.2">
      <c r="B780" s="113"/>
      <c r="F780" s="192"/>
      <c r="I780" s="209"/>
      <c r="J780" s="208"/>
      <c r="L780" s="47"/>
    </row>
    <row r="781" spans="2:12" ht="13.2">
      <c r="B781" s="113"/>
      <c r="F781" s="192"/>
      <c r="I781" s="209"/>
      <c r="J781" s="208"/>
      <c r="L781" s="47"/>
    </row>
    <row r="782" spans="2:12" ht="13.2">
      <c r="B782" s="113"/>
      <c r="F782" s="192"/>
      <c r="I782" s="209"/>
      <c r="J782" s="208"/>
      <c r="L782" s="47"/>
    </row>
    <row r="783" spans="2:12" ht="13.2">
      <c r="B783" s="113"/>
      <c r="F783" s="192"/>
      <c r="I783" s="209"/>
      <c r="J783" s="208"/>
      <c r="L783" s="47"/>
    </row>
    <row r="784" spans="2:12" ht="13.2">
      <c r="B784" s="113"/>
      <c r="F784" s="192"/>
      <c r="I784" s="209"/>
      <c r="J784" s="208"/>
      <c r="L784" s="47"/>
    </row>
    <row r="785" spans="2:12" ht="13.2">
      <c r="B785" s="113"/>
      <c r="F785" s="192"/>
      <c r="I785" s="209"/>
      <c r="J785" s="208"/>
      <c r="L785" s="47"/>
    </row>
    <row r="786" spans="2:12" ht="13.2">
      <c r="B786" s="113"/>
      <c r="F786" s="192"/>
      <c r="I786" s="209"/>
      <c r="J786" s="208"/>
      <c r="L786" s="47"/>
    </row>
    <row r="787" spans="2:12" ht="13.2">
      <c r="B787" s="113"/>
      <c r="F787" s="192"/>
      <c r="I787" s="209"/>
      <c r="J787" s="208"/>
      <c r="L787" s="47"/>
    </row>
    <row r="788" spans="2:12" ht="13.2">
      <c r="B788" s="113"/>
      <c r="F788" s="192"/>
      <c r="I788" s="209"/>
      <c r="J788" s="208"/>
      <c r="L788" s="47"/>
    </row>
    <row r="789" spans="2:12" ht="13.2">
      <c r="B789" s="113"/>
      <c r="F789" s="192"/>
      <c r="I789" s="209"/>
      <c r="J789" s="208"/>
      <c r="L789" s="47"/>
    </row>
    <row r="790" spans="2:12" ht="13.2">
      <c r="B790" s="113"/>
      <c r="F790" s="192"/>
      <c r="I790" s="209"/>
      <c r="J790" s="208"/>
      <c r="L790" s="47"/>
    </row>
    <row r="791" spans="2:12" ht="13.2">
      <c r="B791" s="113"/>
      <c r="F791" s="192"/>
      <c r="I791" s="209"/>
      <c r="J791" s="208"/>
      <c r="L791" s="47"/>
    </row>
    <row r="792" spans="2:12" ht="13.2">
      <c r="B792" s="113"/>
      <c r="F792" s="192"/>
      <c r="I792" s="209"/>
      <c r="J792" s="208"/>
      <c r="L792" s="47"/>
    </row>
    <row r="793" spans="2:12" ht="13.2">
      <c r="B793" s="113"/>
      <c r="F793" s="192"/>
      <c r="I793" s="209"/>
      <c r="J793" s="208"/>
      <c r="L793" s="47"/>
    </row>
    <row r="794" spans="2:12" ht="13.2">
      <c r="B794" s="113"/>
      <c r="F794" s="192"/>
      <c r="I794" s="209"/>
      <c r="J794" s="208"/>
      <c r="L794" s="47"/>
    </row>
    <row r="795" spans="2:12" ht="13.2">
      <c r="B795" s="113"/>
      <c r="F795" s="192"/>
      <c r="I795" s="209"/>
      <c r="J795" s="208"/>
      <c r="L795" s="47"/>
    </row>
    <row r="796" spans="2:12" ht="13.2">
      <c r="B796" s="113"/>
      <c r="F796" s="192"/>
      <c r="I796" s="209"/>
      <c r="J796" s="208"/>
      <c r="L796" s="47"/>
    </row>
    <row r="797" spans="2:12" ht="13.2">
      <c r="B797" s="113"/>
      <c r="F797" s="192"/>
      <c r="I797" s="209"/>
      <c r="J797" s="208"/>
      <c r="L797" s="47"/>
    </row>
    <row r="798" spans="2:12" ht="13.2">
      <c r="B798" s="113"/>
      <c r="F798" s="192"/>
      <c r="I798" s="209"/>
      <c r="J798" s="208"/>
      <c r="L798" s="47"/>
    </row>
    <row r="799" spans="2:12" ht="13.2">
      <c r="B799" s="113"/>
      <c r="F799" s="192"/>
      <c r="I799" s="209"/>
      <c r="J799" s="208"/>
      <c r="L799" s="47"/>
    </row>
    <row r="800" spans="2:12" ht="13.2">
      <c r="B800" s="113"/>
      <c r="F800" s="192"/>
      <c r="I800" s="209"/>
      <c r="J800" s="208"/>
      <c r="L800" s="47"/>
    </row>
    <row r="801" spans="2:12" ht="13.2">
      <c r="B801" s="113"/>
      <c r="F801" s="192"/>
      <c r="I801" s="209"/>
      <c r="J801" s="208"/>
      <c r="L801" s="47"/>
    </row>
    <row r="802" spans="2:12" ht="13.2">
      <c r="B802" s="113"/>
      <c r="F802" s="192"/>
      <c r="I802" s="209"/>
      <c r="J802" s="208"/>
      <c r="L802" s="47"/>
    </row>
    <row r="803" spans="2:12" ht="13.2">
      <c r="B803" s="113"/>
      <c r="F803" s="192"/>
      <c r="I803" s="209"/>
      <c r="J803" s="208"/>
      <c r="L803" s="47"/>
    </row>
    <row r="804" spans="2:12" ht="13.2">
      <c r="B804" s="113"/>
      <c r="F804" s="192"/>
      <c r="I804" s="209"/>
      <c r="J804" s="208"/>
      <c r="L804" s="47"/>
    </row>
    <row r="805" spans="2:12" ht="13.2">
      <c r="B805" s="113"/>
      <c r="F805" s="192"/>
      <c r="I805" s="209"/>
      <c r="J805" s="208"/>
      <c r="L805" s="47"/>
    </row>
    <row r="806" spans="2:12" ht="13.2">
      <c r="B806" s="113"/>
      <c r="F806" s="192"/>
      <c r="I806" s="209"/>
      <c r="J806" s="208"/>
      <c r="L806" s="47"/>
    </row>
    <row r="807" spans="2:12" ht="13.2">
      <c r="B807" s="113"/>
      <c r="F807" s="192"/>
      <c r="I807" s="209"/>
      <c r="J807" s="208"/>
      <c r="L807" s="47"/>
    </row>
    <row r="808" spans="2:12" ht="13.2">
      <c r="B808" s="113"/>
      <c r="F808" s="192"/>
      <c r="I808" s="209"/>
      <c r="J808" s="208"/>
      <c r="L808" s="47"/>
    </row>
    <row r="809" spans="2:12" ht="13.2">
      <c r="B809" s="113"/>
      <c r="F809" s="192"/>
      <c r="I809" s="209"/>
      <c r="J809" s="208"/>
      <c r="L809" s="47"/>
    </row>
    <row r="810" spans="2:12" ht="13.2">
      <c r="B810" s="113"/>
      <c r="F810" s="192"/>
      <c r="I810" s="209"/>
      <c r="J810" s="208"/>
      <c r="L810" s="47"/>
    </row>
    <row r="811" spans="2:12" ht="13.2">
      <c r="B811" s="113"/>
      <c r="F811" s="192"/>
      <c r="I811" s="209"/>
      <c r="J811" s="208"/>
      <c r="L811" s="47"/>
    </row>
    <row r="812" spans="2:12" ht="13.2">
      <c r="B812" s="113"/>
      <c r="F812" s="192"/>
      <c r="I812" s="209"/>
      <c r="J812" s="208"/>
      <c r="L812" s="47"/>
    </row>
    <row r="813" spans="2:12" ht="13.2">
      <c r="B813" s="113"/>
      <c r="F813" s="192"/>
      <c r="I813" s="209"/>
      <c r="J813" s="208"/>
      <c r="L813" s="47"/>
    </row>
    <row r="814" spans="2:12" ht="13.2">
      <c r="B814" s="113"/>
      <c r="F814" s="192"/>
      <c r="I814" s="209"/>
      <c r="J814" s="208"/>
      <c r="L814" s="47"/>
    </row>
    <row r="815" spans="2:12" ht="13.2">
      <c r="B815" s="113"/>
      <c r="F815" s="192"/>
      <c r="I815" s="209"/>
      <c r="J815" s="208"/>
      <c r="L815" s="47"/>
    </row>
    <row r="816" spans="2:12" ht="13.2">
      <c r="B816" s="113"/>
      <c r="F816" s="192"/>
      <c r="I816" s="209"/>
      <c r="J816" s="208"/>
      <c r="L816" s="47"/>
    </row>
    <row r="817" spans="2:12" ht="13.2">
      <c r="B817" s="113"/>
      <c r="F817" s="192"/>
      <c r="I817" s="209"/>
      <c r="J817" s="208"/>
      <c r="L817" s="47"/>
    </row>
    <row r="818" spans="2:12" ht="13.2">
      <c r="B818" s="113"/>
      <c r="F818" s="192"/>
      <c r="I818" s="209"/>
      <c r="J818" s="208"/>
      <c r="L818" s="47"/>
    </row>
    <row r="819" spans="2:12" ht="13.2">
      <c r="B819" s="113"/>
      <c r="F819" s="192"/>
      <c r="I819" s="209"/>
      <c r="J819" s="208"/>
      <c r="L819" s="47"/>
    </row>
    <row r="820" spans="2:12" ht="13.2">
      <c r="B820" s="113"/>
      <c r="F820" s="192"/>
      <c r="I820" s="209"/>
      <c r="J820" s="208"/>
      <c r="L820" s="47"/>
    </row>
    <row r="821" spans="2:12" ht="13.2">
      <c r="B821" s="113"/>
      <c r="F821" s="192"/>
      <c r="I821" s="209"/>
      <c r="J821" s="208"/>
      <c r="L821" s="47"/>
    </row>
    <row r="822" spans="2:12" ht="13.2">
      <c r="B822" s="113"/>
      <c r="F822" s="192"/>
      <c r="I822" s="209"/>
      <c r="J822" s="208"/>
      <c r="L822" s="47"/>
    </row>
    <row r="823" spans="2:12" ht="13.2">
      <c r="B823" s="113"/>
      <c r="F823" s="192"/>
      <c r="I823" s="209"/>
      <c r="J823" s="208"/>
      <c r="L823" s="47"/>
    </row>
    <row r="824" spans="2:12" ht="13.2">
      <c r="B824" s="113"/>
      <c r="F824" s="192"/>
      <c r="I824" s="209"/>
      <c r="J824" s="208"/>
      <c r="L824" s="47"/>
    </row>
    <row r="825" spans="2:12" ht="13.2">
      <c r="B825" s="113"/>
      <c r="F825" s="192"/>
      <c r="I825" s="209"/>
      <c r="J825" s="208"/>
      <c r="L825" s="47"/>
    </row>
    <row r="826" spans="2:12" ht="13.2">
      <c r="B826" s="113"/>
      <c r="F826" s="192"/>
      <c r="I826" s="209"/>
      <c r="J826" s="208"/>
      <c r="L826" s="47"/>
    </row>
    <row r="827" spans="2:12" ht="13.2">
      <c r="B827" s="113"/>
      <c r="F827" s="192"/>
      <c r="I827" s="209"/>
      <c r="J827" s="208"/>
      <c r="L827" s="47"/>
    </row>
    <row r="828" spans="2:12" ht="13.2">
      <c r="B828" s="113"/>
      <c r="F828" s="192"/>
      <c r="I828" s="209"/>
      <c r="J828" s="208"/>
      <c r="L828" s="47"/>
    </row>
    <row r="829" spans="2:12" ht="13.2">
      <c r="B829" s="113"/>
      <c r="F829" s="192"/>
      <c r="I829" s="209"/>
      <c r="J829" s="208"/>
      <c r="L829" s="47"/>
    </row>
    <row r="830" spans="2:12" ht="13.2">
      <c r="B830" s="113"/>
      <c r="F830" s="192"/>
      <c r="I830" s="209"/>
      <c r="J830" s="208"/>
      <c r="L830" s="47"/>
    </row>
    <row r="831" spans="2:12" ht="13.2">
      <c r="B831" s="113"/>
      <c r="F831" s="192"/>
      <c r="I831" s="209"/>
      <c r="J831" s="208"/>
      <c r="L831" s="47"/>
    </row>
    <row r="832" spans="2:12" ht="13.2">
      <c r="B832" s="113"/>
      <c r="F832" s="192"/>
      <c r="I832" s="209"/>
      <c r="J832" s="208"/>
      <c r="L832" s="47"/>
    </row>
    <row r="833" spans="2:12" ht="13.2">
      <c r="B833" s="113"/>
      <c r="F833" s="192"/>
      <c r="I833" s="209"/>
      <c r="J833" s="208"/>
      <c r="L833" s="47"/>
    </row>
    <row r="834" spans="2:12" ht="13.2">
      <c r="B834" s="113"/>
      <c r="F834" s="192"/>
      <c r="I834" s="209"/>
      <c r="J834" s="208"/>
      <c r="L834" s="47"/>
    </row>
    <row r="835" spans="2:12" ht="13.2">
      <c r="B835" s="113"/>
      <c r="F835" s="192"/>
      <c r="I835" s="209"/>
      <c r="J835" s="208"/>
      <c r="L835" s="47"/>
    </row>
    <row r="836" spans="2:12" ht="13.2">
      <c r="B836" s="113"/>
      <c r="F836" s="192"/>
      <c r="I836" s="209"/>
      <c r="J836" s="208"/>
      <c r="L836" s="47"/>
    </row>
    <row r="837" spans="2:12" ht="13.2">
      <c r="B837" s="113"/>
      <c r="F837" s="192"/>
      <c r="I837" s="209"/>
      <c r="J837" s="208"/>
      <c r="L837" s="47"/>
    </row>
    <row r="838" spans="2:12" ht="13.2">
      <c r="B838" s="113"/>
      <c r="F838" s="192"/>
      <c r="I838" s="209"/>
      <c r="J838" s="208"/>
      <c r="L838" s="47"/>
    </row>
    <row r="839" spans="2:12" ht="13.2">
      <c r="B839" s="113"/>
      <c r="F839" s="192"/>
      <c r="I839" s="209"/>
      <c r="J839" s="208"/>
      <c r="L839" s="47"/>
    </row>
    <row r="840" spans="2:12" ht="13.2">
      <c r="B840" s="113"/>
      <c r="F840" s="192"/>
      <c r="I840" s="209"/>
      <c r="J840" s="208"/>
      <c r="L840" s="47"/>
    </row>
    <row r="841" spans="2:12" ht="13.2">
      <c r="B841" s="113"/>
      <c r="F841" s="192"/>
      <c r="I841" s="209"/>
      <c r="J841" s="208"/>
      <c r="L841" s="47"/>
    </row>
    <row r="842" spans="2:12" ht="13.2">
      <c r="B842" s="113"/>
      <c r="F842" s="192"/>
      <c r="I842" s="209"/>
      <c r="J842" s="208"/>
      <c r="L842" s="47"/>
    </row>
    <row r="843" spans="2:12" ht="13.2">
      <c r="B843" s="113"/>
      <c r="F843" s="192"/>
      <c r="I843" s="209"/>
      <c r="J843" s="208"/>
      <c r="L843" s="47"/>
    </row>
    <row r="844" spans="2:12" ht="13.2">
      <c r="B844" s="113"/>
      <c r="F844" s="192"/>
      <c r="I844" s="209"/>
      <c r="J844" s="208"/>
      <c r="L844" s="47"/>
    </row>
    <row r="845" spans="2:12" ht="13.2">
      <c r="B845" s="113"/>
      <c r="F845" s="192"/>
      <c r="I845" s="209"/>
      <c r="J845" s="208"/>
      <c r="L845" s="47"/>
    </row>
    <row r="846" spans="2:12" ht="13.2">
      <c r="B846" s="113"/>
      <c r="F846" s="192"/>
      <c r="I846" s="209"/>
      <c r="J846" s="208"/>
      <c r="L846" s="47"/>
    </row>
    <row r="847" spans="2:12" ht="13.2">
      <c r="B847" s="113"/>
      <c r="F847" s="192"/>
      <c r="I847" s="209"/>
      <c r="J847" s="208"/>
      <c r="L847" s="47"/>
    </row>
    <row r="848" spans="2:12" ht="13.2">
      <c r="B848" s="113"/>
      <c r="F848" s="192"/>
      <c r="I848" s="209"/>
      <c r="J848" s="208"/>
      <c r="L848" s="47"/>
    </row>
    <row r="849" spans="2:12" ht="13.2">
      <c r="B849" s="113"/>
      <c r="F849" s="192"/>
      <c r="I849" s="209"/>
      <c r="J849" s="208"/>
      <c r="L849" s="47"/>
    </row>
    <row r="850" spans="2:12" ht="13.2">
      <c r="B850" s="113"/>
      <c r="F850" s="192"/>
      <c r="I850" s="209"/>
      <c r="J850" s="208"/>
      <c r="L850" s="47"/>
    </row>
    <row r="851" spans="2:12" ht="13.2">
      <c r="B851" s="113"/>
      <c r="F851" s="192"/>
      <c r="I851" s="209"/>
      <c r="J851" s="208"/>
      <c r="L851" s="47"/>
    </row>
    <row r="852" spans="2:12" ht="13.2">
      <c r="B852" s="113"/>
      <c r="F852" s="192"/>
      <c r="I852" s="209"/>
      <c r="J852" s="208"/>
      <c r="L852" s="47"/>
    </row>
    <row r="853" spans="2:12" ht="13.2">
      <c r="B853" s="113"/>
      <c r="F853" s="192"/>
      <c r="I853" s="209"/>
      <c r="J853" s="208"/>
      <c r="L853" s="47"/>
    </row>
    <row r="854" spans="2:12" ht="13.2">
      <c r="B854" s="113"/>
      <c r="F854" s="192"/>
      <c r="I854" s="209"/>
      <c r="J854" s="208"/>
      <c r="L854" s="47"/>
    </row>
    <row r="855" spans="2:12" ht="13.2">
      <c r="B855" s="113"/>
      <c r="F855" s="192"/>
      <c r="I855" s="209"/>
      <c r="J855" s="208"/>
      <c r="L855" s="47"/>
    </row>
    <row r="856" spans="2:12" ht="13.2">
      <c r="B856" s="113"/>
      <c r="F856" s="192"/>
      <c r="I856" s="209"/>
      <c r="J856" s="208"/>
      <c r="L856" s="47"/>
    </row>
    <row r="857" spans="2:12" ht="13.2">
      <c r="B857" s="113"/>
      <c r="F857" s="192"/>
      <c r="I857" s="209"/>
      <c r="J857" s="208"/>
      <c r="L857" s="47"/>
    </row>
    <row r="858" spans="2:12" ht="13.2">
      <c r="B858" s="113"/>
      <c r="F858" s="192"/>
      <c r="I858" s="209"/>
      <c r="J858" s="208"/>
      <c r="L858" s="47"/>
    </row>
    <row r="859" spans="2:12" ht="13.2">
      <c r="B859" s="113"/>
      <c r="F859" s="192"/>
      <c r="I859" s="209"/>
      <c r="J859" s="208"/>
      <c r="L859" s="47"/>
    </row>
    <row r="860" spans="2:12" ht="13.2">
      <c r="B860" s="113"/>
      <c r="F860" s="192"/>
      <c r="I860" s="209"/>
      <c r="J860" s="208"/>
      <c r="L860" s="47"/>
    </row>
    <row r="861" spans="2:12" ht="13.2">
      <c r="B861" s="113"/>
      <c r="F861" s="192"/>
      <c r="I861" s="209"/>
      <c r="J861" s="208"/>
      <c r="L861" s="47"/>
    </row>
    <row r="862" spans="2:12" ht="13.2">
      <c r="B862" s="113"/>
      <c r="F862" s="192"/>
      <c r="I862" s="209"/>
      <c r="J862" s="208"/>
      <c r="L862" s="47"/>
    </row>
    <row r="863" spans="2:12" ht="13.2">
      <c r="B863" s="113"/>
      <c r="F863" s="192"/>
      <c r="I863" s="209"/>
      <c r="J863" s="208"/>
      <c r="L863" s="47"/>
    </row>
    <row r="864" spans="2:12" ht="13.2">
      <c r="B864" s="113"/>
      <c r="F864" s="192"/>
      <c r="I864" s="209"/>
      <c r="J864" s="208"/>
      <c r="L864" s="47"/>
    </row>
    <row r="865" spans="2:12" ht="13.2">
      <c r="B865" s="113"/>
      <c r="F865" s="192"/>
      <c r="I865" s="209"/>
      <c r="J865" s="208"/>
      <c r="L865" s="47"/>
    </row>
    <row r="866" spans="2:12" ht="13.2">
      <c r="B866" s="113"/>
      <c r="F866" s="192"/>
      <c r="I866" s="209"/>
      <c r="J866" s="208"/>
      <c r="L866" s="47"/>
    </row>
    <row r="867" spans="2:12" ht="13.2">
      <c r="B867" s="113"/>
      <c r="F867" s="192"/>
      <c r="I867" s="209"/>
      <c r="J867" s="208"/>
      <c r="L867" s="47"/>
    </row>
    <row r="868" spans="2:12" ht="13.2">
      <c r="B868" s="113"/>
      <c r="F868" s="192"/>
      <c r="I868" s="209"/>
      <c r="J868" s="208"/>
      <c r="L868" s="47"/>
    </row>
    <row r="869" spans="2:12" ht="13.2">
      <c r="B869" s="113"/>
      <c r="F869" s="192"/>
      <c r="I869" s="209"/>
      <c r="J869" s="208"/>
      <c r="L869" s="47"/>
    </row>
    <row r="870" spans="2:12" ht="13.2">
      <c r="B870" s="113"/>
      <c r="F870" s="192"/>
      <c r="I870" s="209"/>
      <c r="J870" s="208"/>
      <c r="L870" s="47"/>
    </row>
    <row r="871" spans="2:12" ht="13.2">
      <c r="B871" s="113"/>
      <c r="F871" s="192"/>
      <c r="I871" s="209"/>
      <c r="J871" s="208"/>
      <c r="L871" s="47"/>
    </row>
    <row r="872" spans="2:12" ht="13.2">
      <c r="B872" s="113"/>
      <c r="F872" s="192"/>
      <c r="I872" s="209"/>
      <c r="J872" s="208"/>
      <c r="L872" s="47"/>
    </row>
    <row r="873" spans="2:12" ht="13.2">
      <c r="B873" s="113"/>
      <c r="F873" s="192"/>
      <c r="I873" s="209"/>
      <c r="J873" s="208"/>
      <c r="L873" s="47"/>
    </row>
    <row r="874" spans="2:12" ht="13.2">
      <c r="B874" s="113"/>
      <c r="F874" s="192"/>
      <c r="I874" s="209"/>
      <c r="J874" s="208"/>
      <c r="L874" s="47"/>
    </row>
    <row r="875" spans="2:12" ht="13.2">
      <c r="B875" s="113"/>
      <c r="F875" s="192"/>
      <c r="I875" s="209"/>
      <c r="J875" s="208"/>
      <c r="L875" s="47"/>
    </row>
    <row r="876" spans="2:12" ht="13.2">
      <c r="B876" s="113"/>
      <c r="F876" s="192"/>
      <c r="I876" s="209"/>
      <c r="J876" s="208"/>
      <c r="L876" s="47"/>
    </row>
    <row r="877" spans="2:12" ht="13.2">
      <c r="B877" s="113"/>
      <c r="F877" s="192"/>
      <c r="I877" s="209"/>
      <c r="J877" s="208"/>
      <c r="L877" s="47"/>
    </row>
    <row r="878" spans="2:12" ht="13.2">
      <c r="B878" s="113"/>
      <c r="F878" s="192"/>
      <c r="I878" s="209"/>
      <c r="J878" s="208"/>
      <c r="L878" s="47"/>
    </row>
    <row r="879" spans="2:12" ht="13.2">
      <c r="B879" s="113"/>
      <c r="F879" s="192"/>
      <c r="I879" s="209"/>
      <c r="J879" s="208"/>
      <c r="L879" s="47"/>
    </row>
    <row r="880" spans="2:12" ht="13.2">
      <c r="B880" s="113"/>
      <c r="F880" s="192"/>
      <c r="I880" s="209"/>
      <c r="J880" s="208"/>
      <c r="L880" s="47"/>
    </row>
    <row r="881" spans="2:12" ht="13.2">
      <c r="B881" s="113"/>
      <c r="F881" s="192"/>
      <c r="I881" s="209"/>
      <c r="J881" s="208"/>
      <c r="L881" s="47"/>
    </row>
    <row r="882" spans="2:12" ht="13.2">
      <c r="B882" s="113"/>
      <c r="F882" s="192"/>
      <c r="I882" s="209"/>
      <c r="J882" s="208"/>
      <c r="L882" s="47"/>
    </row>
    <row r="883" spans="2:12" ht="13.2">
      <c r="B883" s="113"/>
      <c r="F883" s="192"/>
      <c r="I883" s="209"/>
      <c r="J883" s="208"/>
      <c r="L883" s="47"/>
    </row>
    <row r="884" spans="2:12" ht="13.2">
      <c r="B884" s="113"/>
      <c r="F884" s="192"/>
      <c r="I884" s="209"/>
      <c r="J884" s="208"/>
      <c r="L884" s="47"/>
    </row>
    <row r="885" spans="2:12" ht="13.2">
      <c r="B885" s="113"/>
      <c r="F885" s="192"/>
      <c r="I885" s="209"/>
      <c r="J885" s="208"/>
      <c r="L885" s="47"/>
    </row>
    <row r="886" spans="2:12" ht="13.2">
      <c r="B886" s="113"/>
      <c r="F886" s="192"/>
      <c r="I886" s="209"/>
      <c r="J886" s="208"/>
      <c r="L886" s="47"/>
    </row>
    <row r="887" spans="2:12" ht="13.2">
      <c r="B887" s="113"/>
      <c r="F887" s="192"/>
      <c r="I887" s="209"/>
      <c r="J887" s="208"/>
      <c r="L887" s="47"/>
    </row>
    <row r="888" spans="2:12" ht="13.2">
      <c r="B888" s="113"/>
      <c r="F888" s="192"/>
      <c r="I888" s="209"/>
      <c r="J888" s="208"/>
      <c r="L888" s="47"/>
    </row>
    <row r="889" spans="2:12" ht="13.2">
      <c r="B889" s="113"/>
      <c r="F889" s="192"/>
      <c r="I889" s="209"/>
      <c r="J889" s="208"/>
      <c r="L889" s="47"/>
    </row>
    <row r="890" spans="2:12" ht="13.2">
      <c r="B890" s="113"/>
      <c r="F890" s="192"/>
      <c r="I890" s="209"/>
      <c r="J890" s="208"/>
      <c r="L890" s="47"/>
    </row>
    <row r="891" spans="2:12" ht="13.2">
      <c r="B891" s="113"/>
      <c r="F891" s="192"/>
      <c r="I891" s="209"/>
      <c r="J891" s="208"/>
      <c r="L891" s="47"/>
    </row>
    <row r="892" spans="2:12" ht="13.2">
      <c r="B892" s="113"/>
      <c r="F892" s="192"/>
      <c r="I892" s="209"/>
      <c r="J892" s="208"/>
      <c r="L892" s="47"/>
    </row>
    <row r="893" spans="2:12" ht="13.2">
      <c r="B893" s="113"/>
      <c r="F893" s="192"/>
      <c r="I893" s="209"/>
      <c r="J893" s="208"/>
      <c r="L893" s="47"/>
    </row>
    <row r="894" spans="2:12" ht="13.2">
      <c r="B894" s="113"/>
      <c r="F894" s="192"/>
      <c r="I894" s="209"/>
      <c r="J894" s="208"/>
      <c r="L894" s="47"/>
    </row>
    <row r="895" spans="2:12" ht="13.2">
      <c r="B895" s="113"/>
      <c r="F895" s="192"/>
      <c r="I895" s="209"/>
      <c r="J895" s="208"/>
      <c r="L895" s="47"/>
    </row>
    <row r="896" spans="2:12" ht="13.2">
      <c r="B896" s="113"/>
      <c r="F896" s="192"/>
      <c r="I896" s="209"/>
      <c r="J896" s="208"/>
      <c r="L896" s="47"/>
    </row>
    <row r="897" spans="2:12" ht="13.2">
      <c r="B897" s="113"/>
      <c r="F897" s="192"/>
      <c r="I897" s="209"/>
      <c r="J897" s="208"/>
      <c r="L897" s="47"/>
    </row>
    <row r="898" spans="2:12" ht="13.2">
      <c r="B898" s="113"/>
      <c r="F898" s="192"/>
      <c r="I898" s="209"/>
      <c r="J898" s="208"/>
      <c r="L898" s="47"/>
    </row>
    <row r="899" spans="2:12" ht="13.2">
      <c r="B899" s="113"/>
      <c r="F899" s="192"/>
      <c r="I899" s="209"/>
      <c r="J899" s="208"/>
      <c r="L899" s="47"/>
    </row>
    <row r="900" spans="2:12" ht="13.2">
      <c r="B900" s="113"/>
      <c r="F900" s="192"/>
      <c r="I900" s="209"/>
      <c r="J900" s="208"/>
      <c r="L900" s="47"/>
    </row>
    <row r="901" spans="2:12" ht="13.2">
      <c r="B901" s="113"/>
      <c r="F901" s="192"/>
      <c r="I901" s="209"/>
      <c r="J901" s="208"/>
      <c r="L901" s="47"/>
    </row>
    <row r="902" spans="2:12" ht="13.2">
      <c r="B902" s="113"/>
      <c r="F902" s="192"/>
      <c r="I902" s="209"/>
      <c r="J902" s="208"/>
      <c r="L902" s="47"/>
    </row>
    <row r="903" spans="2:12" ht="13.2">
      <c r="B903" s="113"/>
      <c r="F903" s="192"/>
      <c r="I903" s="209"/>
      <c r="J903" s="208"/>
      <c r="L903" s="47"/>
    </row>
    <row r="904" spans="2:12" ht="13.2">
      <c r="B904" s="113"/>
      <c r="F904" s="192"/>
      <c r="I904" s="209"/>
      <c r="J904" s="208"/>
      <c r="L904" s="47"/>
    </row>
    <row r="905" spans="2:12" ht="13.2">
      <c r="B905" s="113"/>
      <c r="F905" s="192"/>
      <c r="I905" s="209"/>
      <c r="J905" s="208"/>
      <c r="L905" s="47"/>
    </row>
    <row r="906" spans="2:12" ht="13.2">
      <c r="B906" s="113"/>
      <c r="F906" s="192"/>
      <c r="I906" s="209"/>
      <c r="J906" s="208"/>
      <c r="L906" s="47"/>
    </row>
    <row r="907" spans="2:12" ht="13.2">
      <c r="B907" s="113"/>
      <c r="F907" s="192"/>
      <c r="I907" s="209"/>
      <c r="J907" s="208"/>
      <c r="L907" s="47"/>
    </row>
    <row r="908" spans="2:12" ht="13.2">
      <c r="B908" s="113"/>
      <c r="F908" s="192"/>
      <c r="I908" s="209"/>
      <c r="J908" s="208"/>
      <c r="L908" s="47"/>
    </row>
    <row r="909" spans="2:12" ht="13.2">
      <c r="B909" s="113"/>
      <c r="F909" s="192"/>
      <c r="I909" s="209"/>
      <c r="J909" s="208"/>
      <c r="L909" s="47"/>
    </row>
    <row r="910" spans="2:12" ht="13.2">
      <c r="B910" s="113"/>
      <c r="F910" s="192"/>
      <c r="I910" s="209"/>
      <c r="J910" s="208"/>
      <c r="L910" s="47"/>
    </row>
    <row r="911" spans="2:12" ht="13.2">
      <c r="B911" s="113"/>
      <c r="F911" s="192"/>
      <c r="I911" s="209"/>
      <c r="J911" s="208"/>
      <c r="L911" s="47"/>
    </row>
    <row r="912" spans="2:12" ht="13.2">
      <c r="B912" s="113"/>
      <c r="F912" s="192"/>
      <c r="I912" s="209"/>
      <c r="J912" s="208"/>
      <c r="L912" s="47"/>
    </row>
    <row r="913" spans="2:12" ht="13.2">
      <c r="B913" s="113"/>
      <c r="F913" s="192"/>
      <c r="I913" s="209"/>
      <c r="J913" s="208"/>
      <c r="L913" s="47"/>
    </row>
    <row r="914" spans="2:12" ht="13.2">
      <c r="B914" s="113"/>
      <c r="F914" s="192"/>
      <c r="I914" s="209"/>
      <c r="J914" s="208"/>
      <c r="L914" s="47"/>
    </row>
    <row r="915" spans="2:12" ht="13.2">
      <c r="B915" s="113"/>
      <c r="F915" s="192"/>
      <c r="I915" s="209"/>
      <c r="J915" s="208"/>
      <c r="L915" s="47"/>
    </row>
    <row r="916" spans="2:12" ht="13.2">
      <c r="B916" s="113"/>
      <c r="F916" s="192"/>
      <c r="I916" s="209"/>
      <c r="J916" s="208"/>
      <c r="L916" s="47"/>
    </row>
    <row r="917" spans="2:12" ht="13.2">
      <c r="B917" s="113"/>
      <c r="F917" s="192"/>
      <c r="I917" s="209"/>
      <c r="J917" s="208"/>
      <c r="L917" s="47"/>
    </row>
    <row r="918" spans="2:12" ht="13.2">
      <c r="B918" s="113"/>
      <c r="F918" s="192"/>
      <c r="I918" s="209"/>
      <c r="J918" s="208"/>
      <c r="L918" s="47"/>
    </row>
    <row r="919" spans="2:12" ht="13.2">
      <c r="B919" s="113"/>
      <c r="F919" s="192"/>
      <c r="I919" s="209"/>
      <c r="J919" s="208"/>
      <c r="L919" s="47"/>
    </row>
    <row r="920" spans="2:12" ht="13.2">
      <c r="B920" s="113"/>
      <c r="F920" s="192"/>
      <c r="I920" s="209"/>
      <c r="J920" s="208"/>
      <c r="L920" s="47"/>
    </row>
    <row r="921" spans="2:12" ht="13.2">
      <c r="B921" s="113"/>
      <c r="F921" s="192"/>
      <c r="I921" s="209"/>
      <c r="J921" s="208"/>
      <c r="L921" s="47"/>
    </row>
    <row r="922" spans="2:12" ht="13.2">
      <c r="B922" s="113"/>
      <c r="F922" s="192"/>
      <c r="I922" s="209"/>
      <c r="J922" s="208"/>
      <c r="L922" s="47"/>
    </row>
    <row r="923" spans="2:12" ht="13.2">
      <c r="B923" s="113"/>
      <c r="F923" s="192"/>
      <c r="I923" s="209"/>
      <c r="J923" s="208"/>
      <c r="L923" s="47"/>
    </row>
    <row r="924" spans="2:12" ht="13.2">
      <c r="B924" s="113"/>
      <c r="F924" s="192"/>
      <c r="I924" s="209"/>
      <c r="J924" s="208"/>
      <c r="L924" s="47"/>
    </row>
    <row r="925" spans="2:12" ht="13.2">
      <c r="B925" s="113"/>
      <c r="F925" s="192"/>
      <c r="I925" s="209"/>
      <c r="J925" s="208"/>
      <c r="L925" s="47"/>
    </row>
    <row r="926" spans="2:12" ht="13.2">
      <c r="B926" s="113"/>
      <c r="F926" s="192"/>
      <c r="I926" s="209"/>
      <c r="J926" s="208"/>
      <c r="L926" s="47"/>
    </row>
    <row r="927" spans="2:12" ht="13.2">
      <c r="B927" s="113"/>
      <c r="F927" s="192"/>
      <c r="I927" s="209"/>
      <c r="J927" s="208"/>
      <c r="L927" s="47"/>
    </row>
    <row r="928" spans="2:12" ht="13.2">
      <c r="B928" s="113"/>
      <c r="F928" s="192"/>
      <c r="I928" s="209"/>
      <c r="J928" s="208"/>
      <c r="L928" s="47"/>
    </row>
    <row r="929" spans="2:12" ht="13.2">
      <c r="B929" s="113"/>
      <c r="F929" s="192"/>
      <c r="I929" s="209"/>
      <c r="J929" s="208"/>
      <c r="L929" s="47"/>
    </row>
    <row r="930" spans="2:12" ht="13.2">
      <c r="B930" s="113"/>
      <c r="F930" s="192"/>
      <c r="I930" s="209"/>
      <c r="J930" s="208"/>
      <c r="L930" s="47"/>
    </row>
    <row r="931" spans="2:12" ht="13.2">
      <c r="B931" s="113"/>
      <c r="F931" s="192"/>
      <c r="I931" s="209"/>
      <c r="J931" s="208"/>
      <c r="L931" s="47"/>
    </row>
    <row r="932" spans="2:12" ht="13.2">
      <c r="B932" s="113"/>
      <c r="F932" s="192"/>
      <c r="I932" s="209"/>
      <c r="J932" s="208"/>
      <c r="L932" s="47"/>
    </row>
    <row r="933" spans="2:12" ht="13.2">
      <c r="B933" s="113"/>
      <c r="F933" s="192"/>
      <c r="I933" s="209"/>
      <c r="J933" s="208"/>
      <c r="L933" s="47"/>
    </row>
    <row r="934" spans="2:12" ht="13.2">
      <c r="B934" s="113"/>
      <c r="F934" s="192"/>
      <c r="I934" s="209"/>
      <c r="J934" s="208"/>
      <c r="L934" s="47"/>
    </row>
    <row r="935" spans="2:12" ht="13.2">
      <c r="B935" s="113"/>
      <c r="F935" s="192"/>
      <c r="I935" s="209"/>
      <c r="J935" s="208"/>
      <c r="L935" s="47"/>
    </row>
    <row r="936" spans="2:12" ht="13.2">
      <c r="B936" s="113"/>
      <c r="F936" s="192"/>
      <c r="I936" s="209"/>
      <c r="J936" s="208"/>
      <c r="L936" s="47"/>
    </row>
    <row r="937" spans="2:12" ht="13.2">
      <c r="B937" s="113"/>
      <c r="F937" s="192"/>
      <c r="I937" s="209"/>
      <c r="J937" s="208"/>
      <c r="L937" s="47"/>
    </row>
    <row r="938" spans="2:12" ht="13.2">
      <c r="B938" s="113"/>
      <c r="F938" s="192"/>
      <c r="I938" s="209"/>
      <c r="J938" s="208"/>
      <c r="L938" s="47"/>
    </row>
    <row r="939" spans="2:12" ht="13.2">
      <c r="B939" s="113"/>
      <c r="F939" s="192"/>
      <c r="I939" s="209"/>
      <c r="J939" s="208"/>
      <c r="L939" s="47"/>
    </row>
    <row r="940" spans="2:12" ht="13.2">
      <c r="B940" s="113"/>
      <c r="F940" s="192"/>
      <c r="I940" s="209"/>
      <c r="J940" s="208"/>
      <c r="L940" s="47"/>
    </row>
    <row r="941" spans="2:12" ht="13.2">
      <c r="B941" s="113"/>
      <c r="F941" s="192"/>
      <c r="I941" s="209"/>
      <c r="J941" s="208"/>
      <c r="L941" s="47"/>
    </row>
    <row r="942" spans="2:12" ht="13.2">
      <c r="B942" s="113"/>
      <c r="F942" s="192"/>
      <c r="I942" s="209"/>
      <c r="J942" s="208"/>
      <c r="L942" s="47"/>
    </row>
    <row r="943" spans="2:12" ht="13.2">
      <c r="B943" s="113"/>
      <c r="F943" s="192"/>
      <c r="I943" s="209"/>
      <c r="J943" s="208"/>
      <c r="L943" s="47"/>
    </row>
    <row r="944" spans="2:12" ht="13.2">
      <c r="B944" s="113"/>
      <c r="F944" s="192"/>
      <c r="I944" s="209"/>
      <c r="J944" s="208"/>
      <c r="L944" s="47"/>
    </row>
    <row r="945" spans="2:12" ht="13.2">
      <c r="B945" s="113"/>
      <c r="F945" s="192"/>
      <c r="I945" s="209"/>
      <c r="J945" s="208"/>
      <c r="L945" s="47"/>
    </row>
    <row r="946" spans="2:12" ht="13.2">
      <c r="B946" s="113"/>
      <c r="F946" s="192"/>
      <c r="I946" s="209"/>
      <c r="J946" s="208"/>
      <c r="L946" s="47"/>
    </row>
    <row r="947" spans="2:12" ht="13.2">
      <c r="B947" s="113"/>
      <c r="F947" s="192"/>
      <c r="I947" s="209"/>
      <c r="J947" s="208"/>
      <c r="L947" s="47"/>
    </row>
    <row r="948" spans="2:12" ht="13.2">
      <c r="B948" s="113"/>
      <c r="F948" s="192"/>
      <c r="I948" s="209"/>
      <c r="J948" s="208"/>
      <c r="L948" s="47"/>
    </row>
    <row r="949" spans="2:12" ht="13.2">
      <c r="B949" s="113"/>
      <c r="F949" s="192"/>
      <c r="I949" s="209"/>
      <c r="J949" s="208"/>
      <c r="L949" s="47"/>
    </row>
    <row r="950" spans="2:12" ht="13.2">
      <c r="B950" s="113"/>
      <c r="F950" s="192"/>
      <c r="I950" s="209"/>
      <c r="J950" s="208"/>
      <c r="L950" s="47"/>
    </row>
    <row r="951" spans="2:12" ht="13.2">
      <c r="B951" s="113"/>
      <c r="F951" s="192"/>
      <c r="I951" s="209"/>
      <c r="J951" s="208"/>
      <c r="L951" s="47"/>
    </row>
    <row r="952" spans="2:12" ht="13.2">
      <c r="B952" s="113"/>
      <c r="F952" s="192"/>
      <c r="I952" s="209"/>
      <c r="J952" s="208"/>
      <c r="L952" s="47"/>
    </row>
    <row r="953" spans="2:12" ht="13.2">
      <c r="B953" s="113"/>
      <c r="F953" s="192"/>
      <c r="I953" s="209"/>
      <c r="J953" s="208"/>
      <c r="L953" s="47"/>
    </row>
    <row r="954" spans="2:12" ht="13.2">
      <c r="B954" s="113"/>
      <c r="F954" s="192"/>
      <c r="I954" s="209"/>
      <c r="J954" s="208"/>
      <c r="L954" s="47"/>
    </row>
    <row r="955" spans="2:12" ht="13.2">
      <c r="B955" s="113"/>
      <c r="F955" s="192"/>
      <c r="I955" s="209"/>
      <c r="J955" s="208"/>
      <c r="L955" s="47"/>
    </row>
    <row r="956" spans="2:12" ht="13.2">
      <c r="B956" s="113"/>
      <c r="F956" s="192"/>
      <c r="I956" s="209"/>
      <c r="J956" s="208"/>
      <c r="L956" s="47"/>
    </row>
    <row r="957" spans="2:12" ht="13.2">
      <c r="B957" s="113"/>
      <c r="F957" s="192"/>
      <c r="I957" s="209"/>
      <c r="J957" s="208"/>
      <c r="L957" s="47"/>
    </row>
    <row r="958" spans="2:12" ht="13.2">
      <c r="B958" s="113"/>
      <c r="F958" s="192"/>
      <c r="I958" s="209"/>
      <c r="J958" s="208"/>
      <c r="L958" s="47"/>
    </row>
    <row r="959" spans="2:12" ht="13.2">
      <c r="B959" s="113"/>
      <c r="F959" s="192"/>
      <c r="I959" s="209"/>
      <c r="J959" s="208"/>
      <c r="L959" s="47"/>
    </row>
    <row r="960" spans="2:12" ht="13.2">
      <c r="B960" s="113"/>
      <c r="F960" s="192"/>
      <c r="I960" s="209"/>
      <c r="J960" s="208"/>
      <c r="L960" s="47"/>
    </row>
    <row r="961" spans="2:12" ht="13.2">
      <c r="B961" s="113"/>
      <c r="F961" s="192"/>
      <c r="I961" s="209"/>
      <c r="J961" s="208"/>
      <c r="L961" s="47"/>
    </row>
    <row r="962" spans="2:12" ht="13.2">
      <c r="B962" s="113"/>
      <c r="F962" s="192"/>
      <c r="I962" s="209"/>
      <c r="J962" s="208"/>
      <c r="L962" s="47"/>
    </row>
    <row r="963" spans="2:12" ht="13.2">
      <c r="B963" s="113"/>
      <c r="F963" s="192"/>
      <c r="I963" s="209"/>
      <c r="J963" s="208"/>
      <c r="L963" s="47"/>
    </row>
    <row r="964" spans="2:12" ht="13.2">
      <c r="B964" s="113"/>
      <c r="F964" s="192"/>
      <c r="I964" s="209"/>
      <c r="J964" s="208"/>
      <c r="L964" s="47"/>
    </row>
    <row r="965" spans="2:12" ht="13.2">
      <c r="B965" s="113"/>
      <c r="F965" s="192"/>
      <c r="I965" s="209"/>
      <c r="J965" s="208"/>
      <c r="L965" s="47"/>
    </row>
    <row r="966" spans="2:12" ht="13.2">
      <c r="B966" s="113"/>
      <c r="F966" s="192"/>
      <c r="I966" s="209"/>
      <c r="J966" s="208"/>
      <c r="L966" s="47"/>
    </row>
    <row r="967" spans="2:12" ht="13.2">
      <c r="B967" s="113"/>
      <c r="F967" s="192"/>
      <c r="I967" s="209"/>
      <c r="J967" s="208"/>
      <c r="L967" s="47"/>
    </row>
    <row r="968" spans="2:12" ht="13.2">
      <c r="B968" s="113"/>
      <c r="F968" s="192"/>
      <c r="I968" s="209"/>
      <c r="J968" s="208"/>
      <c r="L968" s="47"/>
    </row>
    <row r="969" spans="2:12" ht="13.2">
      <c r="B969" s="113"/>
      <c r="F969" s="192"/>
      <c r="I969" s="209"/>
      <c r="J969" s="208"/>
      <c r="L969" s="47"/>
    </row>
    <row r="970" spans="2:12" ht="13.2">
      <c r="B970" s="113"/>
      <c r="F970" s="192"/>
      <c r="I970" s="209"/>
      <c r="J970" s="208"/>
      <c r="L970" s="47"/>
    </row>
    <row r="971" spans="2:12" ht="13.2">
      <c r="B971" s="113"/>
      <c r="F971" s="192"/>
      <c r="I971" s="209"/>
      <c r="J971" s="208"/>
      <c r="L971" s="47"/>
    </row>
    <row r="972" spans="2:12" ht="13.2">
      <c r="B972" s="113"/>
      <c r="F972" s="192"/>
      <c r="I972" s="209"/>
      <c r="J972" s="208"/>
      <c r="L972" s="47"/>
    </row>
    <row r="973" spans="2:12" ht="13.2">
      <c r="B973" s="113"/>
      <c r="F973" s="192"/>
      <c r="I973" s="209"/>
      <c r="J973" s="208"/>
      <c r="L973" s="47"/>
    </row>
    <row r="974" spans="2:12" ht="13.2">
      <c r="B974" s="113"/>
      <c r="F974" s="192"/>
      <c r="I974" s="209"/>
      <c r="J974" s="208"/>
      <c r="L974" s="47"/>
    </row>
    <row r="975" spans="2:12" ht="13.2">
      <c r="B975" s="113"/>
      <c r="F975" s="192"/>
      <c r="I975" s="209"/>
      <c r="J975" s="208"/>
      <c r="L975" s="47"/>
    </row>
    <row r="976" spans="2:12" ht="13.2">
      <c r="B976" s="113"/>
      <c r="F976" s="192"/>
      <c r="I976" s="209"/>
      <c r="J976" s="208"/>
      <c r="L976" s="47"/>
    </row>
    <row r="977" spans="2:12" ht="13.2">
      <c r="B977" s="113"/>
      <c r="F977" s="192"/>
      <c r="I977" s="209"/>
      <c r="J977" s="208"/>
      <c r="L977" s="47"/>
    </row>
    <row r="978" spans="2:12" ht="13.2">
      <c r="B978" s="113"/>
      <c r="F978" s="192"/>
      <c r="I978" s="209"/>
      <c r="J978" s="208"/>
      <c r="L978" s="47"/>
    </row>
    <row r="979" spans="2:12" ht="13.2">
      <c r="B979" s="113"/>
      <c r="F979" s="192"/>
      <c r="I979" s="209"/>
      <c r="J979" s="208"/>
      <c r="L979" s="47"/>
    </row>
    <row r="980" spans="2:12" ht="13.2">
      <c r="B980" s="113"/>
      <c r="F980" s="192"/>
      <c r="I980" s="209"/>
      <c r="J980" s="208"/>
      <c r="L980" s="47"/>
    </row>
    <row r="981" spans="2:12" ht="13.2">
      <c r="B981" s="113"/>
      <c r="F981" s="192"/>
      <c r="I981" s="209"/>
      <c r="J981" s="208"/>
      <c r="L981" s="47"/>
    </row>
    <row r="982" spans="2:12" ht="13.2">
      <c r="B982" s="113"/>
      <c r="F982" s="192"/>
      <c r="I982" s="209"/>
      <c r="J982" s="208"/>
      <c r="L982" s="47"/>
    </row>
    <row r="983" spans="2:12" ht="13.2">
      <c r="B983" s="113"/>
      <c r="F983" s="192"/>
      <c r="I983" s="209"/>
      <c r="J983" s="208"/>
      <c r="L983" s="47"/>
    </row>
    <row r="984" spans="2:12" ht="13.2">
      <c r="B984" s="113"/>
      <c r="F984" s="192"/>
      <c r="I984" s="209"/>
      <c r="J984" s="208"/>
      <c r="L984" s="47"/>
    </row>
    <row r="985" spans="2:12" ht="13.2">
      <c r="B985" s="113"/>
      <c r="F985" s="192"/>
      <c r="I985" s="209"/>
      <c r="J985" s="208"/>
      <c r="L985" s="47"/>
    </row>
    <row r="986" spans="2:12" ht="13.2">
      <c r="B986" s="113"/>
      <c r="F986" s="192"/>
      <c r="I986" s="209"/>
      <c r="J986" s="208"/>
      <c r="L986" s="47"/>
    </row>
    <row r="987" spans="2:12" ht="13.2">
      <c r="B987" s="113"/>
      <c r="F987" s="192"/>
      <c r="I987" s="209"/>
      <c r="J987" s="208"/>
      <c r="L987" s="47"/>
    </row>
    <row r="988" spans="2:12" ht="13.2">
      <c r="B988" s="113"/>
      <c r="F988" s="192"/>
      <c r="I988" s="209"/>
      <c r="J988" s="208"/>
      <c r="L988" s="47"/>
    </row>
    <row r="989" spans="2:12" ht="13.2">
      <c r="B989" s="113"/>
      <c r="F989" s="192"/>
      <c r="I989" s="209"/>
      <c r="J989" s="208"/>
      <c r="L989" s="47"/>
    </row>
    <row r="990" spans="2:12" ht="13.2">
      <c r="B990" s="113"/>
      <c r="F990" s="192"/>
      <c r="I990" s="209"/>
      <c r="J990" s="208"/>
      <c r="L990" s="47"/>
    </row>
    <row r="991" spans="2:12" ht="13.2">
      <c r="B991" s="113"/>
      <c r="F991" s="192"/>
      <c r="I991" s="209"/>
      <c r="J991" s="208"/>
      <c r="L991" s="47"/>
    </row>
    <row r="992" spans="2:12" ht="13.2">
      <c r="B992" s="113"/>
      <c r="F992" s="192"/>
      <c r="I992" s="209"/>
      <c r="J992" s="208"/>
      <c r="L992" s="47"/>
    </row>
    <row r="993" spans="2:12" ht="13.2">
      <c r="B993" s="113"/>
      <c r="F993" s="192"/>
      <c r="I993" s="209"/>
      <c r="J993" s="208"/>
      <c r="L993" s="47"/>
    </row>
    <row r="994" spans="2:12" ht="13.2">
      <c r="B994" s="113"/>
      <c r="F994" s="192"/>
      <c r="I994" s="209"/>
      <c r="J994" s="208"/>
      <c r="L994" s="47"/>
    </row>
    <row r="995" spans="2:12" ht="13.2">
      <c r="B995" s="113"/>
      <c r="F995" s="192"/>
      <c r="I995" s="209"/>
      <c r="J995" s="208"/>
      <c r="L995" s="47"/>
    </row>
    <row r="996" spans="2:12" ht="13.2">
      <c r="B996" s="113"/>
      <c r="F996" s="192"/>
      <c r="I996" s="209"/>
      <c r="J996" s="208"/>
      <c r="L996" s="47"/>
    </row>
    <row r="997" spans="2:12" ht="13.2">
      <c r="B997" s="113"/>
      <c r="F997" s="192"/>
      <c r="I997" s="209"/>
      <c r="J997" s="208"/>
      <c r="L997" s="47"/>
    </row>
    <row r="998" spans="2:12" ht="13.2">
      <c r="B998" s="113"/>
      <c r="F998" s="192"/>
      <c r="I998" s="209"/>
      <c r="J998" s="208"/>
      <c r="L998" s="47"/>
    </row>
    <row r="999" spans="2:12" ht="13.2">
      <c r="B999" s="113"/>
      <c r="F999" s="192"/>
      <c r="I999" s="209"/>
      <c r="J999" s="208"/>
      <c r="L999" s="47"/>
    </row>
    <row r="1000" spans="2:12" ht="13.2">
      <c r="B1000" s="113"/>
      <c r="F1000" s="192"/>
      <c r="I1000" s="209"/>
      <c r="J1000" s="208"/>
      <c r="L1000" s="47"/>
    </row>
  </sheetData>
  <autoFilter ref="A1:N134" xr:uid="{00000000-0009-0000-0000-000000000000}"/>
  <mergeCells count="5">
    <mergeCell ref="A2:A13"/>
    <mergeCell ref="A14:A25"/>
    <mergeCell ref="A26:A37"/>
    <mergeCell ref="A38:A49"/>
    <mergeCell ref="A50:A65"/>
  </mergeCells>
  <conditionalFormatting sqref="D2:D155">
    <cfRule type="containsBlanks" dxfId="1" priority="1">
      <formula>LEN(TRIM(D2))=0</formula>
    </cfRule>
    <cfRule type="expression" dxfId="0" priority="2">
      <formula>D2 &lt;= E2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/>
  </sheetViews>
  <sheetFormatPr defaultColWidth="12.6640625" defaultRowHeight="15.75" customHeight="1"/>
  <cols>
    <col min="2" max="2" width="10" customWidth="1"/>
    <col min="3" max="3" width="10.109375" customWidth="1"/>
    <col min="4" max="4" width="9.109375" customWidth="1"/>
    <col min="5" max="5" width="9" customWidth="1"/>
    <col min="6" max="6" width="8.33203125" customWidth="1"/>
    <col min="7" max="7" width="9" customWidth="1"/>
    <col min="8" max="8" width="8" customWidth="1"/>
    <col min="9" max="9" width="8.21875" customWidth="1"/>
    <col min="10" max="10" width="12.21875" customWidth="1"/>
    <col min="11" max="11" width="8.44140625" customWidth="1"/>
    <col min="12" max="12" width="8.6640625" customWidth="1"/>
    <col min="13" max="14" width="13.21875" customWidth="1"/>
  </cols>
  <sheetData>
    <row r="1" spans="1:14">
      <c r="A1" s="3" t="s">
        <v>1</v>
      </c>
      <c r="B1" s="5" t="s">
        <v>4</v>
      </c>
      <c r="C1" s="9" t="s">
        <v>6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L1" s="18" t="s">
        <v>26</v>
      </c>
      <c r="M1" s="25">
        <f>SUM(J2:J140)-SUM(C2:C140)*170</f>
        <v>16349.230310000014</v>
      </c>
      <c r="N1" s="29"/>
    </row>
    <row r="2" spans="1:14">
      <c r="A2" s="31">
        <v>45884</v>
      </c>
      <c r="B2" s="35" t="s">
        <v>44</v>
      </c>
      <c r="C2" s="39">
        <f t="shared" ref="C2:C256" si="0">SUM(D2:I2)</f>
        <v>20.69</v>
      </c>
      <c r="D2" s="42">
        <v>7.72</v>
      </c>
      <c r="E2" s="42">
        <v>12.71</v>
      </c>
      <c r="F2" s="42">
        <v>0.26</v>
      </c>
      <c r="G2" s="42"/>
      <c r="H2" s="42"/>
      <c r="I2" s="42"/>
      <c r="J2" s="42">
        <v>2454</v>
      </c>
    </row>
    <row r="3" spans="1:14">
      <c r="A3" s="31">
        <v>45885</v>
      </c>
      <c r="B3" s="35" t="s">
        <v>40</v>
      </c>
      <c r="C3" s="39">
        <f t="shared" si="0"/>
        <v>6.91</v>
      </c>
      <c r="D3" s="42">
        <v>3.25</v>
      </c>
      <c r="E3" s="42">
        <v>3.14</v>
      </c>
      <c r="F3" s="42">
        <v>0.52</v>
      </c>
      <c r="G3" s="42"/>
      <c r="H3" s="42"/>
      <c r="I3" s="42"/>
      <c r="J3" s="42"/>
    </row>
    <row r="4" spans="1:14">
      <c r="A4" s="31">
        <v>45886</v>
      </c>
      <c r="B4" s="35" t="s">
        <v>58</v>
      </c>
      <c r="C4" s="39">
        <f t="shared" si="0"/>
        <v>0</v>
      </c>
      <c r="D4" s="48"/>
      <c r="E4" s="48"/>
      <c r="F4" s="42"/>
      <c r="G4" s="42"/>
      <c r="H4" s="42"/>
      <c r="I4" s="42"/>
      <c r="J4" s="42"/>
    </row>
    <row r="5" spans="1:14">
      <c r="A5" s="31">
        <v>45887</v>
      </c>
      <c r="B5" s="35" t="s">
        <v>61</v>
      </c>
      <c r="C5" s="39">
        <f t="shared" si="0"/>
        <v>25.8</v>
      </c>
      <c r="D5" s="42">
        <v>7.14</v>
      </c>
      <c r="E5" s="42">
        <v>18.09</v>
      </c>
      <c r="F5" s="42">
        <v>0.56999999999999995</v>
      </c>
      <c r="G5" s="42"/>
      <c r="H5" s="42"/>
      <c r="I5" s="42"/>
      <c r="J5" s="42"/>
    </row>
    <row r="6" spans="1:14">
      <c r="A6" s="31">
        <v>45888</v>
      </c>
      <c r="B6" s="35" t="s">
        <v>68</v>
      </c>
      <c r="C6" s="39">
        <f t="shared" si="0"/>
        <v>2.62</v>
      </c>
      <c r="D6" s="42">
        <v>2.62</v>
      </c>
      <c r="E6" s="48"/>
      <c r="F6" s="42"/>
      <c r="G6" s="42"/>
      <c r="H6" s="42"/>
      <c r="I6" s="42"/>
      <c r="J6" s="42">
        <v>15000</v>
      </c>
    </row>
    <row r="7" spans="1:14">
      <c r="A7" s="31">
        <v>45889</v>
      </c>
      <c r="B7" s="35" t="s">
        <v>83</v>
      </c>
      <c r="C7" s="39">
        <f t="shared" si="0"/>
        <v>13.83</v>
      </c>
      <c r="D7" s="42">
        <v>2.78</v>
      </c>
      <c r="E7" s="42">
        <v>11.05</v>
      </c>
      <c r="F7" s="42"/>
      <c r="G7" s="42"/>
      <c r="H7" s="42"/>
      <c r="I7" s="42"/>
      <c r="J7" s="42"/>
    </row>
    <row r="8" spans="1:14">
      <c r="A8" s="31">
        <v>45890</v>
      </c>
      <c r="B8" s="35" t="s">
        <v>91</v>
      </c>
      <c r="C8" s="39">
        <f t="shared" si="0"/>
        <v>8.5299999999999994</v>
      </c>
      <c r="D8" s="48">
        <v>2.86</v>
      </c>
      <c r="E8" s="42">
        <v>5.57</v>
      </c>
      <c r="F8" s="42">
        <v>0.1</v>
      </c>
      <c r="G8" s="42"/>
      <c r="H8" s="42"/>
      <c r="I8" s="42"/>
      <c r="J8" s="42"/>
    </row>
    <row r="9" spans="1:14">
      <c r="A9" s="31">
        <v>45891</v>
      </c>
      <c r="B9" s="35" t="s">
        <v>44</v>
      </c>
      <c r="C9" s="39">
        <f t="shared" si="0"/>
        <v>2.72</v>
      </c>
      <c r="D9" s="42">
        <v>2.72</v>
      </c>
      <c r="E9" s="42"/>
      <c r="F9" s="42"/>
      <c r="G9" s="42"/>
      <c r="H9" s="42"/>
      <c r="I9" s="42"/>
      <c r="J9" s="42"/>
    </row>
    <row r="10" spans="1:14">
      <c r="A10" s="31">
        <v>45892</v>
      </c>
      <c r="B10" s="35" t="s">
        <v>40</v>
      </c>
      <c r="C10" s="39">
        <f t="shared" si="0"/>
        <v>8.82</v>
      </c>
      <c r="D10" s="42">
        <v>1.94</v>
      </c>
      <c r="E10" s="42">
        <v>6.88</v>
      </c>
      <c r="F10" s="42"/>
      <c r="G10" s="42"/>
      <c r="H10" s="42"/>
      <c r="I10" s="42"/>
      <c r="J10" s="42"/>
    </row>
    <row r="11" spans="1:14">
      <c r="A11" s="31">
        <v>45893</v>
      </c>
      <c r="B11" s="35" t="s">
        <v>58</v>
      </c>
      <c r="C11" s="39">
        <f t="shared" si="0"/>
        <v>0</v>
      </c>
      <c r="D11" s="42"/>
      <c r="E11" s="42"/>
      <c r="F11" s="42"/>
      <c r="G11" s="42"/>
      <c r="H11" s="42"/>
      <c r="I11" s="42"/>
      <c r="J11" s="42"/>
    </row>
    <row r="12" spans="1:14">
      <c r="A12" s="31">
        <v>45894</v>
      </c>
      <c r="B12" s="35" t="s">
        <v>61</v>
      </c>
      <c r="C12" s="39">
        <f t="shared" si="0"/>
        <v>5.61</v>
      </c>
      <c r="D12" s="42">
        <v>5.61</v>
      </c>
      <c r="E12" s="42"/>
      <c r="F12" s="42"/>
      <c r="G12" s="42"/>
      <c r="H12" s="42"/>
      <c r="I12" s="42"/>
      <c r="J12" s="42"/>
    </row>
    <row r="13" spans="1:14">
      <c r="A13" s="31">
        <v>45895</v>
      </c>
      <c r="B13" s="35" t="s">
        <v>68</v>
      </c>
      <c r="C13" s="39">
        <f t="shared" si="0"/>
        <v>16.010057999999997</v>
      </c>
      <c r="D13" s="42">
        <v>1.1599999999999999</v>
      </c>
      <c r="E13" s="65">
        <v>14.850057999999999</v>
      </c>
      <c r="F13" s="42"/>
      <c r="G13" s="42"/>
      <c r="H13" s="42"/>
      <c r="I13" s="42"/>
      <c r="J13" s="42"/>
    </row>
    <row r="14" spans="1:14">
      <c r="A14" s="31">
        <v>45896</v>
      </c>
      <c r="B14" s="35" t="s">
        <v>83</v>
      </c>
      <c r="C14" s="39">
        <f t="shared" si="0"/>
        <v>7.13</v>
      </c>
      <c r="D14" s="42">
        <v>1.0900000000000001</v>
      </c>
      <c r="E14" s="42">
        <v>6.04</v>
      </c>
      <c r="F14" s="42"/>
      <c r="G14" s="42"/>
      <c r="H14" s="42"/>
      <c r="I14" s="42"/>
      <c r="J14" s="42"/>
    </row>
    <row r="15" spans="1:14">
      <c r="A15" s="31">
        <v>45897</v>
      </c>
      <c r="B15" s="35" t="s">
        <v>91</v>
      </c>
      <c r="C15" s="39">
        <f t="shared" si="0"/>
        <v>2.5300000000000002</v>
      </c>
      <c r="D15" s="42">
        <v>1.37</v>
      </c>
      <c r="E15" s="42">
        <v>0.38</v>
      </c>
      <c r="F15" s="42">
        <v>0.78</v>
      </c>
      <c r="G15" s="42"/>
      <c r="H15" s="42"/>
      <c r="I15" s="42"/>
      <c r="J15" s="42"/>
    </row>
    <row r="16" spans="1:14">
      <c r="A16" s="31">
        <v>45898</v>
      </c>
      <c r="B16" s="35" t="s">
        <v>44</v>
      </c>
      <c r="C16" s="39">
        <f t="shared" si="0"/>
        <v>3.1500000000000004</v>
      </c>
      <c r="D16" s="42">
        <v>2.62</v>
      </c>
      <c r="E16" s="42">
        <v>0.53</v>
      </c>
      <c r="F16" s="42"/>
      <c r="G16" s="42"/>
      <c r="H16" s="42"/>
      <c r="I16" s="42"/>
      <c r="J16" s="42"/>
    </row>
    <row r="17" spans="1:10">
      <c r="A17" s="31">
        <v>45899</v>
      </c>
      <c r="B17" s="35" t="s">
        <v>40</v>
      </c>
      <c r="C17" s="39">
        <f t="shared" si="0"/>
        <v>20.908647999999999</v>
      </c>
      <c r="D17" s="42">
        <v>4.82</v>
      </c>
      <c r="E17" s="65">
        <v>11.348648000000001</v>
      </c>
      <c r="F17" s="65">
        <v>3.4799999999999995</v>
      </c>
      <c r="G17" s="42">
        <v>0.14000000000000001</v>
      </c>
      <c r="H17" s="42">
        <v>0.31</v>
      </c>
      <c r="I17" s="42">
        <v>0.81</v>
      </c>
      <c r="J17" s="42">
        <v>15000</v>
      </c>
    </row>
    <row r="18" spans="1:10">
      <c r="A18" s="31">
        <v>45900</v>
      </c>
      <c r="B18" s="35" t="s">
        <v>58</v>
      </c>
      <c r="C18" s="39">
        <f t="shared" si="0"/>
        <v>1.1399999999999999</v>
      </c>
      <c r="D18" s="42">
        <v>1.1399999999999999</v>
      </c>
      <c r="E18" s="42"/>
      <c r="F18" s="42"/>
      <c r="G18" s="42"/>
      <c r="H18" s="42"/>
      <c r="I18" s="42"/>
      <c r="J18" s="42"/>
    </row>
    <row r="19" spans="1:10">
      <c r="A19" s="31">
        <v>45901</v>
      </c>
      <c r="B19" s="35" t="s">
        <v>61</v>
      </c>
      <c r="C19" s="39">
        <f t="shared" si="0"/>
        <v>17.47</v>
      </c>
      <c r="D19" s="42">
        <v>17.47</v>
      </c>
      <c r="E19" s="42"/>
      <c r="F19" s="42"/>
      <c r="G19" s="42"/>
      <c r="H19" s="42"/>
      <c r="I19" s="42"/>
      <c r="J19" s="42"/>
    </row>
    <row r="20" spans="1:10">
      <c r="A20" s="31">
        <v>45902</v>
      </c>
      <c r="B20" s="35" t="s">
        <v>68</v>
      </c>
      <c r="C20" s="39">
        <f t="shared" si="0"/>
        <v>18.466057999999997</v>
      </c>
      <c r="D20" s="65">
        <v>5.8429339999999996</v>
      </c>
      <c r="E20" s="65">
        <v>12.623123999999997</v>
      </c>
      <c r="F20" s="42"/>
      <c r="G20" s="42"/>
      <c r="H20" s="42"/>
      <c r="I20" s="42"/>
      <c r="J20" s="42"/>
    </row>
    <row r="21" spans="1:10">
      <c r="A21" s="31">
        <v>45903</v>
      </c>
      <c r="B21" s="35" t="s">
        <v>83</v>
      </c>
      <c r="C21" s="39">
        <f t="shared" si="0"/>
        <v>15.27</v>
      </c>
      <c r="D21" s="42">
        <v>6.97</v>
      </c>
      <c r="E21" s="42">
        <v>7.44</v>
      </c>
      <c r="F21" s="42">
        <v>0.49</v>
      </c>
      <c r="G21" s="42">
        <v>0.37</v>
      </c>
      <c r="H21" s="42"/>
      <c r="I21" s="42"/>
      <c r="J21" s="42"/>
    </row>
    <row r="22" spans="1:10">
      <c r="A22" s="31">
        <v>45904</v>
      </c>
      <c r="B22" s="35" t="s">
        <v>91</v>
      </c>
      <c r="C22" s="39">
        <f t="shared" si="0"/>
        <v>12.709999999999999</v>
      </c>
      <c r="D22" s="42">
        <v>4.3099999999999996</v>
      </c>
      <c r="E22" s="42">
        <v>7.06</v>
      </c>
      <c r="F22" s="42">
        <v>0.61</v>
      </c>
      <c r="G22" s="42">
        <v>0.73</v>
      </c>
      <c r="H22" s="42"/>
      <c r="I22" s="42"/>
      <c r="J22" s="42"/>
    </row>
    <row r="23" spans="1:10">
      <c r="A23" s="31">
        <v>45905</v>
      </c>
      <c r="B23" s="35" t="s">
        <v>44</v>
      </c>
      <c r="C23" s="39">
        <f t="shared" si="0"/>
        <v>9.64</v>
      </c>
      <c r="D23" s="42">
        <v>5.39</v>
      </c>
      <c r="E23" s="42">
        <v>4.25</v>
      </c>
      <c r="F23" s="42"/>
      <c r="G23" s="42"/>
      <c r="H23" s="42"/>
      <c r="I23" s="42"/>
      <c r="J23" s="42"/>
    </row>
    <row r="24" spans="1:10">
      <c r="A24" s="31">
        <v>45906</v>
      </c>
      <c r="B24" s="35" t="s">
        <v>40</v>
      </c>
      <c r="C24" s="39">
        <f t="shared" si="0"/>
        <v>0</v>
      </c>
      <c r="D24" s="42"/>
      <c r="E24" s="42"/>
      <c r="F24" s="42"/>
      <c r="G24" s="42"/>
      <c r="H24" s="42"/>
      <c r="I24" s="42"/>
      <c r="J24" s="42"/>
    </row>
    <row r="25" spans="1:10">
      <c r="A25" s="31">
        <v>45907</v>
      </c>
      <c r="B25" s="35" t="s">
        <v>58</v>
      </c>
      <c r="C25" s="39">
        <f t="shared" si="0"/>
        <v>0</v>
      </c>
      <c r="D25" s="42"/>
      <c r="E25" s="42"/>
      <c r="F25" s="42"/>
      <c r="G25" s="42"/>
      <c r="H25" s="42"/>
      <c r="I25" s="42"/>
      <c r="J25" s="42"/>
    </row>
    <row r="26" spans="1:10">
      <c r="A26" s="31">
        <v>45908</v>
      </c>
      <c r="B26" s="35" t="s">
        <v>61</v>
      </c>
      <c r="C26" s="39">
        <f t="shared" si="0"/>
        <v>38.43</v>
      </c>
      <c r="D26" s="73">
        <v>38.43</v>
      </c>
      <c r="E26" s="42"/>
      <c r="F26" s="42"/>
      <c r="G26" s="42"/>
      <c r="H26" s="42"/>
      <c r="I26" s="42"/>
      <c r="J26" s="42"/>
    </row>
    <row r="27" spans="1:10">
      <c r="A27" s="31">
        <v>45909</v>
      </c>
      <c r="B27" s="35" t="s">
        <v>68</v>
      </c>
      <c r="C27" s="39">
        <f t="shared" si="0"/>
        <v>26.58</v>
      </c>
      <c r="D27" s="42">
        <v>26.58</v>
      </c>
      <c r="E27" s="42"/>
      <c r="F27" s="42"/>
      <c r="G27" s="42"/>
      <c r="H27" s="42"/>
      <c r="I27" s="42"/>
      <c r="J27" s="42"/>
    </row>
    <row r="28" spans="1:10">
      <c r="A28" s="31">
        <v>45910</v>
      </c>
      <c r="B28" s="35" t="s">
        <v>83</v>
      </c>
      <c r="C28" s="39">
        <f t="shared" si="0"/>
        <v>15.879999999999999</v>
      </c>
      <c r="D28" s="42">
        <v>8.17</v>
      </c>
      <c r="E28" s="42">
        <v>7.71</v>
      </c>
      <c r="F28" s="42"/>
      <c r="G28" s="42"/>
      <c r="H28" s="42"/>
      <c r="I28" s="42"/>
      <c r="J28" s="42"/>
    </row>
    <row r="29" spans="1:10">
      <c r="A29" s="31">
        <v>45911</v>
      </c>
      <c r="B29" s="35" t="s">
        <v>91</v>
      </c>
      <c r="C29" s="39">
        <f t="shared" si="0"/>
        <v>14.89</v>
      </c>
      <c r="D29" s="42">
        <v>7.01</v>
      </c>
      <c r="E29" s="42">
        <v>3.88</v>
      </c>
      <c r="F29" s="42">
        <v>4</v>
      </c>
      <c r="G29" s="42"/>
      <c r="H29" s="42"/>
      <c r="I29" s="42"/>
      <c r="J29" s="42">
        <v>-150</v>
      </c>
    </row>
    <row r="30" spans="1:10">
      <c r="A30" s="31">
        <v>45912</v>
      </c>
      <c r="B30" s="35" t="s">
        <v>44</v>
      </c>
      <c r="C30" s="39">
        <f t="shared" si="0"/>
        <v>16.043334000000002</v>
      </c>
      <c r="D30" s="42">
        <v>5.23</v>
      </c>
      <c r="E30" s="65">
        <v>3.5922479999999997</v>
      </c>
      <c r="F30" s="65">
        <v>6.371086</v>
      </c>
      <c r="G30" s="42">
        <v>0.41</v>
      </c>
      <c r="H30" s="42">
        <v>0.44</v>
      </c>
      <c r="I30" s="42"/>
      <c r="J30" s="42">
        <v>2870</v>
      </c>
    </row>
    <row r="31" spans="1:10">
      <c r="A31" s="31">
        <v>45913</v>
      </c>
      <c r="B31" s="35" t="s">
        <v>40</v>
      </c>
      <c r="C31" s="39">
        <f t="shared" si="0"/>
        <v>19.138126999999997</v>
      </c>
      <c r="D31" s="76">
        <v>7.03</v>
      </c>
      <c r="E31" s="65">
        <v>2.7721399999999998</v>
      </c>
      <c r="F31" s="65">
        <v>9.3359869999999994</v>
      </c>
      <c r="G31" s="42"/>
      <c r="H31" s="42"/>
      <c r="I31" s="42"/>
      <c r="J31" s="42">
        <v>38000</v>
      </c>
    </row>
    <row r="32" spans="1:10">
      <c r="A32" s="31">
        <v>45914</v>
      </c>
      <c r="B32" s="35" t="s">
        <v>58</v>
      </c>
      <c r="C32" s="39">
        <f t="shared" si="0"/>
        <v>0</v>
      </c>
      <c r="D32" s="42"/>
      <c r="E32" s="42"/>
      <c r="F32" s="42"/>
      <c r="G32" s="42"/>
      <c r="H32" s="42"/>
      <c r="I32" s="42"/>
      <c r="J32" s="42"/>
    </row>
    <row r="33" spans="1:10">
      <c r="A33" s="31">
        <v>45915</v>
      </c>
      <c r="B33" s="35" t="s">
        <v>61</v>
      </c>
      <c r="C33" s="39">
        <f t="shared" si="0"/>
        <v>36.89</v>
      </c>
      <c r="D33" s="42">
        <v>36.89</v>
      </c>
      <c r="E33" s="42"/>
      <c r="F33" s="42"/>
      <c r="G33" s="42"/>
      <c r="H33" s="42"/>
      <c r="I33" s="42"/>
      <c r="J33" s="42"/>
    </row>
    <row r="34" spans="1:10">
      <c r="A34" s="31">
        <v>45916</v>
      </c>
      <c r="B34" s="35" t="s">
        <v>68</v>
      </c>
      <c r="C34" s="39">
        <f t="shared" si="0"/>
        <v>6.7757919999999991</v>
      </c>
      <c r="D34" s="42">
        <v>3.46</v>
      </c>
      <c r="E34" s="65">
        <v>3.3157919999999996</v>
      </c>
      <c r="F34" s="42"/>
      <c r="G34" s="42"/>
      <c r="H34" s="42"/>
      <c r="I34" s="42"/>
      <c r="J34" s="42"/>
    </row>
    <row r="35" spans="1:10">
      <c r="A35" s="31">
        <v>45917</v>
      </c>
      <c r="B35" s="35" t="s">
        <v>83</v>
      </c>
      <c r="C35" s="39">
        <f t="shared" si="0"/>
        <v>0</v>
      </c>
      <c r="D35" s="42"/>
      <c r="E35" s="42"/>
      <c r="F35" s="42"/>
      <c r="G35" s="42"/>
      <c r="H35" s="42"/>
      <c r="I35" s="42"/>
      <c r="J35" s="42"/>
    </row>
    <row r="36" spans="1:10">
      <c r="A36" s="31">
        <v>45918</v>
      </c>
      <c r="B36" s="35" t="s">
        <v>91</v>
      </c>
      <c r="C36" s="39">
        <f t="shared" si="0"/>
        <v>9.49</v>
      </c>
      <c r="D36" s="42">
        <v>3.81</v>
      </c>
      <c r="E36" s="42">
        <v>5.68</v>
      </c>
      <c r="F36" s="42"/>
      <c r="G36" s="42"/>
      <c r="H36" s="42"/>
      <c r="I36" s="42"/>
      <c r="J36" s="42"/>
    </row>
    <row r="37" spans="1:10">
      <c r="A37" s="31">
        <v>45919</v>
      </c>
      <c r="B37" s="35" t="s">
        <v>44</v>
      </c>
      <c r="C37" s="39">
        <f t="shared" si="0"/>
        <v>7.09</v>
      </c>
      <c r="D37" s="42">
        <v>1.63</v>
      </c>
      <c r="E37" s="42">
        <v>0.09</v>
      </c>
      <c r="F37" s="42">
        <v>5.37</v>
      </c>
      <c r="G37" s="42"/>
      <c r="H37" s="42"/>
      <c r="I37" s="42"/>
      <c r="J37" s="42"/>
    </row>
    <row r="38" spans="1:10">
      <c r="A38" s="31">
        <v>45920</v>
      </c>
      <c r="B38" s="35" t="s">
        <v>40</v>
      </c>
      <c r="C38" s="39">
        <f t="shared" si="0"/>
        <v>15.43</v>
      </c>
      <c r="D38" s="42">
        <v>9.93</v>
      </c>
      <c r="E38" s="42">
        <v>5.5</v>
      </c>
      <c r="F38" s="42"/>
      <c r="G38" s="42"/>
      <c r="H38" s="42"/>
      <c r="I38" s="42"/>
      <c r="J38" s="42"/>
    </row>
    <row r="39" spans="1:10">
      <c r="A39" s="31">
        <v>45921</v>
      </c>
      <c r="B39" s="35" t="s">
        <v>58</v>
      </c>
      <c r="C39" s="39">
        <f t="shared" si="0"/>
        <v>0</v>
      </c>
      <c r="D39" s="42"/>
      <c r="E39" s="42"/>
      <c r="F39" s="42"/>
      <c r="G39" s="42"/>
      <c r="H39" s="42"/>
      <c r="I39" s="42"/>
      <c r="J39" s="42"/>
    </row>
    <row r="40" spans="1:10">
      <c r="A40" s="31">
        <v>45922</v>
      </c>
      <c r="B40" s="35" t="s">
        <v>61</v>
      </c>
      <c r="C40" s="39">
        <f t="shared" si="0"/>
        <v>26.57</v>
      </c>
      <c r="D40" s="42">
        <v>0.69</v>
      </c>
      <c r="E40" s="42">
        <v>25.88</v>
      </c>
      <c r="F40" s="42"/>
      <c r="G40" s="42"/>
      <c r="H40" s="42"/>
      <c r="I40" s="42"/>
      <c r="J40" s="42"/>
    </row>
    <row r="41" spans="1:10">
      <c r="A41" s="31">
        <v>45923</v>
      </c>
      <c r="B41" s="35" t="s">
        <v>68</v>
      </c>
      <c r="C41" s="39">
        <f t="shared" si="0"/>
        <v>29.98</v>
      </c>
      <c r="D41" s="42">
        <v>13.89</v>
      </c>
      <c r="E41" s="42">
        <v>16.09</v>
      </c>
      <c r="F41" s="42"/>
      <c r="G41" s="42"/>
      <c r="H41" s="42"/>
      <c r="I41" s="42"/>
      <c r="J41" s="42"/>
    </row>
    <row r="42" spans="1:10">
      <c r="A42" s="31">
        <v>45924</v>
      </c>
      <c r="B42" s="35" t="s">
        <v>83</v>
      </c>
      <c r="C42" s="39">
        <f t="shared" si="0"/>
        <v>0</v>
      </c>
      <c r="D42" s="42"/>
      <c r="E42" s="42"/>
      <c r="F42" s="42"/>
      <c r="G42" s="42"/>
      <c r="H42" s="42"/>
      <c r="I42" s="42"/>
      <c r="J42" s="42"/>
    </row>
    <row r="43" spans="1:10">
      <c r="A43" s="31">
        <v>45925</v>
      </c>
      <c r="B43" s="35" t="s">
        <v>91</v>
      </c>
      <c r="C43" s="39">
        <f t="shared" si="0"/>
        <v>18.224734000000002</v>
      </c>
      <c r="D43" s="42">
        <v>9.8000000000000007</v>
      </c>
      <c r="E43" s="65">
        <v>8.3047339999999998</v>
      </c>
      <c r="F43" s="42">
        <v>0.12</v>
      </c>
      <c r="G43" s="42"/>
      <c r="H43" s="42"/>
      <c r="I43" s="42"/>
      <c r="J43" s="42"/>
    </row>
    <row r="44" spans="1:10">
      <c r="A44" s="31">
        <v>45926</v>
      </c>
      <c r="B44" s="35" t="s">
        <v>44</v>
      </c>
      <c r="C44" s="39">
        <f t="shared" si="0"/>
        <v>8.8174279999999996</v>
      </c>
      <c r="D44" s="65">
        <v>5.8187789999999993</v>
      </c>
      <c r="E44" s="65">
        <v>2.9986490000000003</v>
      </c>
      <c r="F44" s="42"/>
      <c r="G44" s="42"/>
      <c r="H44" s="42"/>
      <c r="I44" s="42"/>
      <c r="J44" s="42">
        <v>30000</v>
      </c>
    </row>
    <row r="45" spans="1:10">
      <c r="A45" s="31">
        <v>45927</v>
      </c>
      <c r="B45" s="35" t="s">
        <v>40</v>
      </c>
      <c r="C45" s="39">
        <f t="shared" si="0"/>
        <v>0</v>
      </c>
      <c r="D45" s="42"/>
      <c r="E45" s="42"/>
      <c r="F45" s="42"/>
      <c r="G45" s="42"/>
      <c r="H45" s="42"/>
      <c r="I45" s="42"/>
      <c r="J45" s="42"/>
    </row>
    <row r="46" spans="1:10">
      <c r="A46" s="31">
        <v>45928</v>
      </c>
      <c r="B46" s="35" t="s">
        <v>58</v>
      </c>
      <c r="C46" s="39">
        <f t="shared" si="0"/>
        <v>0</v>
      </c>
      <c r="D46" s="42"/>
      <c r="E46" s="42"/>
      <c r="F46" s="42"/>
      <c r="G46" s="42"/>
      <c r="H46" s="42"/>
      <c r="I46" s="42"/>
      <c r="J46" s="42"/>
    </row>
    <row r="47" spans="1:10">
      <c r="A47" s="31">
        <v>45929</v>
      </c>
      <c r="B47" s="35" t="s">
        <v>61</v>
      </c>
      <c r="C47" s="39">
        <f t="shared" si="0"/>
        <v>28.939999999999998</v>
      </c>
      <c r="D47" s="42">
        <v>14.17</v>
      </c>
      <c r="E47" s="42">
        <v>14.77</v>
      </c>
      <c r="F47" s="42"/>
      <c r="G47" s="42"/>
      <c r="H47" s="42"/>
      <c r="I47" s="42"/>
      <c r="J47" s="42"/>
    </row>
    <row r="48" spans="1:10">
      <c r="A48" s="31">
        <v>45930</v>
      </c>
      <c r="B48" s="35" t="s">
        <v>68</v>
      </c>
      <c r="C48" s="39">
        <f t="shared" si="0"/>
        <v>9.3921050000000008</v>
      </c>
      <c r="D48" s="42">
        <v>6.51</v>
      </c>
      <c r="E48" s="65">
        <v>2.8821050000000001</v>
      </c>
      <c r="F48" s="42"/>
      <c r="G48" s="42"/>
      <c r="H48" s="42"/>
      <c r="I48" s="42"/>
      <c r="J48" s="42"/>
    </row>
    <row r="49" spans="1:10">
      <c r="A49" s="31">
        <v>45931</v>
      </c>
      <c r="B49" s="35" t="s">
        <v>83</v>
      </c>
      <c r="C49" s="39">
        <f t="shared" si="0"/>
        <v>15.246002999999998</v>
      </c>
      <c r="D49" s="65">
        <v>4.076003</v>
      </c>
      <c r="E49" s="42">
        <v>6.47</v>
      </c>
      <c r="F49" s="42">
        <v>4.18</v>
      </c>
      <c r="G49" s="42">
        <v>0.52</v>
      </c>
      <c r="H49" s="42"/>
      <c r="I49" s="42"/>
      <c r="J49" s="42"/>
    </row>
    <row r="50" spans="1:10">
      <c r="A50" s="31">
        <v>45932</v>
      </c>
      <c r="B50" s="35" t="s">
        <v>91</v>
      </c>
      <c r="C50" s="39">
        <f t="shared" si="0"/>
        <v>7.96</v>
      </c>
      <c r="D50" s="42">
        <v>4.12</v>
      </c>
      <c r="E50" s="42">
        <v>3.84</v>
      </c>
      <c r="F50" s="42"/>
      <c r="G50" s="42"/>
      <c r="H50" s="42"/>
      <c r="I50" s="42"/>
      <c r="J50" s="42"/>
    </row>
    <row r="51" spans="1:10">
      <c r="A51" s="31">
        <v>45933</v>
      </c>
      <c r="B51" s="35" t="s">
        <v>44</v>
      </c>
      <c r="C51" s="39">
        <f t="shared" si="0"/>
        <v>17.014721999999999</v>
      </c>
      <c r="D51" s="42">
        <v>13.38</v>
      </c>
      <c r="E51" s="65">
        <v>3.6347219999999996</v>
      </c>
      <c r="F51" s="42"/>
      <c r="G51" s="42"/>
      <c r="H51" s="42"/>
      <c r="I51" s="42"/>
      <c r="J51" s="42"/>
    </row>
    <row r="52" spans="1:10">
      <c r="A52" s="31">
        <v>45934</v>
      </c>
      <c r="B52" s="35" t="s">
        <v>40</v>
      </c>
      <c r="C52" s="39">
        <f t="shared" si="0"/>
        <v>9.0295379999999987</v>
      </c>
      <c r="D52" s="42">
        <v>5.0599999999999996</v>
      </c>
      <c r="E52" s="65">
        <v>3.9695379999999996</v>
      </c>
      <c r="F52" s="42"/>
      <c r="G52" s="42"/>
      <c r="H52" s="42"/>
      <c r="I52" s="42"/>
      <c r="J52" s="42"/>
    </row>
    <row r="53" spans="1:10">
      <c r="A53" s="31">
        <v>45935</v>
      </c>
      <c r="B53" s="35" t="s">
        <v>58</v>
      </c>
      <c r="C53" s="39">
        <f t="shared" si="0"/>
        <v>0</v>
      </c>
      <c r="D53" s="42"/>
      <c r="E53" s="42"/>
      <c r="F53" s="42"/>
      <c r="G53" s="42"/>
      <c r="H53" s="42"/>
      <c r="I53" s="42"/>
      <c r="J53" s="42"/>
    </row>
    <row r="54" spans="1:10">
      <c r="A54" s="31">
        <v>45936</v>
      </c>
      <c r="B54" s="35" t="s">
        <v>61</v>
      </c>
      <c r="C54" s="39">
        <f t="shared" si="0"/>
        <v>25.200000000000003</v>
      </c>
      <c r="D54" s="42">
        <v>15.64</v>
      </c>
      <c r="E54" s="42">
        <v>9.56</v>
      </c>
      <c r="F54" s="42"/>
      <c r="G54" s="42"/>
      <c r="H54" s="42"/>
      <c r="I54" s="42"/>
      <c r="J54" s="42"/>
    </row>
    <row r="55" spans="1:10">
      <c r="A55" s="31">
        <v>45937</v>
      </c>
      <c r="B55" s="35" t="s">
        <v>68</v>
      </c>
      <c r="C55" s="39">
        <f t="shared" si="0"/>
        <v>11.507746999999998</v>
      </c>
      <c r="D55" s="42">
        <v>6.56</v>
      </c>
      <c r="E55" s="65">
        <v>4.9477469999999997</v>
      </c>
      <c r="F55" s="42"/>
      <c r="G55" s="42"/>
      <c r="H55" s="42"/>
      <c r="I55" s="42"/>
      <c r="J55" s="42"/>
    </row>
    <row r="56" spans="1:10">
      <c r="A56" s="31">
        <v>45938</v>
      </c>
      <c r="B56" s="35" t="s">
        <v>83</v>
      </c>
      <c r="C56" s="39">
        <f t="shared" si="0"/>
        <v>9.34</v>
      </c>
      <c r="D56" s="42">
        <v>9.34</v>
      </c>
      <c r="E56" s="42"/>
      <c r="F56" s="42"/>
      <c r="G56" s="42"/>
      <c r="H56" s="42"/>
      <c r="I56" s="42"/>
      <c r="J56" s="42"/>
    </row>
    <row r="57" spans="1:10">
      <c r="A57" s="31">
        <v>45939</v>
      </c>
      <c r="B57" s="35" t="s">
        <v>91</v>
      </c>
      <c r="C57" s="39">
        <f t="shared" si="0"/>
        <v>17</v>
      </c>
      <c r="D57" s="42">
        <v>14.25</v>
      </c>
      <c r="E57" s="42">
        <v>0.91</v>
      </c>
      <c r="F57" s="42">
        <v>1.84</v>
      </c>
      <c r="G57" s="42"/>
      <c r="H57" s="42"/>
      <c r="I57" s="42"/>
      <c r="J57" s="42"/>
    </row>
    <row r="58" spans="1:10">
      <c r="A58" s="31">
        <v>45940</v>
      </c>
      <c r="B58" s="35" t="s">
        <v>44</v>
      </c>
      <c r="C58" s="39">
        <f t="shared" si="0"/>
        <v>22.87</v>
      </c>
      <c r="D58" s="42">
        <v>15.8</v>
      </c>
      <c r="E58" s="42">
        <v>7.07</v>
      </c>
      <c r="F58" s="42"/>
      <c r="G58" s="42"/>
      <c r="H58" s="42"/>
      <c r="I58" s="42"/>
      <c r="J58" s="42">
        <v>30000</v>
      </c>
    </row>
    <row r="59" spans="1:10">
      <c r="A59" s="31">
        <v>45941</v>
      </c>
      <c r="B59" s="35" t="s">
        <v>40</v>
      </c>
      <c r="C59" s="39">
        <f t="shared" si="0"/>
        <v>13.690961</v>
      </c>
      <c r="D59" s="42">
        <v>9.5299999999999994</v>
      </c>
      <c r="E59" s="65">
        <v>4.1609610000000004</v>
      </c>
      <c r="F59" s="42"/>
      <c r="G59" s="42"/>
      <c r="H59" s="42"/>
      <c r="I59" s="42"/>
      <c r="J59" s="42"/>
    </row>
    <row r="60" spans="1:10">
      <c r="A60" s="31">
        <v>45942</v>
      </c>
      <c r="B60" s="35" t="s">
        <v>58</v>
      </c>
      <c r="C60" s="39">
        <f t="shared" si="0"/>
        <v>0</v>
      </c>
      <c r="D60" s="42"/>
      <c r="E60" s="42"/>
      <c r="F60" s="42"/>
      <c r="G60" s="42"/>
      <c r="H60" s="42"/>
      <c r="I60" s="42"/>
      <c r="J60" s="42"/>
    </row>
    <row r="61" spans="1:10">
      <c r="A61" s="31">
        <v>45943</v>
      </c>
      <c r="B61" s="35" t="s">
        <v>61</v>
      </c>
      <c r="C61" s="39">
        <f t="shared" si="0"/>
        <v>23.95</v>
      </c>
      <c r="D61" s="42">
        <v>17.07</v>
      </c>
      <c r="E61" s="42">
        <v>6.88</v>
      </c>
      <c r="F61" s="42"/>
      <c r="G61" s="42"/>
      <c r="H61" s="42"/>
      <c r="I61" s="42"/>
      <c r="J61" s="42"/>
    </row>
    <row r="62" spans="1:10">
      <c r="A62" s="31">
        <v>45944</v>
      </c>
      <c r="B62" s="35" t="s">
        <v>68</v>
      </c>
      <c r="C62" s="39">
        <f t="shared" si="0"/>
        <v>25.89</v>
      </c>
      <c r="D62" s="42">
        <v>8.2100000000000009</v>
      </c>
      <c r="E62" s="42">
        <v>3.91</v>
      </c>
      <c r="F62" s="42">
        <v>13.77</v>
      </c>
      <c r="G62" s="42"/>
      <c r="H62" s="42"/>
      <c r="I62" s="42"/>
      <c r="J62" s="42"/>
    </row>
    <row r="63" spans="1:10">
      <c r="A63" s="31">
        <v>45945</v>
      </c>
      <c r="B63" s="35" t="s">
        <v>83</v>
      </c>
      <c r="C63" s="39">
        <f t="shared" si="0"/>
        <v>19.026333000000001</v>
      </c>
      <c r="D63" s="42">
        <v>13.94</v>
      </c>
      <c r="E63" s="65">
        <v>5.0863329999999998</v>
      </c>
      <c r="G63" s="42"/>
      <c r="H63" s="42"/>
      <c r="I63" s="42"/>
      <c r="J63" s="42"/>
    </row>
    <row r="64" spans="1:10">
      <c r="A64" s="31">
        <v>45946</v>
      </c>
      <c r="B64" s="35" t="s">
        <v>91</v>
      </c>
      <c r="C64" s="39">
        <f t="shared" si="0"/>
        <v>3.352185</v>
      </c>
      <c r="D64" s="65">
        <v>3.352185</v>
      </c>
      <c r="E64" s="42"/>
      <c r="F64" s="42"/>
      <c r="G64" s="42"/>
      <c r="H64" s="42"/>
      <c r="I64" s="42"/>
      <c r="J64" s="42"/>
    </row>
    <row r="65" spans="1:11">
      <c r="A65" s="31">
        <v>45947</v>
      </c>
      <c r="B65" s="35" t="s">
        <v>44</v>
      </c>
      <c r="C65" s="39">
        <f t="shared" si="0"/>
        <v>50.494963999999996</v>
      </c>
      <c r="D65" s="42">
        <v>49.23</v>
      </c>
      <c r="E65" s="65">
        <v>1.264964</v>
      </c>
      <c r="F65" s="42"/>
      <c r="G65" s="42"/>
      <c r="H65" s="42"/>
      <c r="I65" s="42"/>
      <c r="J65" s="42"/>
    </row>
    <row r="66" spans="1:11">
      <c r="A66" s="31">
        <v>45948</v>
      </c>
      <c r="B66" s="35" t="s">
        <v>40</v>
      </c>
      <c r="C66" s="39">
        <f t="shared" si="0"/>
        <v>14.446279000000001</v>
      </c>
      <c r="D66" s="42">
        <v>7.31</v>
      </c>
      <c r="E66" s="65">
        <v>7.136279</v>
      </c>
      <c r="F66" s="42"/>
      <c r="G66" s="42"/>
      <c r="H66" s="42"/>
      <c r="I66" s="42"/>
      <c r="J66" s="42"/>
    </row>
    <row r="67" spans="1:11">
      <c r="A67" s="31">
        <v>45949</v>
      </c>
      <c r="B67" s="35" t="s">
        <v>58</v>
      </c>
      <c r="C67" s="39">
        <f t="shared" si="0"/>
        <v>0</v>
      </c>
      <c r="D67" s="97"/>
      <c r="E67" s="97"/>
      <c r="F67" s="97"/>
      <c r="G67" s="97"/>
      <c r="H67" s="97"/>
      <c r="I67" s="97"/>
      <c r="J67" s="97"/>
    </row>
    <row r="68" spans="1:11">
      <c r="A68" s="31">
        <v>45950</v>
      </c>
      <c r="B68" s="35" t="s">
        <v>61</v>
      </c>
      <c r="C68" s="39">
        <f t="shared" si="0"/>
        <v>0</v>
      </c>
      <c r="D68" s="97"/>
      <c r="E68" s="97"/>
      <c r="F68" s="97"/>
      <c r="G68" s="97"/>
      <c r="H68" s="97"/>
      <c r="I68" s="97"/>
      <c r="J68" s="97"/>
      <c r="K68" s="12" t="s">
        <v>667</v>
      </c>
    </row>
    <row r="69" spans="1:11">
      <c r="A69" s="31">
        <v>45951</v>
      </c>
      <c r="B69" s="35" t="s">
        <v>68</v>
      </c>
      <c r="C69" s="39">
        <f t="shared" si="0"/>
        <v>0</v>
      </c>
      <c r="D69" s="97"/>
      <c r="E69" s="97"/>
      <c r="F69" s="97"/>
      <c r="G69" s="97"/>
      <c r="H69" s="97"/>
      <c r="I69" s="97"/>
      <c r="J69" s="97"/>
    </row>
    <row r="70" spans="1:11">
      <c r="A70" s="31">
        <v>45952</v>
      </c>
      <c r="B70" s="35" t="s">
        <v>83</v>
      </c>
      <c r="C70" s="39">
        <f t="shared" si="0"/>
        <v>0</v>
      </c>
      <c r="D70" s="97"/>
      <c r="E70" s="97"/>
      <c r="F70" s="97"/>
      <c r="G70" s="97"/>
      <c r="H70" s="97"/>
      <c r="I70" s="97"/>
      <c r="J70" s="97"/>
    </row>
    <row r="71" spans="1:11">
      <c r="A71" s="31">
        <v>45953</v>
      </c>
      <c r="B71" s="35" t="s">
        <v>91</v>
      </c>
      <c r="C71" s="39">
        <f t="shared" si="0"/>
        <v>0</v>
      </c>
      <c r="D71" s="97"/>
      <c r="E71" s="97"/>
      <c r="F71" s="97"/>
      <c r="G71" s="97"/>
      <c r="H71" s="97"/>
      <c r="I71" s="97"/>
      <c r="J71" s="97"/>
    </row>
    <row r="72" spans="1:11">
      <c r="A72" s="31">
        <v>45954</v>
      </c>
      <c r="B72" s="35" t="s">
        <v>44</v>
      </c>
      <c r="C72" s="39">
        <f t="shared" si="0"/>
        <v>0</v>
      </c>
      <c r="D72" s="97"/>
      <c r="E72" s="97"/>
      <c r="F72" s="97"/>
      <c r="G72" s="97"/>
      <c r="H72" s="97"/>
      <c r="I72" s="97"/>
      <c r="J72" s="97"/>
    </row>
    <row r="73" spans="1:11">
      <c r="A73" s="31">
        <v>45955</v>
      </c>
      <c r="B73" s="35" t="s">
        <v>40</v>
      </c>
      <c r="C73" s="39">
        <f t="shared" si="0"/>
        <v>0</v>
      </c>
      <c r="D73" s="97"/>
      <c r="E73" s="97"/>
      <c r="F73" s="97"/>
      <c r="G73" s="97"/>
      <c r="H73" s="97"/>
      <c r="I73" s="97"/>
      <c r="J73" s="97"/>
    </row>
    <row r="74" spans="1:11">
      <c r="A74" s="31">
        <v>45956</v>
      </c>
      <c r="B74" s="35" t="s">
        <v>58</v>
      </c>
      <c r="C74" s="39">
        <f t="shared" si="0"/>
        <v>0</v>
      </c>
      <c r="D74" s="97"/>
      <c r="E74" s="97"/>
      <c r="F74" s="97"/>
      <c r="G74" s="97"/>
      <c r="H74" s="97"/>
      <c r="I74" s="97"/>
      <c r="J74" s="97"/>
    </row>
    <row r="75" spans="1:11">
      <c r="A75" s="31">
        <v>45957</v>
      </c>
      <c r="B75" s="35" t="s">
        <v>61</v>
      </c>
      <c r="C75" s="39">
        <f t="shared" si="0"/>
        <v>22.903231000000002</v>
      </c>
      <c r="D75" s="65">
        <v>22.903231000000002</v>
      </c>
      <c r="E75" s="42"/>
      <c r="F75" s="42"/>
      <c r="G75" s="42"/>
      <c r="H75" s="42"/>
      <c r="I75" s="42"/>
      <c r="J75" s="42">
        <v>30000</v>
      </c>
    </row>
    <row r="76" spans="1:11">
      <c r="A76" s="31">
        <v>45958</v>
      </c>
      <c r="B76" s="35" t="s">
        <v>68</v>
      </c>
      <c r="C76" s="39">
        <f t="shared" si="0"/>
        <v>27.019038000000002</v>
      </c>
      <c r="D76" s="65">
        <v>27.019038000000002</v>
      </c>
      <c r="E76" s="42"/>
      <c r="F76" s="42"/>
      <c r="G76" s="42"/>
      <c r="H76" s="42"/>
      <c r="I76" s="42"/>
      <c r="J76" s="42"/>
    </row>
    <row r="77" spans="1:11">
      <c r="A77" s="31">
        <v>45959</v>
      </c>
      <c r="B77" s="35" t="s">
        <v>83</v>
      </c>
      <c r="C77" s="39">
        <f t="shared" si="0"/>
        <v>65.700406000000015</v>
      </c>
      <c r="D77" s="65">
        <v>12.338414000000002</v>
      </c>
      <c r="E77" s="42">
        <v>4.09</v>
      </c>
      <c r="F77" s="65">
        <v>49.271992000000004</v>
      </c>
      <c r="G77" s="42"/>
      <c r="H77" s="42"/>
      <c r="I77" s="42"/>
      <c r="J77" s="42"/>
    </row>
    <row r="78" spans="1:11">
      <c r="A78" s="31">
        <v>45960</v>
      </c>
      <c r="B78" s="35" t="s">
        <v>91</v>
      </c>
      <c r="C78" s="39">
        <f t="shared" si="0"/>
        <v>0</v>
      </c>
      <c r="D78" s="42"/>
      <c r="E78" s="42"/>
      <c r="F78" s="42"/>
      <c r="G78" s="42"/>
      <c r="H78" s="42"/>
      <c r="I78" s="42"/>
      <c r="J78" s="42"/>
      <c r="K78" s="12" t="s">
        <v>694</v>
      </c>
    </row>
    <row r="79" spans="1:11">
      <c r="A79" s="31">
        <v>45961</v>
      </c>
      <c r="B79" s="35" t="s">
        <v>44</v>
      </c>
      <c r="C79" s="39">
        <f t="shared" si="0"/>
        <v>7.27</v>
      </c>
      <c r="D79" s="42">
        <v>7.27</v>
      </c>
      <c r="E79" s="42"/>
      <c r="F79" s="42"/>
      <c r="G79" s="42"/>
      <c r="H79" s="42"/>
      <c r="I79" s="42"/>
      <c r="J79" s="42"/>
    </row>
    <row r="80" spans="1:11">
      <c r="A80" s="31">
        <v>45962</v>
      </c>
      <c r="B80" s="35" t="s">
        <v>40</v>
      </c>
      <c r="C80" s="39">
        <f t="shared" si="0"/>
        <v>2.3199999999999998</v>
      </c>
      <c r="D80" s="42">
        <v>2.3199999999999998</v>
      </c>
      <c r="E80" s="42"/>
      <c r="F80" s="42"/>
      <c r="G80" s="42"/>
      <c r="H80" s="42"/>
      <c r="I80" s="42"/>
      <c r="J80" s="42"/>
    </row>
    <row r="81" spans="1:10">
      <c r="A81" s="31">
        <v>45963</v>
      </c>
      <c r="B81" s="35" t="s">
        <v>58</v>
      </c>
      <c r="C81" s="39">
        <f t="shared" si="0"/>
        <v>0</v>
      </c>
      <c r="D81" s="42"/>
      <c r="E81" s="42"/>
      <c r="F81" s="42"/>
      <c r="G81" s="42"/>
      <c r="H81" s="42"/>
      <c r="I81" s="42"/>
      <c r="J81" s="42"/>
    </row>
    <row r="82" spans="1:10">
      <c r="A82" s="31">
        <v>45964</v>
      </c>
      <c r="B82" s="35" t="s">
        <v>61</v>
      </c>
      <c r="C82" s="39">
        <f t="shared" si="0"/>
        <v>21.55</v>
      </c>
      <c r="D82" s="42">
        <v>9.59</v>
      </c>
      <c r="E82" s="42">
        <v>11.96</v>
      </c>
      <c r="F82" s="42"/>
      <c r="G82" s="42"/>
      <c r="H82" s="42"/>
      <c r="I82" s="42"/>
      <c r="J82" s="42"/>
    </row>
    <row r="83" spans="1:10">
      <c r="A83" s="31">
        <v>45965</v>
      </c>
      <c r="B83" s="35" t="s">
        <v>68</v>
      </c>
      <c r="C83" s="39">
        <f t="shared" si="0"/>
        <v>4.3099999999999996</v>
      </c>
      <c r="D83" s="42">
        <v>4.3099999999999996</v>
      </c>
      <c r="E83" s="42"/>
      <c r="F83" s="42"/>
      <c r="G83" s="42"/>
      <c r="H83" s="42"/>
      <c r="I83" s="42"/>
      <c r="J83" s="42"/>
    </row>
    <row r="84" spans="1:10">
      <c r="A84" s="31">
        <v>45966</v>
      </c>
      <c r="B84" s="35" t="s">
        <v>83</v>
      </c>
      <c r="C84" s="39">
        <f t="shared" si="0"/>
        <v>2.14</v>
      </c>
      <c r="D84" s="42">
        <v>2.14</v>
      </c>
      <c r="E84" s="42"/>
      <c r="F84" s="42"/>
      <c r="G84" s="42"/>
      <c r="H84" s="42"/>
      <c r="I84" s="42"/>
      <c r="J84" s="42">
        <v>30000</v>
      </c>
    </row>
    <row r="85" spans="1:10">
      <c r="A85" s="31">
        <v>45967</v>
      </c>
      <c r="B85" s="35" t="s">
        <v>91</v>
      </c>
      <c r="C85" s="39">
        <f t="shared" si="0"/>
        <v>6.7596780000000001</v>
      </c>
      <c r="D85" s="42">
        <v>0.88</v>
      </c>
      <c r="E85" s="65">
        <v>5.8796780000000002</v>
      </c>
      <c r="F85" s="42"/>
      <c r="G85" s="42"/>
      <c r="H85" s="42"/>
      <c r="I85" s="42"/>
      <c r="J85" s="42"/>
    </row>
    <row r="86" spans="1:10">
      <c r="A86" s="31">
        <v>45968</v>
      </c>
      <c r="B86" s="35" t="s">
        <v>44</v>
      </c>
      <c r="C86" s="39">
        <f t="shared" si="0"/>
        <v>5.0905469999999999</v>
      </c>
      <c r="D86" s="65">
        <v>2.2205469999999998</v>
      </c>
      <c r="E86" s="42">
        <v>2.87</v>
      </c>
      <c r="F86" s="42"/>
      <c r="G86" s="42"/>
      <c r="H86" s="42"/>
      <c r="I86" s="42"/>
      <c r="J86" s="42"/>
    </row>
    <row r="87" spans="1:10">
      <c r="A87" s="31">
        <v>45969</v>
      </c>
      <c r="B87" s="35" t="s">
        <v>40</v>
      </c>
      <c r="C87" s="39">
        <f t="shared" si="0"/>
        <v>16.690583</v>
      </c>
      <c r="D87" s="65">
        <v>2.6233620000000002</v>
      </c>
      <c r="E87" s="65">
        <v>2.2672210000000002</v>
      </c>
      <c r="F87" s="42">
        <v>11.8</v>
      </c>
      <c r="G87" s="42"/>
      <c r="H87" s="42"/>
      <c r="I87" s="42"/>
      <c r="J87" s="42"/>
    </row>
    <row r="88" spans="1:10">
      <c r="A88" s="31">
        <v>45970</v>
      </c>
      <c r="B88" s="35" t="s">
        <v>58</v>
      </c>
      <c r="C88" s="39">
        <f t="shared" si="0"/>
        <v>0</v>
      </c>
      <c r="D88" s="42"/>
      <c r="E88" s="42"/>
      <c r="F88" s="42"/>
      <c r="G88" s="42"/>
      <c r="H88" s="42"/>
      <c r="I88" s="42"/>
      <c r="J88" s="42"/>
    </row>
    <row r="89" spans="1:10">
      <c r="A89" s="31">
        <v>45971</v>
      </c>
      <c r="B89" s="35" t="s">
        <v>61</v>
      </c>
      <c r="C89" s="39">
        <f t="shared" si="0"/>
        <v>8.6300000000000008</v>
      </c>
      <c r="D89" s="42">
        <v>8.6300000000000008</v>
      </c>
      <c r="E89" s="42"/>
      <c r="F89" s="42"/>
      <c r="G89" s="42"/>
      <c r="H89" s="42"/>
      <c r="I89" s="42"/>
      <c r="J89" s="42"/>
    </row>
    <row r="90" spans="1:10">
      <c r="A90" s="31">
        <v>45972</v>
      </c>
      <c r="B90" s="35" t="s">
        <v>68</v>
      </c>
      <c r="C90" s="39">
        <f t="shared" si="0"/>
        <v>15.898230999999999</v>
      </c>
      <c r="D90" s="65">
        <v>4.6374819999999994</v>
      </c>
      <c r="E90" s="65">
        <v>7.5195499999999997</v>
      </c>
      <c r="F90" s="65">
        <v>3.7411989999999995</v>
      </c>
      <c r="G90" s="42"/>
      <c r="H90" s="42"/>
      <c r="I90" s="42"/>
      <c r="J90" s="42"/>
    </row>
    <row r="91" spans="1:10">
      <c r="A91" s="31">
        <v>45973</v>
      </c>
      <c r="B91" s="35" t="s">
        <v>83</v>
      </c>
      <c r="C91" s="39">
        <f t="shared" si="0"/>
        <v>15.379999999999999</v>
      </c>
      <c r="D91" s="42">
        <v>9.44</v>
      </c>
      <c r="E91" s="42">
        <v>5.94</v>
      </c>
      <c r="F91" s="42"/>
      <c r="G91" s="42"/>
      <c r="H91" s="42"/>
      <c r="I91" s="42"/>
      <c r="J91" s="42"/>
    </row>
    <row r="92" spans="1:10">
      <c r="A92" s="31">
        <v>45974</v>
      </c>
      <c r="B92" s="35" t="s">
        <v>91</v>
      </c>
      <c r="C92" s="39">
        <f t="shared" si="0"/>
        <v>4.1113920000000004</v>
      </c>
      <c r="D92" s="65">
        <v>4.1113920000000004</v>
      </c>
      <c r="E92" s="42"/>
      <c r="F92" s="42"/>
      <c r="G92" s="42"/>
      <c r="H92" s="42"/>
      <c r="I92" s="42"/>
      <c r="J92" s="42"/>
    </row>
    <row r="93" spans="1:10">
      <c r="A93" s="31">
        <v>45975</v>
      </c>
      <c r="B93" s="35" t="s">
        <v>44</v>
      </c>
      <c r="C93" s="39">
        <f t="shared" si="0"/>
        <v>14.42601</v>
      </c>
      <c r="D93" s="65">
        <v>11.786009999999999</v>
      </c>
      <c r="E93" s="42">
        <v>2.64</v>
      </c>
      <c r="F93" s="42"/>
      <c r="G93" s="42"/>
      <c r="H93" s="42"/>
      <c r="I93" s="42"/>
      <c r="J93" s="42"/>
    </row>
    <row r="94" spans="1:10">
      <c r="A94" s="31">
        <v>45976</v>
      </c>
      <c r="B94" s="35" t="s">
        <v>40</v>
      </c>
      <c r="C94" s="39">
        <f t="shared" si="0"/>
        <v>8.3247260000000018</v>
      </c>
      <c r="D94" s="65">
        <v>8.3247260000000018</v>
      </c>
      <c r="E94" s="42"/>
      <c r="F94" s="42"/>
      <c r="G94" s="42"/>
      <c r="H94" s="42"/>
      <c r="I94" s="42"/>
      <c r="J94" s="42"/>
    </row>
    <row r="95" spans="1:10">
      <c r="A95" s="31">
        <v>45977</v>
      </c>
      <c r="B95" s="35" t="s">
        <v>58</v>
      </c>
      <c r="C95" s="39">
        <f t="shared" si="0"/>
        <v>0</v>
      </c>
      <c r="D95" s="42"/>
      <c r="E95" s="42"/>
      <c r="F95" s="42"/>
      <c r="G95" s="42"/>
      <c r="H95" s="42"/>
      <c r="I95" s="42"/>
      <c r="J95" s="42"/>
    </row>
    <row r="96" spans="1:10">
      <c r="A96" s="31">
        <v>45978</v>
      </c>
      <c r="B96" s="35" t="s">
        <v>61</v>
      </c>
      <c r="C96" s="39">
        <f t="shared" si="0"/>
        <v>21.344985000000001</v>
      </c>
      <c r="D96" s="65">
        <v>21.344985000000001</v>
      </c>
      <c r="E96" s="65"/>
      <c r="F96" s="42"/>
      <c r="G96" s="42"/>
      <c r="H96" s="42"/>
      <c r="I96" s="42"/>
      <c r="J96" s="42"/>
    </row>
    <row r="97" spans="1:10">
      <c r="A97" s="31">
        <v>45979</v>
      </c>
      <c r="B97" s="35" t="s">
        <v>68</v>
      </c>
      <c r="C97" s="39">
        <f t="shared" si="0"/>
        <v>7.4992460000000003</v>
      </c>
      <c r="D97" s="65">
        <v>4.3792460000000002</v>
      </c>
      <c r="E97" s="65">
        <v>3.12</v>
      </c>
      <c r="F97" s="42"/>
      <c r="G97" s="42"/>
      <c r="H97" s="42"/>
      <c r="I97" s="42"/>
      <c r="J97" s="42"/>
    </row>
    <row r="98" spans="1:10">
      <c r="A98" s="31">
        <v>45980</v>
      </c>
      <c r="B98" s="35" t="s">
        <v>83</v>
      </c>
      <c r="C98" s="39">
        <f t="shared" si="0"/>
        <v>18.168871000000003</v>
      </c>
      <c r="D98" s="65">
        <v>6.0018399999999996</v>
      </c>
      <c r="E98" s="65">
        <v>12.167031000000001</v>
      </c>
      <c r="F98" s="42"/>
      <c r="G98" s="42"/>
      <c r="H98" s="42"/>
      <c r="I98" s="42"/>
      <c r="J98" s="42">
        <v>30000</v>
      </c>
    </row>
    <row r="99" spans="1:10">
      <c r="A99" s="31">
        <v>45981</v>
      </c>
      <c r="B99" s="35" t="s">
        <v>91</v>
      </c>
      <c r="C99" s="39">
        <f t="shared" si="0"/>
        <v>10.020000000000001</v>
      </c>
      <c r="D99" s="42">
        <v>2.72</v>
      </c>
      <c r="E99" s="42">
        <v>6.91</v>
      </c>
      <c r="F99" s="42">
        <v>0.39</v>
      </c>
      <c r="G99" s="42"/>
      <c r="H99" s="42"/>
      <c r="I99" s="42"/>
      <c r="J99" s="42"/>
    </row>
    <row r="100" spans="1:10">
      <c r="A100" s="31">
        <v>45982</v>
      </c>
      <c r="B100" s="35" t="s">
        <v>44</v>
      </c>
      <c r="C100" s="39">
        <f t="shared" si="0"/>
        <v>22.695701999999997</v>
      </c>
      <c r="D100" s="42">
        <v>6.04</v>
      </c>
      <c r="E100" s="65">
        <v>16.655701999999998</v>
      </c>
      <c r="F100" s="42"/>
      <c r="G100" s="42"/>
      <c r="H100" s="42"/>
      <c r="I100" s="42"/>
      <c r="J100" s="42"/>
    </row>
    <row r="101" spans="1:10">
      <c r="A101" s="31">
        <v>45983</v>
      </c>
      <c r="B101" s="35" t="s">
        <v>40</v>
      </c>
      <c r="C101" s="39">
        <f t="shared" si="0"/>
        <v>12.6</v>
      </c>
      <c r="D101" s="42">
        <v>12.6</v>
      </c>
      <c r="E101" s="42"/>
      <c r="F101" s="42"/>
      <c r="G101" s="42"/>
      <c r="H101" s="42"/>
      <c r="I101" s="42"/>
      <c r="J101" s="42"/>
    </row>
    <row r="102" spans="1:10">
      <c r="A102" s="31">
        <v>45984</v>
      </c>
      <c r="B102" s="35" t="s">
        <v>58</v>
      </c>
      <c r="C102" s="39">
        <f t="shared" si="0"/>
        <v>0</v>
      </c>
      <c r="D102" s="42"/>
      <c r="E102" s="42"/>
      <c r="F102" s="42"/>
      <c r="G102" s="42"/>
      <c r="H102" s="42"/>
      <c r="I102" s="42"/>
      <c r="J102" s="42"/>
    </row>
    <row r="103" spans="1:10">
      <c r="A103" s="31">
        <v>45985</v>
      </c>
      <c r="B103" s="35" t="s">
        <v>61</v>
      </c>
      <c r="C103" s="39">
        <f t="shared" si="0"/>
        <v>26.43</v>
      </c>
      <c r="D103" s="42">
        <v>26.43</v>
      </c>
      <c r="E103" s="42"/>
      <c r="F103" s="42"/>
      <c r="G103" s="42"/>
      <c r="H103" s="42"/>
      <c r="I103" s="42"/>
      <c r="J103" s="42"/>
    </row>
    <row r="104" spans="1:10">
      <c r="A104" s="31">
        <v>45986</v>
      </c>
      <c r="B104" s="35" t="s">
        <v>68</v>
      </c>
      <c r="C104" s="39">
        <f t="shared" si="0"/>
        <v>23.485524999999999</v>
      </c>
      <c r="D104" s="65">
        <v>9.9152240000000003</v>
      </c>
      <c r="E104" s="42">
        <v>3.75</v>
      </c>
      <c r="F104" s="42">
        <v>6.73</v>
      </c>
      <c r="G104" s="65">
        <v>3.0903009999999997</v>
      </c>
      <c r="H104" s="42"/>
      <c r="I104" s="42"/>
      <c r="J104" s="42"/>
    </row>
    <row r="105" spans="1:10">
      <c r="A105" s="31">
        <v>45987</v>
      </c>
      <c r="B105" s="35" t="s">
        <v>83</v>
      </c>
      <c r="C105" s="39">
        <f t="shared" si="0"/>
        <v>11.79</v>
      </c>
      <c r="D105" s="42">
        <v>11.79</v>
      </c>
      <c r="E105" s="42"/>
      <c r="F105" s="42"/>
      <c r="G105" s="42"/>
      <c r="H105" s="42"/>
      <c r="I105" s="42"/>
      <c r="J105" s="42"/>
    </row>
    <row r="106" spans="1:10">
      <c r="A106" s="31">
        <v>45988</v>
      </c>
      <c r="B106" s="35" t="s">
        <v>91</v>
      </c>
      <c r="C106" s="39">
        <f t="shared" si="0"/>
        <v>0</v>
      </c>
      <c r="D106" s="42"/>
      <c r="E106" s="42"/>
      <c r="F106" s="42"/>
      <c r="G106" s="42"/>
      <c r="H106" s="42"/>
      <c r="I106" s="42"/>
      <c r="J106" s="42"/>
    </row>
    <row r="107" spans="1:10">
      <c r="A107" s="31">
        <v>45989</v>
      </c>
      <c r="B107" s="35" t="s">
        <v>44</v>
      </c>
      <c r="C107" s="39">
        <f t="shared" si="0"/>
        <v>0</v>
      </c>
      <c r="E107" s="42"/>
      <c r="F107" s="42"/>
      <c r="G107" s="42"/>
      <c r="H107" s="42"/>
      <c r="I107" s="42"/>
      <c r="J107" s="42"/>
    </row>
    <row r="108" spans="1:10">
      <c r="A108" s="31">
        <v>45990</v>
      </c>
      <c r="B108" s="35" t="s">
        <v>40</v>
      </c>
      <c r="C108" s="39">
        <f t="shared" si="0"/>
        <v>19.59</v>
      </c>
      <c r="D108" s="42">
        <v>19.59</v>
      </c>
      <c r="E108" s="42"/>
      <c r="F108" s="42"/>
      <c r="G108" s="42"/>
      <c r="H108" s="42"/>
      <c r="I108" s="42"/>
      <c r="J108" s="42"/>
    </row>
    <row r="109" spans="1:10">
      <c r="A109" s="31">
        <v>45991</v>
      </c>
      <c r="B109" s="35" t="s">
        <v>58</v>
      </c>
      <c r="C109" s="39">
        <f t="shared" si="0"/>
        <v>7</v>
      </c>
      <c r="D109" s="42">
        <v>7</v>
      </c>
      <c r="E109" s="42"/>
      <c r="F109" s="42"/>
      <c r="G109" s="42"/>
      <c r="H109" s="42"/>
      <c r="I109" s="42"/>
      <c r="J109" s="42"/>
    </row>
    <row r="110" spans="1:10">
      <c r="A110" s="31">
        <v>45992</v>
      </c>
      <c r="B110" s="35" t="s">
        <v>61</v>
      </c>
      <c r="C110" s="39">
        <f t="shared" si="0"/>
        <v>36.15</v>
      </c>
      <c r="D110" s="42">
        <v>36.15</v>
      </c>
      <c r="E110" s="42"/>
      <c r="F110" s="42"/>
      <c r="G110" s="42"/>
      <c r="H110" s="42"/>
      <c r="I110" s="42"/>
      <c r="J110" s="42"/>
    </row>
    <row r="111" spans="1:10">
      <c r="A111" s="31">
        <v>45993</v>
      </c>
      <c r="B111" s="35" t="s">
        <v>68</v>
      </c>
      <c r="C111" s="39">
        <f t="shared" si="0"/>
        <v>17.210128000000001</v>
      </c>
      <c r="D111" s="42">
        <v>9.08</v>
      </c>
      <c r="E111" s="65">
        <v>8.1301280000000009</v>
      </c>
      <c r="F111" s="42"/>
      <c r="G111" s="42"/>
      <c r="H111" s="42"/>
      <c r="I111" s="42"/>
      <c r="J111" s="42"/>
    </row>
    <row r="112" spans="1:10">
      <c r="A112" s="31">
        <v>45994</v>
      </c>
      <c r="B112" s="35" t="s">
        <v>83</v>
      </c>
      <c r="C112" s="39">
        <f t="shared" si="0"/>
        <v>7.93</v>
      </c>
      <c r="D112" s="42">
        <v>7.93</v>
      </c>
      <c r="E112" s="42"/>
      <c r="F112" s="42"/>
      <c r="G112" s="42"/>
      <c r="H112" s="42"/>
      <c r="I112" s="42"/>
      <c r="J112" s="42">
        <v>30000</v>
      </c>
    </row>
    <row r="113" spans="1:10">
      <c r="A113" s="31">
        <v>45995</v>
      </c>
      <c r="B113" s="35" t="s">
        <v>91</v>
      </c>
      <c r="C113" s="39">
        <f t="shared" si="0"/>
        <v>9.99</v>
      </c>
      <c r="D113" s="42">
        <v>6.28</v>
      </c>
      <c r="E113" s="42">
        <v>3.71</v>
      </c>
      <c r="F113" s="42"/>
      <c r="G113" s="42"/>
      <c r="H113" s="42"/>
      <c r="I113" s="42"/>
      <c r="J113" s="42"/>
    </row>
    <row r="114" spans="1:10">
      <c r="A114" s="31">
        <v>45996</v>
      </c>
      <c r="B114" s="35" t="s">
        <v>44</v>
      </c>
      <c r="C114" s="39">
        <f t="shared" si="0"/>
        <v>26.315407</v>
      </c>
      <c r="D114" s="42">
        <v>22.97</v>
      </c>
      <c r="E114" s="65">
        <v>3.3454069999999998</v>
      </c>
      <c r="F114" s="42"/>
      <c r="G114" s="42"/>
      <c r="H114" s="42"/>
      <c r="I114" s="42"/>
      <c r="J114" s="42"/>
    </row>
    <row r="115" spans="1:10">
      <c r="A115" s="31">
        <v>45997</v>
      </c>
      <c r="B115" s="35" t="s">
        <v>40</v>
      </c>
      <c r="C115" s="39">
        <f t="shared" si="0"/>
        <v>11.1</v>
      </c>
      <c r="D115" s="42">
        <v>11.1</v>
      </c>
      <c r="E115" s="42"/>
      <c r="F115" s="42"/>
      <c r="G115" s="42"/>
      <c r="H115" s="42"/>
      <c r="I115" s="42"/>
      <c r="J115" s="42"/>
    </row>
    <row r="116" spans="1:10">
      <c r="A116" s="31">
        <v>45998</v>
      </c>
      <c r="B116" s="35" t="s">
        <v>58</v>
      </c>
      <c r="C116" s="39">
        <f t="shared" si="0"/>
        <v>17.922507</v>
      </c>
      <c r="D116" s="65">
        <v>17.922507</v>
      </c>
      <c r="E116" s="42"/>
      <c r="F116" s="42"/>
      <c r="G116" s="42"/>
      <c r="H116" s="42"/>
      <c r="I116" s="42"/>
      <c r="J116" s="42"/>
    </row>
    <row r="117" spans="1:10">
      <c r="A117" s="31">
        <v>45999</v>
      </c>
      <c r="B117" s="35" t="s">
        <v>61</v>
      </c>
      <c r="C117" s="39">
        <f t="shared" si="0"/>
        <v>35.289999999999992</v>
      </c>
      <c r="D117" s="42">
        <v>2.0099999999999998</v>
      </c>
      <c r="E117" s="42">
        <v>25.54</v>
      </c>
      <c r="F117" s="42">
        <v>6.26</v>
      </c>
      <c r="G117" s="42">
        <v>1.48</v>
      </c>
      <c r="H117" s="42"/>
      <c r="I117" s="42"/>
      <c r="J117" s="42"/>
    </row>
    <row r="118" spans="1:10">
      <c r="A118" s="31">
        <v>46000</v>
      </c>
      <c r="B118" s="35" t="s">
        <v>68</v>
      </c>
      <c r="C118" s="39">
        <f t="shared" si="0"/>
        <v>22.64</v>
      </c>
      <c r="D118" s="42">
        <v>22.64</v>
      </c>
      <c r="E118" s="42"/>
      <c r="F118" s="42"/>
      <c r="G118" s="42"/>
      <c r="H118" s="42"/>
      <c r="I118" s="42"/>
      <c r="J118" s="42"/>
    </row>
    <row r="119" spans="1:10">
      <c r="A119" s="31">
        <v>46001</v>
      </c>
      <c r="B119" s="35" t="s">
        <v>83</v>
      </c>
      <c r="C119" s="39">
        <f t="shared" si="0"/>
        <v>21.060000000000002</v>
      </c>
      <c r="D119" s="42">
        <v>11.57</v>
      </c>
      <c r="E119" s="42">
        <v>9.49</v>
      </c>
      <c r="F119" s="42"/>
      <c r="G119" s="42"/>
      <c r="H119" s="42"/>
      <c r="I119" s="42"/>
      <c r="J119" s="42"/>
    </row>
    <row r="120" spans="1:10">
      <c r="A120" s="31">
        <v>46002</v>
      </c>
      <c r="B120" s="35" t="s">
        <v>91</v>
      </c>
      <c r="C120" s="39">
        <f t="shared" si="0"/>
        <v>36.193917999999996</v>
      </c>
      <c r="D120" s="65">
        <v>24.753917999999995</v>
      </c>
      <c r="E120" s="42">
        <v>11.44</v>
      </c>
      <c r="F120" s="42"/>
      <c r="G120" s="42"/>
      <c r="H120" s="42"/>
      <c r="I120" s="42"/>
      <c r="J120" s="42"/>
    </row>
    <row r="121" spans="1:10">
      <c r="A121" s="31">
        <v>46003</v>
      </c>
      <c r="B121" s="35" t="s">
        <v>44</v>
      </c>
      <c r="C121" s="39">
        <f t="shared" si="0"/>
        <v>0</v>
      </c>
      <c r="D121" s="42"/>
      <c r="E121" s="42"/>
      <c r="F121" s="42"/>
      <c r="G121" s="42"/>
      <c r="H121" s="42"/>
      <c r="I121" s="42"/>
      <c r="J121" s="42"/>
    </row>
    <row r="122" spans="1:10">
      <c r="A122" s="31">
        <v>46004</v>
      </c>
      <c r="B122" s="35" t="s">
        <v>40</v>
      </c>
      <c r="C122" s="39">
        <f t="shared" si="0"/>
        <v>19.12</v>
      </c>
      <c r="D122" s="42">
        <v>14.81</v>
      </c>
      <c r="E122" s="42">
        <v>4.3099999999999996</v>
      </c>
      <c r="F122" s="42"/>
      <c r="G122" s="42"/>
      <c r="H122" s="42"/>
      <c r="I122" s="42"/>
      <c r="J122" s="42"/>
    </row>
    <row r="123" spans="1:10">
      <c r="A123" s="31">
        <v>46005</v>
      </c>
      <c r="B123" s="35" t="s">
        <v>58</v>
      </c>
      <c r="C123" s="39">
        <f t="shared" si="0"/>
        <v>10.67</v>
      </c>
      <c r="D123" s="42">
        <v>10.67</v>
      </c>
      <c r="E123" s="42"/>
      <c r="F123" s="42"/>
      <c r="G123" s="42"/>
      <c r="H123" s="42"/>
      <c r="I123" s="42"/>
      <c r="J123" s="42"/>
    </row>
    <row r="124" spans="1:10">
      <c r="A124" s="31">
        <v>46006</v>
      </c>
      <c r="B124" s="35" t="s">
        <v>61</v>
      </c>
      <c r="C124" s="39">
        <f t="shared" si="0"/>
        <v>18.5</v>
      </c>
      <c r="D124" s="42">
        <v>18.5</v>
      </c>
      <c r="E124" s="42"/>
      <c r="F124" s="42"/>
      <c r="G124" s="42"/>
      <c r="H124" s="42"/>
      <c r="I124" s="42"/>
      <c r="J124" s="42">
        <v>30000</v>
      </c>
    </row>
    <row r="125" spans="1:10">
      <c r="A125" s="31">
        <v>46007</v>
      </c>
      <c r="B125" s="35" t="s">
        <v>68</v>
      </c>
      <c r="C125" s="39">
        <f t="shared" si="0"/>
        <v>14.8</v>
      </c>
      <c r="D125" s="42">
        <v>14.8</v>
      </c>
      <c r="E125" s="42"/>
      <c r="F125" s="42"/>
      <c r="G125" s="42"/>
      <c r="H125" s="42"/>
      <c r="I125" s="42"/>
      <c r="J125" s="42"/>
    </row>
    <row r="126" spans="1:10">
      <c r="A126" s="31">
        <v>46008</v>
      </c>
      <c r="B126" s="35" t="s">
        <v>83</v>
      </c>
      <c r="C126" s="39">
        <f t="shared" si="0"/>
        <v>22.648071000000002</v>
      </c>
      <c r="D126" s="42">
        <v>18.739999999999998</v>
      </c>
      <c r="E126" s="65">
        <v>1.9836130000000001</v>
      </c>
      <c r="F126" s="65">
        <v>1.924458</v>
      </c>
      <c r="G126" s="42"/>
      <c r="H126" s="42"/>
      <c r="I126" s="42"/>
      <c r="J126" s="42"/>
    </row>
    <row r="127" spans="1:10">
      <c r="A127" s="31">
        <v>46009</v>
      </c>
      <c r="B127" s="35" t="s">
        <v>91</v>
      </c>
      <c r="C127" s="39">
        <f t="shared" si="0"/>
        <v>17.940000000000001</v>
      </c>
      <c r="D127" s="42">
        <v>14.76</v>
      </c>
      <c r="E127" s="42">
        <v>3.18</v>
      </c>
      <c r="F127" s="42"/>
      <c r="G127" s="42"/>
      <c r="H127" s="42"/>
      <c r="I127" s="42"/>
      <c r="J127" s="42"/>
    </row>
    <row r="128" spans="1:10">
      <c r="A128" s="31">
        <v>46010</v>
      </c>
      <c r="B128" s="35" t="s">
        <v>44</v>
      </c>
      <c r="C128" s="39">
        <f t="shared" si="0"/>
        <v>17.687498000000001</v>
      </c>
      <c r="D128" s="42">
        <v>10.28</v>
      </c>
      <c r="E128" s="65">
        <v>7.4074980000000012</v>
      </c>
      <c r="F128" s="42"/>
      <c r="G128" s="42"/>
      <c r="H128" s="42"/>
      <c r="I128" s="42"/>
      <c r="J128" s="42"/>
    </row>
    <row r="129" spans="1:10">
      <c r="A129" s="31">
        <v>46011</v>
      </c>
      <c r="B129" s="35" t="s">
        <v>40</v>
      </c>
      <c r="C129" s="39">
        <f t="shared" si="0"/>
        <v>18.273533</v>
      </c>
      <c r="D129" s="65">
        <v>18.273533</v>
      </c>
      <c r="E129" s="42"/>
      <c r="F129" s="42"/>
      <c r="G129" s="42"/>
      <c r="H129" s="42"/>
      <c r="I129" s="42"/>
      <c r="J129" s="42"/>
    </row>
    <row r="130" spans="1:10">
      <c r="A130" s="31">
        <v>46012</v>
      </c>
      <c r="B130" s="35" t="s">
        <v>58</v>
      </c>
      <c r="C130" s="39">
        <f t="shared" si="0"/>
        <v>0</v>
      </c>
      <c r="D130" s="42"/>
      <c r="E130" s="42"/>
      <c r="F130" s="42"/>
      <c r="G130" s="42"/>
      <c r="H130" s="42"/>
      <c r="I130" s="42"/>
      <c r="J130" s="42"/>
    </row>
    <row r="131" spans="1:10">
      <c r="A131" s="31">
        <v>46013</v>
      </c>
      <c r="B131" s="35" t="s">
        <v>61</v>
      </c>
      <c r="C131" s="39">
        <f t="shared" si="0"/>
        <v>0</v>
      </c>
      <c r="D131" s="42"/>
      <c r="E131" s="42"/>
      <c r="F131" s="42"/>
      <c r="G131" s="42"/>
      <c r="H131" s="42"/>
      <c r="I131" s="42"/>
      <c r="J131" s="42"/>
    </row>
    <row r="132" spans="1:10">
      <c r="A132" s="31">
        <v>46014</v>
      </c>
      <c r="B132" s="35" t="s">
        <v>68</v>
      </c>
      <c r="C132" s="39">
        <f t="shared" si="0"/>
        <v>31.35</v>
      </c>
      <c r="D132" s="42">
        <v>31.35</v>
      </c>
      <c r="E132" s="42"/>
      <c r="F132" s="42"/>
      <c r="G132" s="42"/>
      <c r="H132" s="42"/>
      <c r="I132" s="42"/>
      <c r="J132" s="42"/>
    </row>
    <row r="133" spans="1:10">
      <c r="A133" s="31">
        <v>46015</v>
      </c>
      <c r="B133" s="35" t="s">
        <v>83</v>
      </c>
      <c r="C133" s="39">
        <f t="shared" si="0"/>
        <v>7.7854139999999994</v>
      </c>
      <c r="D133" s="65">
        <v>5.522297</v>
      </c>
      <c r="E133" s="65">
        <v>2.2631169999999998</v>
      </c>
      <c r="F133" s="42"/>
      <c r="G133" s="42"/>
      <c r="H133" s="42"/>
      <c r="I133" s="42"/>
      <c r="J133" s="42"/>
    </row>
    <row r="134" spans="1:10">
      <c r="A134" s="31">
        <v>46016</v>
      </c>
      <c r="B134" s="35" t="s">
        <v>91</v>
      </c>
      <c r="C134" s="39">
        <f t="shared" si="0"/>
        <v>8.9600000000000009</v>
      </c>
      <c r="D134" s="42">
        <v>8.9600000000000009</v>
      </c>
      <c r="E134" s="42"/>
      <c r="F134" s="42"/>
      <c r="G134" s="42"/>
      <c r="H134" s="42"/>
      <c r="I134" s="42"/>
      <c r="J134" s="42"/>
    </row>
    <row r="135" spans="1:10">
      <c r="A135" s="31">
        <v>46017</v>
      </c>
      <c r="B135" s="35" t="s">
        <v>44</v>
      </c>
      <c r="C135" s="39">
        <f t="shared" si="0"/>
        <v>12.843966000000002</v>
      </c>
      <c r="D135" s="65">
        <v>12.843966000000002</v>
      </c>
      <c r="F135" s="42"/>
      <c r="G135" s="42"/>
      <c r="H135" s="42"/>
      <c r="I135" s="42"/>
      <c r="J135" s="42"/>
    </row>
    <row r="136" spans="1:10">
      <c r="A136" s="31">
        <v>46018</v>
      </c>
      <c r="B136" s="35" t="s">
        <v>40</v>
      </c>
      <c r="C136" s="39">
        <f t="shared" si="0"/>
        <v>8.4511979999999998</v>
      </c>
      <c r="D136" s="42">
        <v>6.65</v>
      </c>
      <c r="E136" s="65">
        <v>1.8011979999999999</v>
      </c>
      <c r="F136" s="42"/>
      <c r="G136" s="42"/>
      <c r="H136" s="42"/>
      <c r="I136" s="42"/>
      <c r="J136" s="42"/>
    </row>
    <row r="137" spans="1:10">
      <c r="A137" s="31">
        <v>46019</v>
      </c>
      <c r="B137" s="35" t="s">
        <v>58</v>
      </c>
      <c r="C137" s="39">
        <f t="shared" si="0"/>
        <v>0</v>
      </c>
      <c r="D137" s="42"/>
      <c r="E137" s="42"/>
      <c r="F137" s="42"/>
      <c r="G137" s="42"/>
      <c r="H137" s="42"/>
      <c r="I137" s="42"/>
      <c r="J137" s="42"/>
    </row>
    <row r="138" spans="1:10">
      <c r="A138" s="31">
        <v>46020</v>
      </c>
      <c r="B138" s="35" t="s">
        <v>61</v>
      </c>
      <c r="C138" s="39">
        <f t="shared" si="0"/>
        <v>18.072783999999999</v>
      </c>
      <c r="D138" s="42">
        <v>12.86</v>
      </c>
      <c r="E138" s="42">
        <v>1.24</v>
      </c>
      <c r="F138" s="42">
        <v>1.48</v>
      </c>
      <c r="G138" s="65">
        <v>2.4927839999999999</v>
      </c>
      <c r="H138" s="42"/>
      <c r="I138" s="42"/>
      <c r="J138" s="42">
        <v>30000</v>
      </c>
    </row>
    <row r="139" spans="1:10">
      <c r="A139" s="31">
        <v>46021</v>
      </c>
      <c r="B139" s="35" t="s">
        <v>68</v>
      </c>
      <c r="C139" s="39">
        <f t="shared" si="0"/>
        <v>5.05</v>
      </c>
      <c r="D139" s="42">
        <v>5.05</v>
      </c>
      <c r="E139" s="42"/>
      <c r="F139" s="42"/>
      <c r="G139" s="42"/>
      <c r="H139" s="42"/>
      <c r="I139" s="42"/>
      <c r="J139" s="42"/>
    </row>
    <row r="140" spans="1:10">
      <c r="A140" s="139">
        <v>46022</v>
      </c>
      <c r="B140" s="140" t="s">
        <v>83</v>
      </c>
      <c r="C140" s="141">
        <f t="shared" si="0"/>
        <v>8.390445999999999</v>
      </c>
      <c r="D140" s="142">
        <v>8.390445999999999</v>
      </c>
      <c r="E140" s="143"/>
      <c r="F140" s="143"/>
      <c r="G140" s="143"/>
      <c r="H140" s="143"/>
      <c r="I140" s="143"/>
      <c r="J140" s="143"/>
    </row>
    <row r="141" spans="1:10">
      <c r="A141" s="144">
        <v>46023</v>
      </c>
      <c r="B141" s="145" t="s">
        <v>91</v>
      </c>
      <c r="C141" s="146">
        <f t="shared" si="0"/>
        <v>2.0499999999999998</v>
      </c>
      <c r="D141" s="147">
        <v>2.0499999999999998</v>
      </c>
      <c r="E141" s="148"/>
      <c r="F141" s="148"/>
      <c r="G141" s="148"/>
      <c r="H141" s="148"/>
      <c r="I141" s="148"/>
      <c r="J141" s="148"/>
    </row>
    <row r="142" spans="1:10">
      <c r="A142" s="31">
        <v>46024</v>
      </c>
      <c r="B142" s="35" t="s">
        <v>44</v>
      </c>
      <c r="C142" s="39">
        <f t="shared" si="0"/>
        <v>6.99</v>
      </c>
      <c r="D142" s="42">
        <v>6.99</v>
      </c>
      <c r="E142" s="42"/>
      <c r="F142" s="42"/>
      <c r="G142" s="42"/>
      <c r="H142" s="42"/>
      <c r="I142" s="42"/>
      <c r="J142" s="42"/>
    </row>
    <row r="143" spans="1:10">
      <c r="A143" s="31">
        <v>46025</v>
      </c>
      <c r="B143" s="35" t="s">
        <v>40</v>
      </c>
      <c r="C143" s="39">
        <f t="shared" si="0"/>
        <v>4.34</v>
      </c>
      <c r="D143" s="42">
        <v>4.34</v>
      </c>
      <c r="E143" s="42"/>
      <c r="F143" s="42"/>
      <c r="G143" s="42"/>
      <c r="H143" s="42"/>
      <c r="I143" s="42"/>
      <c r="J143" s="42"/>
    </row>
    <row r="144" spans="1:10">
      <c r="A144" s="31">
        <v>46026</v>
      </c>
      <c r="B144" s="35" t="s">
        <v>58</v>
      </c>
      <c r="C144" s="39">
        <f t="shared" si="0"/>
        <v>0</v>
      </c>
      <c r="D144" s="42"/>
      <c r="E144" s="42"/>
      <c r="F144" s="42"/>
      <c r="G144" s="42"/>
      <c r="H144" s="42"/>
      <c r="I144" s="42"/>
      <c r="J144" s="42"/>
    </row>
    <row r="145" spans="1:10">
      <c r="A145" s="31">
        <v>46027</v>
      </c>
      <c r="B145" s="35" t="s">
        <v>61</v>
      </c>
      <c r="C145" s="39">
        <f t="shared" si="0"/>
        <v>16.16</v>
      </c>
      <c r="D145" s="42">
        <v>16.16</v>
      </c>
      <c r="E145" s="42"/>
      <c r="F145" s="42"/>
      <c r="G145" s="42"/>
      <c r="H145" s="42"/>
      <c r="I145" s="42"/>
      <c r="J145" s="42"/>
    </row>
    <row r="146" spans="1:10">
      <c r="A146" s="31">
        <v>46028</v>
      </c>
      <c r="B146" s="35" t="s">
        <v>68</v>
      </c>
      <c r="C146" s="39">
        <f t="shared" si="0"/>
        <v>16.196775000000002</v>
      </c>
      <c r="D146" s="65">
        <v>13.946775000000002</v>
      </c>
      <c r="E146" s="42">
        <v>2.25</v>
      </c>
      <c r="F146" s="42"/>
      <c r="G146" s="42"/>
      <c r="H146" s="42"/>
      <c r="I146" s="42"/>
      <c r="J146" s="42"/>
    </row>
    <row r="147" spans="1:10">
      <c r="A147" s="31">
        <v>46029</v>
      </c>
      <c r="B147" s="35" t="s">
        <v>83</v>
      </c>
      <c r="C147" s="39">
        <f t="shared" si="0"/>
        <v>8.42</v>
      </c>
      <c r="D147" s="42">
        <v>8.42</v>
      </c>
      <c r="E147" s="42"/>
      <c r="F147" s="42"/>
      <c r="G147" s="42"/>
      <c r="H147" s="42"/>
      <c r="I147" s="42"/>
      <c r="J147" s="42"/>
    </row>
    <row r="148" spans="1:10">
      <c r="A148" s="31">
        <v>46030</v>
      </c>
      <c r="B148" s="35" t="s">
        <v>91</v>
      </c>
      <c r="C148" s="39">
        <f t="shared" si="0"/>
        <v>0</v>
      </c>
      <c r="D148" s="153"/>
      <c r="E148" s="42"/>
      <c r="F148" s="42"/>
      <c r="G148" s="42"/>
      <c r="H148" s="42"/>
      <c r="I148" s="42"/>
      <c r="J148" s="42"/>
    </row>
    <row r="149" spans="1:10">
      <c r="A149" s="31">
        <v>46031</v>
      </c>
      <c r="B149" s="35" t="s">
        <v>44</v>
      </c>
      <c r="C149" s="39">
        <f t="shared" si="0"/>
        <v>6.3999999999999995</v>
      </c>
      <c r="D149" s="153"/>
      <c r="E149" s="42">
        <v>3.5</v>
      </c>
      <c r="F149" s="42">
        <v>1.18</v>
      </c>
      <c r="G149" s="42">
        <v>1.72</v>
      </c>
      <c r="H149" s="42"/>
      <c r="I149" s="42"/>
      <c r="J149" s="42"/>
    </row>
    <row r="150" spans="1:10">
      <c r="A150" s="31">
        <v>46032</v>
      </c>
      <c r="B150" s="35" t="s">
        <v>40</v>
      </c>
      <c r="C150" s="39">
        <f t="shared" si="0"/>
        <v>17.82</v>
      </c>
      <c r="D150" s="42">
        <v>17.82</v>
      </c>
      <c r="E150" s="42"/>
      <c r="F150" s="42"/>
      <c r="G150" s="42"/>
      <c r="H150" s="42"/>
      <c r="I150" s="42"/>
      <c r="J150" s="42"/>
    </row>
    <row r="151" spans="1:10">
      <c r="A151" s="31">
        <v>46033</v>
      </c>
      <c r="B151" s="35" t="s">
        <v>58</v>
      </c>
      <c r="C151" s="39">
        <f t="shared" si="0"/>
        <v>0</v>
      </c>
      <c r="D151" s="42"/>
      <c r="E151" s="42"/>
      <c r="F151" s="42"/>
      <c r="G151" s="42"/>
      <c r="H151" s="42"/>
      <c r="I151" s="42"/>
      <c r="J151" s="42"/>
    </row>
    <row r="152" spans="1:10">
      <c r="A152" s="31">
        <v>46034</v>
      </c>
      <c r="B152" s="35" t="s">
        <v>61</v>
      </c>
      <c r="C152" s="39">
        <f t="shared" si="0"/>
        <v>50.8</v>
      </c>
      <c r="D152" s="42">
        <v>50.8</v>
      </c>
      <c r="E152" s="42"/>
      <c r="F152" s="42"/>
      <c r="G152" s="42"/>
      <c r="H152" s="42"/>
      <c r="I152" s="42"/>
      <c r="J152" s="42"/>
    </row>
    <row r="153" spans="1:10">
      <c r="A153" s="31">
        <v>46035</v>
      </c>
      <c r="B153" s="35" t="s">
        <v>68</v>
      </c>
      <c r="C153" s="39">
        <f t="shared" si="0"/>
        <v>13.79</v>
      </c>
      <c r="D153" s="42">
        <v>13.79</v>
      </c>
      <c r="E153" s="42"/>
      <c r="F153" s="42"/>
      <c r="G153" s="42"/>
      <c r="H153" s="42"/>
      <c r="I153" s="42"/>
      <c r="J153" s="42"/>
    </row>
    <row r="154" spans="1:10">
      <c r="A154" s="31">
        <v>46036</v>
      </c>
      <c r="B154" s="35" t="s">
        <v>83</v>
      </c>
      <c r="C154" s="39">
        <f t="shared" si="0"/>
        <v>0</v>
      </c>
      <c r="D154" s="157"/>
      <c r="E154" s="157"/>
      <c r="F154" s="42"/>
      <c r="G154" s="42"/>
      <c r="H154" s="42"/>
      <c r="I154" s="42"/>
      <c r="J154" s="42"/>
    </row>
    <row r="155" spans="1:10">
      <c r="A155" s="31">
        <v>46037</v>
      </c>
      <c r="B155" s="35" t="s">
        <v>91</v>
      </c>
      <c r="C155" s="39">
        <f t="shared" si="0"/>
        <v>0</v>
      </c>
      <c r="D155" s="157"/>
      <c r="E155" s="157"/>
      <c r="F155" s="42"/>
      <c r="G155" s="42"/>
      <c r="H155" s="42"/>
      <c r="I155" s="42"/>
      <c r="J155" s="42"/>
    </row>
    <row r="156" spans="1:10">
      <c r="A156" s="31">
        <v>46038</v>
      </c>
      <c r="B156" s="35" t="s">
        <v>44</v>
      </c>
      <c r="C156" s="39">
        <f t="shared" si="0"/>
        <v>63.29999500000001</v>
      </c>
      <c r="D156" s="42">
        <v>22.42</v>
      </c>
      <c r="E156" s="65">
        <v>40.879995000000008</v>
      </c>
      <c r="F156" s="42"/>
      <c r="G156" s="42"/>
      <c r="H156" s="42"/>
      <c r="I156" s="42"/>
      <c r="J156" s="42">
        <v>30000</v>
      </c>
    </row>
    <row r="157" spans="1:10">
      <c r="A157" s="31">
        <v>46039</v>
      </c>
      <c r="B157" s="35" t="s">
        <v>40</v>
      </c>
      <c r="C157" s="39">
        <f t="shared" si="0"/>
        <v>2.64</v>
      </c>
      <c r="D157" s="42">
        <v>2.64</v>
      </c>
      <c r="E157" s="42"/>
      <c r="F157" s="42"/>
      <c r="G157" s="42"/>
      <c r="H157" s="42"/>
      <c r="I157" s="42"/>
      <c r="J157" s="42"/>
    </row>
    <row r="158" spans="1:10">
      <c r="A158" s="31">
        <v>46040</v>
      </c>
      <c r="B158" s="35" t="s">
        <v>58</v>
      </c>
      <c r="C158" s="39">
        <f t="shared" si="0"/>
        <v>0</v>
      </c>
      <c r="D158" s="42"/>
      <c r="E158" s="42"/>
      <c r="F158" s="42"/>
      <c r="G158" s="42"/>
      <c r="H158" s="42"/>
      <c r="I158" s="42"/>
      <c r="J158" s="42"/>
    </row>
    <row r="159" spans="1:10">
      <c r="A159" s="31">
        <v>46041</v>
      </c>
      <c r="B159" s="35" t="s">
        <v>61</v>
      </c>
      <c r="C159" s="39">
        <f t="shared" si="0"/>
        <v>32.79</v>
      </c>
      <c r="D159" s="42">
        <v>32.79</v>
      </c>
      <c r="E159" s="42"/>
      <c r="F159" s="42"/>
      <c r="G159" s="42"/>
      <c r="H159" s="42"/>
      <c r="I159" s="42"/>
      <c r="J159" s="42"/>
    </row>
    <row r="160" spans="1:10">
      <c r="A160" s="31">
        <v>46042</v>
      </c>
      <c r="B160" s="35" t="s">
        <v>68</v>
      </c>
      <c r="C160" s="39">
        <f t="shared" si="0"/>
        <v>8.5399999999999991</v>
      </c>
      <c r="D160" s="42">
        <v>8.5399999999999991</v>
      </c>
      <c r="E160" s="42"/>
      <c r="F160" s="42"/>
      <c r="G160" s="42"/>
      <c r="H160" s="42"/>
      <c r="I160" s="42"/>
      <c r="J160" s="42"/>
    </row>
    <row r="161" spans="1:10">
      <c r="A161" s="31">
        <v>46043</v>
      </c>
      <c r="B161" s="35" t="s">
        <v>83</v>
      </c>
      <c r="C161" s="39">
        <f t="shared" si="0"/>
        <v>0</v>
      </c>
      <c r="D161" s="42"/>
      <c r="E161" s="42"/>
      <c r="F161" s="42"/>
      <c r="G161" s="42"/>
      <c r="H161" s="42"/>
      <c r="I161" s="42"/>
      <c r="J161" s="42"/>
    </row>
    <row r="162" spans="1:10">
      <c r="A162" s="31">
        <v>46044</v>
      </c>
      <c r="B162" s="35" t="s">
        <v>91</v>
      </c>
      <c r="C162" s="39">
        <f t="shared" si="0"/>
        <v>5.69</v>
      </c>
      <c r="D162" s="42">
        <v>5.69</v>
      </c>
      <c r="E162" s="42"/>
      <c r="F162" s="42"/>
      <c r="G162" s="42"/>
      <c r="H162" s="42"/>
      <c r="I162" s="42"/>
      <c r="J162" s="42"/>
    </row>
    <row r="163" spans="1:10">
      <c r="A163" s="31">
        <v>46045</v>
      </c>
      <c r="B163" s="35" t="s">
        <v>44</v>
      </c>
      <c r="C163" s="39">
        <f t="shared" si="0"/>
        <v>0</v>
      </c>
      <c r="D163" s="42"/>
      <c r="E163" s="42"/>
      <c r="F163" s="42"/>
      <c r="G163" s="42"/>
      <c r="H163" s="42"/>
      <c r="I163" s="42"/>
      <c r="J163" s="42"/>
    </row>
    <row r="164" spans="1:10">
      <c r="A164" s="31">
        <v>46046</v>
      </c>
      <c r="B164" s="35" t="s">
        <v>40</v>
      </c>
      <c r="C164" s="39">
        <f t="shared" si="0"/>
        <v>0.12</v>
      </c>
      <c r="D164" s="42">
        <v>0.12</v>
      </c>
      <c r="E164" s="42"/>
      <c r="F164" s="42"/>
      <c r="G164" s="42"/>
      <c r="H164" s="42"/>
      <c r="I164" s="42"/>
      <c r="J164" s="42"/>
    </row>
    <row r="165" spans="1:10">
      <c r="A165" s="31">
        <v>46047</v>
      </c>
      <c r="B165" s="35" t="s">
        <v>58</v>
      </c>
      <c r="C165" s="39">
        <f t="shared" si="0"/>
        <v>0</v>
      </c>
      <c r="D165" s="42"/>
      <c r="E165" s="42"/>
      <c r="F165" s="42"/>
      <c r="G165" s="42"/>
      <c r="H165" s="42"/>
      <c r="I165" s="42"/>
      <c r="J165" s="42"/>
    </row>
    <row r="166" spans="1:10">
      <c r="A166" s="31">
        <v>46048</v>
      </c>
      <c r="B166" s="35" t="s">
        <v>61</v>
      </c>
      <c r="C166" s="39">
        <f t="shared" si="0"/>
        <v>9.76</v>
      </c>
      <c r="D166" s="42">
        <v>9.76</v>
      </c>
      <c r="E166" s="42"/>
      <c r="F166" s="42"/>
      <c r="G166" s="42"/>
      <c r="H166" s="42"/>
      <c r="I166" s="42"/>
      <c r="J166" s="42"/>
    </row>
    <row r="167" spans="1:10">
      <c r="A167" s="31">
        <v>46049</v>
      </c>
      <c r="B167" s="35" t="s">
        <v>68</v>
      </c>
      <c r="C167" s="39">
        <f t="shared" si="0"/>
        <v>0</v>
      </c>
      <c r="D167" s="42"/>
      <c r="E167" s="42"/>
      <c r="F167" s="42"/>
      <c r="G167" s="42"/>
      <c r="H167" s="42"/>
      <c r="I167" s="42"/>
      <c r="J167" s="42"/>
    </row>
    <row r="168" spans="1:10">
      <c r="A168" s="31">
        <v>46050</v>
      </c>
      <c r="B168" s="35" t="s">
        <v>83</v>
      </c>
      <c r="C168" s="39">
        <f t="shared" si="0"/>
        <v>15.82</v>
      </c>
      <c r="D168" s="42">
        <v>7.01</v>
      </c>
      <c r="E168" s="42">
        <v>8.81</v>
      </c>
      <c r="F168" s="42"/>
      <c r="G168" s="42"/>
      <c r="H168" s="42"/>
      <c r="I168" s="42"/>
      <c r="J168" s="42"/>
    </row>
    <row r="169" spans="1:10">
      <c r="A169" s="31">
        <v>46051</v>
      </c>
      <c r="B169" s="35" t="s">
        <v>91</v>
      </c>
      <c r="C169" s="39">
        <f t="shared" si="0"/>
        <v>2.56</v>
      </c>
      <c r="D169" s="42">
        <v>2.56</v>
      </c>
      <c r="E169" s="42"/>
      <c r="F169" s="42"/>
      <c r="G169" s="42"/>
      <c r="H169" s="42"/>
      <c r="I169" s="42"/>
      <c r="J169" s="42"/>
    </row>
    <row r="170" spans="1:10">
      <c r="A170" s="31">
        <v>46052</v>
      </c>
      <c r="B170" s="35" t="s">
        <v>44</v>
      </c>
      <c r="C170" s="39">
        <f t="shared" si="0"/>
        <v>0</v>
      </c>
      <c r="D170" s="42"/>
      <c r="E170" s="42"/>
      <c r="F170" s="42"/>
      <c r="G170" s="42"/>
      <c r="H170" s="42"/>
      <c r="I170" s="42"/>
      <c r="J170" s="42"/>
    </row>
    <row r="171" spans="1:10">
      <c r="A171" s="31">
        <v>46053</v>
      </c>
      <c r="B171" s="35" t="s">
        <v>40</v>
      </c>
      <c r="C171" s="39">
        <f t="shared" si="0"/>
        <v>10.23</v>
      </c>
      <c r="D171" s="42">
        <v>7.92</v>
      </c>
      <c r="E171" s="42">
        <v>1.27</v>
      </c>
      <c r="F171" s="42">
        <v>1.04</v>
      </c>
      <c r="G171" s="42"/>
      <c r="H171" s="42"/>
      <c r="I171" s="42"/>
      <c r="J171" s="42"/>
    </row>
    <row r="172" spans="1:10">
      <c r="A172" s="31">
        <v>46054</v>
      </c>
      <c r="B172" s="35" t="s">
        <v>58</v>
      </c>
      <c r="C172" s="39">
        <f t="shared" si="0"/>
        <v>0</v>
      </c>
      <c r="D172" s="42"/>
      <c r="E172" s="42"/>
      <c r="F172" s="42"/>
      <c r="G172" s="42"/>
      <c r="H172" s="42"/>
      <c r="I172" s="42"/>
      <c r="J172" s="42"/>
    </row>
    <row r="173" spans="1:10">
      <c r="A173" s="31">
        <v>46055</v>
      </c>
      <c r="B173" s="35" t="s">
        <v>61</v>
      </c>
      <c r="C173" s="39">
        <f t="shared" si="0"/>
        <v>0</v>
      </c>
      <c r="D173" s="42"/>
      <c r="E173" s="42"/>
      <c r="F173" s="42"/>
      <c r="G173" s="42"/>
      <c r="H173" s="42"/>
      <c r="I173" s="42"/>
      <c r="J173" s="42"/>
    </row>
    <row r="174" spans="1:10">
      <c r="A174" s="31">
        <v>46056</v>
      </c>
      <c r="B174" s="35" t="s">
        <v>68</v>
      </c>
      <c r="C174" s="39">
        <f t="shared" si="0"/>
        <v>36.25</v>
      </c>
      <c r="D174" s="42">
        <v>4.67</v>
      </c>
      <c r="E174" s="42">
        <v>29.19</v>
      </c>
      <c r="F174" s="65">
        <v>2.3899999999999997</v>
      </c>
      <c r="G174" s="42"/>
      <c r="H174" s="42"/>
      <c r="I174" s="42"/>
      <c r="J174" s="42"/>
    </row>
    <row r="175" spans="1:10">
      <c r="A175" s="31">
        <v>46057</v>
      </c>
      <c r="B175" s="35" t="s">
        <v>83</v>
      </c>
      <c r="C175" s="39">
        <f t="shared" si="0"/>
        <v>10.108124</v>
      </c>
      <c r="D175" s="65">
        <v>10.108124</v>
      </c>
      <c r="E175" s="42"/>
      <c r="F175" s="42"/>
      <c r="G175" s="42"/>
      <c r="H175" s="42"/>
      <c r="I175" s="42"/>
      <c r="J175" s="42"/>
    </row>
    <row r="176" spans="1:10">
      <c r="A176" s="31">
        <v>46058</v>
      </c>
      <c r="B176" s="35" t="s">
        <v>91</v>
      </c>
      <c r="C176" s="39">
        <f t="shared" si="0"/>
        <v>11.911313999999997</v>
      </c>
      <c r="D176" s="65">
        <v>11.911313999999997</v>
      </c>
      <c r="E176" s="42"/>
      <c r="F176" s="42"/>
      <c r="G176" s="42"/>
      <c r="H176" s="42"/>
      <c r="I176" s="42"/>
      <c r="J176" s="42"/>
    </row>
    <row r="177" spans="1:10">
      <c r="A177" s="31">
        <v>46059</v>
      </c>
      <c r="B177" s="35" t="s">
        <v>44</v>
      </c>
      <c r="C177" s="39">
        <f t="shared" si="0"/>
        <v>0</v>
      </c>
      <c r="D177" s="42"/>
      <c r="E177" s="42"/>
      <c r="F177" s="42"/>
      <c r="G177" s="42"/>
      <c r="H177" s="42"/>
      <c r="I177" s="42"/>
      <c r="J177" s="42"/>
    </row>
    <row r="178" spans="1:10">
      <c r="A178" s="31">
        <v>46060</v>
      </c>
      <c r="B178" s="35" t="s">
        <v>40</v>
      </c>
      <c r="C178" s="39">
        <f t="shared" si="0"/>
        <v>35.74</v>
      </c>
      <c r="D178" s="42">
        <v>30.96</v>
      </c>
      <c r="E178" s="42">
        <v>4.78</v>
      </c>
      <c r="F178" s="42"/>
      <c r="G178" s="42"/>
      <c r="H178" s="42"/>
      <c r="I178" s="42"/>
      <c r="J178" s="42"/>
    </row>
    <row r="179" spans="1:10">
      <c r="A179" s="31">
        <v>46061</v>
      </c>
      <c r="B179" s="35" t="s">
        <v>58</v>
      </c>
      <c r="C179" s="39">
        <f t="shared" si="0"/>
        <v>0</v>
      </c>
      <c r="D179" s="42"/>
      <c r="E179" s="42"/>
      <c r="F179" s="42"/>
      <c r="G179" s="42"/>
      <c r="H179" s="42"/>
      <c r="I179" s="42"/>
      <c r="J179" s="42"/>
    </row>
    <row r="180" spans="1:10">
      <c r="A180" s="31">
        <v>46062</v>
      </c>
      <c r="B180" s="35" t="s">
        <v>61</v>
      </c>
      <c r="C180" s="39">
        <f t="shared" si="0"/>
        <v>33.379999999999995</v>
      </c>
      <c r="D180" s="42">
        <v>31.04</v>
      </c>
      <c r="E180" s="42">
        <v>2.34</v>
      </c>
      <c r="F180" s="42"/>
      <c r="G180" s="42"/>
      <c r="H180" s="42"/>
      <c r="I180" s="42"/>
      <c r="J180" s="42"/>
    </row>
    <row r="181" spans="1:10">
      <c r="A181" s="31">
        <v>46063</v>
      </c>
      <c r="B181" s="35" t="s">
        <v>68</v>
      </c>
      <c r="C181" s="39">
        <f t="shared" si="0"/>
        <v>19.25</v>
      </c>
      <c r="D181" s="42">
        <v>19.25</v>
      </c>
      <c r="E181" s="42"/>
      <c r="F181" s="42"/>
      <c r="G181" s="42"/>
      <c r="H181" s="42"/>
      <c r="I181" s="42"/>
      <c r="J181" s="42">
        <v>50000</v>
      </c>
    </row>
    <row r="182" spans="1:10">
      <c r="A182" s="31">
        <v>46064</v>
      </c>
      <c r="B182" s="35" t="s">
        <v>83</v>
      </c>
      <c r="C182" s="39">
        <f t="shared" si="0"/>
        <v>7.21</v>
      </c>
      <c r="D182" s="42">
        <v>7.21</v>
      </c>
      <c r="E182" s="42"/>
      <c r="F182" s="42"/>
      <c r="G182" s="42"/>
      <c r="H182" s="42"/>
      <c r="I182" s="42"/>
      <c r="J182" s="42"/>
    </row>
    <row r="183" spans="1:10">
      <c r="A183" s="31">
        <v>46065</v>
      </c>
      <c r="B183" s="35" t="s">
        <v>91</v>
      </c>
      <c r="C183" s="39">
        <f t="shared" si="0"/>
        <v>5.6155590000000002</v>
      </c>
      <c r="D183" s="65">
        <v>5.6155590000000002</v>
      </c>
      <c r="E183" s="42"/>
      <c r="F183" s="42"/>
      <c r="G183" s="42"/>
      <c r="H183" s="42"/>
      <c r="I183" s="42"/>
      <c r="J183" s="42"/>
    </row>
    <row r="184" spans="1:10">
      <c r="A184" s="31">
        <v>46066</v>
      </c>
      <c r="B184" s="35" t="s">
        <v>44</v>
      </c>
      <c r="C184" s="39">
        <f t="shared" si="0"/>
        <v>6.25</v>
      </c>
      <c r="D184" s="42">
        <v>6.25</v>
      </c>
      <c r="E184" s="42"/>
      <c r="F184" s="42"/>
      <c r="G184" s="42"/>
      <c r="H184" s="42"/>
      <c r="I184" s="42"/>
      <c r="J184" s="42"/>
    </row>
    <row r="185" spans="1:10">
      <c r="A185" s="31">
        <v>46067</v>
      </c>
      <c r="B185" s="35" t="s">
        <v>40</v>
      </c>
      <c r="C185" s="39">
        <f t="shared" si="0"/>
        <v>10.466282</v>
      </c>
      <c r="D185" s="42">
        <v>6.3</v>
      </c>
      <c r="E185" s="65">
        <v>4.1662819999999998</v>
      </c>
      <c r="F185" s="42"/>
      <c r="G185" s="42"/>
      <c r="H185" s="42"/>
      <c r="I185" s="42"/>
      <c r="J185" s="42"/>
    </row>
    <row r="186" spans="1:10">
      <c r="A186" s="31">
        <v>46068</v>
      </c>
      <c r="B186" s="35" t="s">
        <v>58</v>
      </c>
      <c r="C186" s="39">
        <f t="shared" si="0"/>
        <v>0</v>
      </c>
      <c r="D186" s="42"/>
      <c r="E186" s="42"/>
      <c r="F186" s="42"/>
      <c r="G186" s="42"/>
      <c r="H186" s="42"/>
      <c r="I186" s="42"/>
      <c r="J186" s="42"/>
    </row>
    <row r="187" spans="1:10">
      <c r="A187" s="31">
        <v>46069</v>
      </c>
      <c r="B187" s="35" t="s">
        <v>61</v>
      </c>
      <c r="C187" s="39">
        <f t="shared" si="0"/>
        <v>12.08</v>
      </c>
      <c r="D187" s="42">
        <v>12.08</v>
      </c>
      <c r="E187" s="42"/>
      <c r="F187" s="42"/>
      <c r="G187" s="42"/>
      <c r="H187" s="42"/>
      <c r="I187" s="42"/>
      <c r="J187" s="42"/>
    </row>
    <row r="188" spans="1:10">
      <c r="A188" s="31">
        <v>46070</v>
      </c>
      <c r="B188" s="35" t="s">
        <v>68</v>
      </c>
      <c r="C188" s="39">
        <f t="shared" si="0"/>
        <v>13.12</v>
      </c>
      <c r="D188" s="42">
        <v>3.76</v>
      </c>
      <c r="E188" s="42">
        <v>6.21</v>
      </c>
      <c r="F188" s="42">
        <v>2.06</v>
      </c>
      <c r="G188" s="42">
        <v>1.0900000000000001</v>
      </c>
      <c r="H188" s="42"/>
      <c r="I188" s="42"/>
      <c r="J188" s="42"/>
    </row>
    <row r="189" spans="1:10">
      <c r="A189" s="31">
        <v>46071</v>
      </c>
      <c r="B189" s="35" t="s">
        <v>83</v>
      </c>
      <c r="C189" s="39">
        <f t="shared" si="0"/>
        <v>0</v>
      </c>
      <c r="D189" s="42"/>
      <c r="E189" s="42"/>
      <c r="F189" s="42"/>
      <c r="G189" s="42"/>
      <c r="H189" s="42"/>
      <c r="I189" s="42"/>
      <c r="J189" s="42"/>
    </row>
    <row r="190" spans="1:10">
      <c r="A190" s="31">
        <v>46072</v>
      </c>
      <c r="B190" s="35" t="s">
        <v>91</v>
      </c>
      <c r="C190" s="39">
        <f t="shared" si="0"/>
        <v>21.11</v>
      </c>
      <c r="D190" s="42">
        <v>18.13</v>
      </c>
      <c r="E190" s="42">
        <v>2.98</v>
      </c>
      <c r="F190" s="42"/>
      <c r="G190" s="42"/>
      <c r="H190" s="42"/>
      <c r="I190" s="42"/>
      <c r="J190" s="42"/>
    </row>
    <row r="191" spans="1:10">
      <c r="A191" s="31">
        <v>46073</v>
      </c>
      <c r="B191" s="35" t="s">
        <v>44</v>
      </c>
      <c r="C191" s="39">
        <f t="shared" si="0"/>
        <v>11.46</v>
      </c>
      <c r="D191" s="42">
        <v>8.5500000000000007</v>
      </c>
      <c r="E191" s="42">
        <v>2.91</v>
      </c>
      <c r="F191" s="42"/>
      <c r="G191" s="42"/>
      <c r="H191" s="42"/>
      <c r="I191" s="42"/>
      <c r="J191" s="42"/>
    </row>
    <row r="192" spans="1:10">
      <c r="A192" s="31">
        <v>46074</v>
      </c>
      <c r="B192" s="35" t="s">
        <v>40</v>
      </c>
      <c r="C192" s="39">
        <f t="shared" si="0"/>
        <v>34.42</v>
      </c>
      <c r="D192" s="42">
        <v>4.49</v>
      </c>
      <c r="E192" s="42">
        <v>29.93</v>
      </c>
      <c r="F192" s="42"/>
      <c r="G192" s="42"/>
      <c r="H192" s="42"/>
      <c r="I192" s="42"/>
      <c r="J192" s="42"/>
    </row>
    <row r="193" spans="1:10">
      <c r="A193" s="31">
        <v>46075</v>
      </c>
      <c r="B193" s="35" t="s">
        <v>58</v>
      </c>
      <c r="C193" s="39">
        <f t="shared" si="0"/>
        <v>0</v>
      </c>
      <c r="D193" s="42"/>
      <c r="E193" s="42"/>
      <c r="F193" s="42"/>
      <c r="G193" s="42"/>
      <c r="H193" s="42"/>
      <c r="I193" s="42"/>
      <c r="J193" s="42"/>
    </row>
    <row r="194" spans="1:10">
      <c r="A194" s="31">
        <v>46076</v>
      </c>
      <c r="B194" s="35" t="s">
        <v>61</v>
      </c>
      <c r="C194" s="39">
        <f t="shared" si="0"/>
        <v>6.45</v>
      </c>
      <c r="D194" s="42">
        <v>6.45</v>
      </c>
      <c r="E194" s="42"/>
      <c r="F194" s="42"/>
      <c r="G194" s="42"/>
      <c r="H194" s="42"/>
      <c r="I194" s="42"/>
      <c r="J194" s="42"/>
    </row>
    <row r="195" spans="1:10">
      <c r="A195" s="31">
        <v>46077</v>
      </c>
      <c r="B195" s="35" t="s">
        <v>68</v>
      </c>
      <c r="C195" s="39">
        <f t="shared" si="0"/>
        <v>8.76</v>
      </c>
      <c r="D195" s="42">
        <v>2.82</v>
      </c>
      <c r="E195" s="42">
        <v>5.94</v>
      </c>
      <c r="F195" s="42"/>
      <c r="G195" s="42"/>
      <c r="H195" s="42"/>
      <c r="I195" s="42"/>
      <c r="J195" s="42"/>
    </row>
    <row r="196" spans="1:10">
      <c r="A196" s="31">
        <v>46078</v>
      </c>
      <c r="B196" s="35" t="s">
        <v>83</v>
      </c>
      <c r="C196" s="39">
        <f t="shared" si="0"/>
        <v>5.87</v>
      </c>
      <c r="D196" s="42">
        <v>2.23</v>
      </c>
      <c r="E196" s="42">
        <v>1.18</v>
      </c>
      <c r="F196" s="42">
        <v>0.56999999999999995</v>
      </c>
      <c r="G196" s="42">
        <v>1.89</v>
      </c>
      <c r="H196" s="42"/>
      <c r="I196" s="42"/>
      <c r="J196" s="42"/>
    </row>
    <row r="197" spans="1:10">
      <c r="A197" s="31">
        <v>46079</v>
      </c>
      <c r="B197" s="35" t="s">
        <v>91</v>
      </c>
      <c r="C197" s="39">
        <f t="shared" si="0"/>
        <v>4.5600000000000005</v>
      </c>
      <c r="D197" s="42">
        <v>2.37</v>
      </c>
      <c r="E197" s="42">
        <v>2.19</v>
      </c>
      <c r="F197" s="42"/>
      <c r="G197" s="42"/>
      <c r="H197" s="42"/>
      <c r="I197" s="42"/>
      <c r="J197" s="42"/>
    </row>
    <row r="198" spans="1:10">
      <c r="A198" s="31">
        <v>46080</v>
      </c>
      <c r="B198" s="35" t="s">
        <v>44</v>
      </c>
      <c r="C198" s="39">
        <f t="shared" si="0"/>
        <v>4.05</v>
      </c>
      <c r="D198" s="42">
        <v>4.05</v>
      </c>
      <c r="E198" s="42"/>
      <c r="F198" s="42"/>
      <c r="G198" s="42"/>
      <c r="H198" s="42"/>
      <c r="I198" s="42"/>
      <c r="J198" s="42"/>
    </row>
    <row r="199" spans="1:10">
      <c r="A199" s="31">
        <v>46081</v>
      </c>
      <c r="B199" s="35" t="s">
        <v>40</v>
      </c>
      <c r="C199" s="39">
        <f t="shared" si="0"/>
        <v>18.36</v>
      </c>
      <c r="D199" s="42">
        <v>12.89</v>
      </c>
      <c r="E199" s="42">
        <v>0.9</v>
      </c>
      <c r="F199" s="42">
        <v>4.57</v>
      </c>
      <c r="G199" s="42"/>
      <c r="H199" s="42"/>
      <c r="I199" s="42"/>
      <c r="J199" s="42"/>
    </row>
    <row r="200" spans="1:10">
      <c r="A200" s="31">
        <v>46082</v>
      </c>
      <c r="B200" s="35" t="s">
        <v>58</v>
      </c>
      <c r="C200" s="39">
        <f t="shared" si="0"/>
        <v>0</v>
      </c>
      <c r="D200" s="42"/>
      <c r="E200" s="42"/>
      <c r="F200" s="42"/>
      <c r="G200" s="42"/>
      <c r="H200" s="42"/>
      <c r="I200" s="42"/>
      <c r="J200" s="42"/>
    </row>
    <row r="201" spans="1:10">
      <c r="A201" s="31">
        <v>46083</v>
      </c>
      <c r="B201" s="35" t="s">
        <v>61</v>
      </c>
      <c r="C201" s="39">
        <f t="shared" si="0"/>
        <v>55.47</v>
      </c>
      <c r="D201" s="42">
        <v>36.74</v>
      </c>
      <c r="E201" s="42">
        <v>2.19</v>
      </c>
      <c r="F201" s="42">
        <v>16.54</v>
      </c>
      <c r="G201" s="42"/>
      <c r="H201" s="42"/>
      <c r="I201" s="42"/>
      <c r="J201" s="42"/>
    </row>
    <row r="202" spans="1:10">
      <c r="A202" s="31">
        <v>46084</v>
      </c>
      <c r="B202" s="35" t="s">
        <v>68</v>
      </c>
      <c r="C202" s="39">
        <f t="shared" si="0"/>
        <v>15.2</v>
      </c>
      <c r="D202" s="42">
        <v>5.0599999999999996</v>
      </c>
      <c r="E202" s="42">
        <v>10.14</v>
      </c>
      <c r="F202" s="42"/>
      <c r="G202" s="42"/>
      <c r="H202" s="42"/>
      <c r="I202" s="42"/>
      <c r="J202" s="42"/>
    </row>
    <row r="203" spans="1:10">
      <c r="A203" s="31">
        <v>46085</v>
      </c>
      <c r="B203" s="35" t="s">
        <v>83</v>
      </c>
      <c r="C203" s="39">
        <f t="shared" si="0"/>
        <v>0</v>
      </c>
      <c r="D203" s="42"/>
      <c r="E203" s="42"/>
      <c r="F203" s="42"/>
      <c r="G203" s="42"/>
      <c r="H203" s="42"/>
      <c r="I203" s="42"/>
      <c r="J203" s="42"/>
    </row>
    <row r="204" spans="1:10">
      <c r="A204" s="31">
        <v>46086</v>
      </c>
      <c r="B204" s="35" t="s">
        <v>91</v>
      </c>
      <c r="C204" s="39">
        <f t="shared" si="0"/>
        <v>54.49</v>
      </c>
      <c r="D204" s="42">
        <v>20.93</v>
      </c>
      <c r="E204" s="42">
        <v>1.1399999999999999</v>
      </c>
      <c r="F204" s="42">
        <v>0.73</v>
      </c>
      <c r="G204" s="42">
        <v>17.309999999999999</v>
      </c>
      <c r="H204" s="42">
        <v>14.38</v>
      </c>
      <c r="I204" s="42"/>
      <c r="J204" s="42"/>
    </row>
    <row r="205" spans="1:10">
      <c r="A205" s="31">
        <v>46087</v>
      </c>
      <c r="B205" s="35" t="s">
        <v>44</v>
      </c>
      <c r="C205" s="39">
        <f t="shared" si="0"/>
        <v>43.61</v>
      </c>
      <c r="D205" s="42">
        <v>32.07</v>
      </c>
      <c r="E205" s="42">
        <v>11.54</v>
      </c>
      <c r="F205" s="42"/>
      <c r="G205" s="42"/>
      <c r="H205" s="42"/>
      <c r="I205" s="42"/>
      <c r="J205" s="42"/>
    </row>
    <row r="206" spans="1:10">
      <c r="A206" s="31">
        <v>46088</v>
      </c>
      <c r="B206" s="35" t="s">
        <v>40</v>
      </c>
      <c r="C206" s="39">
        <f t="shared" si="0"/>
        <v>18.989999999999998</v>
      </c>
      <c r="D206" s="42">
        <v>18.989999999999998</v>
      </c>
      <c r="E206" s="42"/>
      <c r="F206" s="42"/>
      <c r="G206" s="42"/>
      <c r="H206" s="42"/>
      <c r="I206" s="42"/>
      <c r="J206" s="42"/>
    </row>
    <row r="207" spans="1:10">
      <c r="A207" s="31">
        <v>46089</v>
      </c>
      <c r="B207" s="35" t="s">
        <v>58</v>
      </c>
      <c r="C207" s="39">
        <f t="shared" si="0"/>
        <v>0</v>
      </c>
      <c r="D207" s="42"/>
      <c r="E207" s="42"/>
      <c r="F207" s="42"/>
      <c r="G207" s="42"/>
      <c r="H207" s="42"/>
      <c r="I207" s="42"/>
      <c r="J207" s="42"/>
    </row>
    <row r="208" spans="1:10">
      <c r="A208" s="31">
        <v>46090</v>
      </c>
      <c r="B208" s="35" t="s">
        <v>61</v>
      </c>
      <c r="C208" s="39">
        <f t="shared" si="0"/>
        <v>32.33</v>
      </c>
      <c r="D208" s="42">
        <v>32.33</v>
      </c>
      <c r="E208" s="42"/>
      <c r="F208" s="42"/>
      <c r="G208" s="42"/>
      <c r="H208" s="42"/>
      <c r="I208" s="42"/>
      <c r="J208" s="42">
        <v>50000</v>
      </c>
    </row>
    <row r="209" spans="1:10">
      <c r="A209" s="31">
        <v>46091</v>
      </c>
      <c r="B209" s="35" t="s">
        <v>68</v>
      </c>
      <c r="C209" s="39">
        <f t="shared" si="0"/>
        <v>14.03</v>
      </c>
      <c r="D209" s="42">
        <v>14.03</v>
      </c>
      <c r="E209" s="42"/>
      <c r="F209" s="42"/>
      <c r="G209" s="42"/>
      <c r="H209" s="42"/>
      <c r="I209" s="42"/>
      <c r="J209" s="42"/>
    </row>
    <row r="210" spans="1:10">
      <c r="A210" s="31">
        <v>46092</v>
      </c>
      <c r="B210" s="35" t="s">
        <v>83</v>
      </c>
      <c r="C210" s="39">
        <f t="shared" si="0"/>
        <v>11.65</v>
      </c>
      <c r="D210" s="42">
        <v>10.32</v>
      </c>
      <c r="E210" s="42">
        <v>1.33</v>
      </c>
      <c r="F210" s="42"/>
      <c r="G210" s="42"/>
      <c r="H210" s="42"/>
      <c r="I210" s="42"/>
      <c r="J210" s="42"/>
    </row>
    <row r="211" spans="1:10">
      <c r="A211" s="31">
        <v>46093</v>
      </c>
      <c r="B211" s="35" t="s">
        <v>91</v>
      </c>
      <c r="C211" s="39">
        <f t="shared" si="0"/>
        <v>19</v>
      </c>
      <c r="D211" s="42">
        <v>13.38</v>
      </c>
      <c r="E211" s="42">
        <v>4.0599999999999996</v>
      </c>
      <c r="F211" s="42">
        <v>1.56</v>
      </c>
      <c r="G211" s="42"/>
      <c r="H211" s="42"/>
      <c r="I211" s="42"/>
      <c r="J211" s="42"/>
    </row>
    <row r="212" spans="1:10">
      <c r="A212" s="31">
        <v>46094</v>
      </c>
      <c r="B212" s="35" t="s">
        <v>44</v>
      </c>
      <c r="C212" s="39">
        <f t="shared" si="0"/>
        <v>11.17</v>
      </c>
      <c r="D212" s="42">
        <v>8.2899999999999991</v>
      </c>
      <c r="E212" s="42">
        <v>1.23</v>
      </c>
      <c r="F212" s="42">
        <v>1.65</v>
      </c>
      <c r="G212" s="42"/>
      <c r="H212" s="42"/>
      <c r="I212" s="42"/>
      <c r="J212" s="42"/>
    </row>
    <row r="213" spans="1:10">
      <c r="A213" s="31">
        <v>46095</v>
      </c>
      <c r="B213" s="35" t="s">
        <v>40</v>
      </c>
      <c r="C213" s="39">
        <f t="shared" si="0"/>
        <v>12.53</v>
      </c>
      <c r="D213" s="42">
        <v>6.5</v>
      </c>
      <c r="E213" s="42">
        <v>5.0199999999999996</v>
      </c>
      <c r="F213" s="42">
        <v>1.01</v>
      </c>
      <c r="G213" s="42"/>
      <c r="H213" s="42"/>
      <c r="I213" s="42"/>
      <c r="J213" s="42"/>
    </row>
    <row r="214" spans="1:10">
      <c r="A214" s="31">
        <v>46096</v>
      </c>
      <c r="B214" s="35" t="s">
        <v>58</v>
      </c>
      <c r="C214" s="39">
        <f t="shared" si="0"/>
        <v>0</v>
      </c>
      <c r="D214" s="42"/>
      <c r="E214" s="42"/>
      <c r="F214" s="42"/>
      <c r="G214" s="42"/>
      <c r="H214" s="42"/>
      <c r="I214" s="42"/>
      <c r="J214" s="42"/>
    </row>
    <row r="215" spans="1:10">
      <c r="A215" s="31">
        <v>46097</v>
      </c>
      <c r="B215" s="35" t="s">
        <v>61</v>
      </c>
      <c r="C215" s="39">
        <f t="shared" si="0"/>
        <v>35.159999999999997</v>
      </c>
      <c r="D215" s="42">
        <v>21.74</v>
      </c>
      <c r="E215" s="42">
        <v>6.12</v>
      </c>
      <c r="F215" s="42">
        <v>7.3</v>
      </c>
      <c r="G215" s="42"/>
      <c r="H215" s="42"/>
      <c r="I215" s="42"/>
      <c r="J215" s="42">
        <v>30000</v>
      </c>
    </row>
    <row r="216" spans="1:10">
      <c r="A216" s="31">
        <v>46098</v>
      </c>
      <c r="B216" s="35" t="s">
        <v>68</v>
      </c>
      <c r="C216" s="39">
        <f t="shared" si="0"/>
        <v>10.280000000000001</v>
      </c>
      <c r="D216" s="42">
        <v>5.07</v>
      </c>
      <c r="E216" s="42">
        <v>0.82</v>
      </c>
      <c r="F216" s="42">
        <v>1.64</v>
      </c>
      <c r="G216" s="42">
        <v>2.75</v>
      </c>
      <c r="H216" s="42"/>
      <c r="I216" s="42"/>
      <c r="J216" s="42"/>
    </row>
    <row r="217" spans="1:10">
      <c r="A217" s="31">
        <v>46099</v>
      </c>
      <c r="B217" s="35" t="s">
        <v>83</v>
      </c>
      <c r="C217" s="39">
        <f t="shared" si="0"/>
        <v>7.5200000000000005</v>
      </c>
      <c r="D217" s="42">
        <v>3.73</v>
      </c>
      <c r="E217" s="42">
        <v>0.3</v>
      </c>
      <c r="F217" s="42">
        <v>1.86</v>
      </c>
      <c r="G217" s="42">
        <v>1.63</v>
      </c>
      <c r="H217" s="42"/>
      <c r="I217" s="42"/>
      <c r="J217" s="42"/>
    </row>
    <row r="218" spans="1:10">
      <c r="A218" s="31">
        <v>46100</v>
      </c>
      <c r="B218" s="35" t="s">
        <v>91</v>
      </c>
      <c r="C218" s="39">
        <f t="shared" si="0"/>
        <v>8.370000000000001</v>
      </c>
      <c r="D218" s="42">
        <v>5.19</v>
      </c>
      <c r="E218" s="42">
        <v>0.31</v>
      </c>
      <c r="F218" s="42">
        <v>2.87</v>
      </c>
      <c r="G218" s="42"/>
      <c r="H218" s="42"/>
      <c r="I218" s="42"/>
      <c r="J218" s="42"/>
    </row>
    <row r="219" spans="1:10">
      <c r="A219" s="31">
        <v>46101</v>
      </c>
      <c r="B219" s="35" t="s">
        <v>44</v>
      </c>
      <c r="C219" s="39">
        <f t="shared" si="0"/>
        <v>11.93</v>
      </c>
      <c r="D219" s="42">
        <v>5.2</v>
      </c>
      <c r="E219" s="42">
        <v>0.45</v>
      </c>
      <c r="F219" s="42">
        <v>1.1299999999999999</v>
      </c>
      <c r="G219" s="42">
        <v>5.15</v>
      </c>
      <c r="H219" s="42"/>
      <c r="I219" s="42"/>
      <c r="J219" s="42"/>
    </row>
    <row r="220" spans="1:10">
      <c r="A220" s="31">
        <v>46102</v>
      </c>
      <c r="B220" s="35" t="s">
        <v>40</v>
      </c>
      <c r="C220" s="39">
        <f t="shared" si="0"/>
        <v>5.8699999999999992</v>
      </c>
      <c r="D220" s="42">
        <v>2.41</v>
      </c>
      <c r="E220" s="42">
        <v>2.44</v>
      </c>
      <c r="F220" s="42">
        <v>1.02</v>
      </c>
      <c r="G220" s="42"/>
      <c r="H220" s="42"/>
      <c r="I220" s="42"/>
      <c r="J220" s="42"/>
    </row>
    <row r="221" spans="1:10">
      <c r="A221" s="31">
        <v>46103</v>
      </c>
      <c r="B221" s="35" t="s">
        <v>58</v>
      </c>
      <c r="C221" s="39">
        <f t="shared" si="0"/>
        <v>0</v>
      </c>
      <c r="D221" s="42"/>
      <c r="E221" s="42"/>
      <c r="F221" s="42"/>
      <c r="G221" s="42"/>
      <c r="H221" s="42"/>
      <c r="I221" s="42"/>
      <c r="J221" s="42"/>
    </row>
    <row r="222" spans="1:10">
      <c r="A222" s="31">
        <v>46104</v>
      </c>
      <c r="B222" s="35" t="s">
        <v>61</v>
      </c>
      <c r="C222" s="39">
        <f t="shared" si="0"/>
        <v>16.29</v>
      </c>
      <c r="D222" s="42">
        <v>14.19</v>
      </c>
      <c r="E222" s="42">
        <v>2.1</v>
      </c>
      <c r="F222" s="42"/>
      <c r="G222" s="42"/>
      <c r="H222" s="42"/>
      <c r="I222" s="42"/>
      <c r="J222" s="42"/>
    </row>
    <row r="223" spans="1:10">
      <c r="A223" s="31">
        <v>46105</v>
      </c>
      <c r="B223" s="35" t="s">
        <v>68</v>
      </c>
      <c r="C223" s="39">
        <f t="shared" si="0"/>
        <v>13.79</v>
      </c>
      <c r="D223" s="42">
        <v>6.18</v>
      </c>
      <c r="E223" s="42">
        <v>6.79</v>
      </c>
      <c r="F223" s="42">
        <v>0.82</v>
      </c>
      <c r="G223" s="42"/>
      <c r="H223" s="42"/>
      <c r="I223" s="42"/>
      <c r="J223" s="42"/>
    </row>
    <row r="224" spans="1:10">
      <c r="A224" s="31">
        <v>46106</v>
      </c>
      <c r="B224" s="35" t="s">
        <v>83</v>
      </c>
      <c r="C224" s="39">
        <f t="shared" si="0"/>
        <v>12.79</v>
      </c>
      <c r="D224" s="42">
        <v>7.9</v>
      </c>
      <c r="E224" s="42">
        <v>1.71</v>
      </c>
      <c r="F224" s="42">
        <v>3.18</v>
      </c>
      <c r="G224" s="42"/>
      <c r="H224" s="42"/>
      <c r="I224" s="42"/>
      <c r="J224" s="42"/>
    </row>
    <row r="225" spans="1:10">
      <c r="A225" s="31">
        <v>46107</v>
      </c>
      <c r="B225" s="35" t="s">
        <v>91</v>
      </c>
      <c r="C225" s="39">
        <f t="shared" si="0"/>
        <v>9.9700000000000006</v>
      </c>
      <c r="D225" s="42">
        <v>6.19</v>
      </c>
      <c r="E225" s="42">
        <v>2.4700000000000002</v>
      </c>
      <c r="F225" s="42">
        <v>0.41</v>
      </c>
      <c r="G225" s="42">
        <v>0.9</v>
      </c>
      <c r="H225" s="42"/>
      <c r="I225" s="42"/>
      <c r="J225" s="42"/>
    </row>
    <row r="226" spans="1:10">
      <c r="A226" s="31">
        <v>46108</v>
      </c>
      <c r="B226" s="35" t="s">
        <v>44</v>
      </c>
      <c r="C226" s="39">
        <f t="shared" si="0"/>
        <v>0.82</v>
      </c>
      <c r="D226" s="42">
        <v>0.82</v>
      </c>
      <c r="E226" s="42"/>
      <c r="F226" s="42"/>
      <c r="G226" s="42"/>
      <c r="H226" s="42"/>
      <c r="I226" s="42"/>
      <c r="J226" s="42"/>
    </row>
    <row r="227" spans="1:10">
      <c r="A227" s="31">
        <v>46109</v>
      </c>
      <c r="B227" s="35" t="s">
        <v>40</v>
      </c>
      <c r="C227" s="39">
        <f t="shared" si="0"/>
        <v>17.540000000000003</v>
      </c>
      <c r="D227" s="42">
        <v>11.73</v>
      </c>
      <c r="E227" s="42">
        <v>4.03</v>
      </c>
      <c r="F227" s="42">
        <v>1.78</v>
      </c>
      <c r="G227" s="42"/>
      <c r="H227" s="42"/>
      <c r="I227" s="42"/>
      <c r="J227" s="42"/>
    </row>
    <row r="228" spans="1:10">
      <c r="A228" s="31">
        <v>46110</v>
      </c>
      <c r="B228" s="35" t="s">
        <v>58</v>
      </c>
      <c r="C228" s="39">
        <f t="shared" si="0"/>
        <v>0</v>
      </c>
      <c r="D228" s="42"/>
      <c r="E228" s="42"/>
      <c r="F228" s="42"/>
      <c r="G228" s="42"/>
      <c r="H228" s="42"/>
      <c r="I228" s="42"/>
      <c r="J228" s="42"/>
    </row>
    <row r="229" spans="1:10">
      <c r="A229" s="31">
        <v>46111</v>
      </c>
      <c r="B229" s="35" t="s">
        <v>61</v>
      </c>
      <c r="C229" s="39">
        <f t="shared" si="0"/>
        <v>18.03</v>
      </c>
      <c r="D229" s="42">
        <v>10.49</v>
      </c>
      <c r="E229" s="42">
        <v>2.75</v>
      </c>
      <c r="F229" s="42">
        <v>0.23</v>
      </c>
      <c r="G229" s="42">
        <v>4.5599999999999996</v>
      </c>
      <c r="H229" s="42"/>
      <c r="I229" s="42"/>
      <c r="J229" s="42"/>
    </row>
    <row r="230" spans="1:10">
      <c r="A230" s="31">
        <v>46112</v>
      </c>
      <c r="B230" s="35" t="s">
        <v>68</v>
      </c>
      <c r="C230" s="39">
        <f t="shared" si="0"/>
        <v>0</v>
      </c>
      <c r="D230" s="42"/>
      <c r="E230" s="42"/>
      <c r="F230" s="42"/>
      <c r="G230" s="42"/>
      <c r="H230" s="42"/>
      <c r="I230" s="42"/>
      <c r="J230" s="42"/>
    </row>
    <row r="231" spans="1:10">
      <c r="A231" s="31">
        <v>46113</v>
      </c>
      <c r="B231" s="35" t="s">
        <v>83</v>
      </c>
      <c r="C231" s="39">
        <f t="shared" si="0"/>
        <v>0</v>
      </c>
      <c r="D231" s="42"/>
      <c r="E231" s="42"/>
      <c r="F231" s="42"/>
      <c r="G231" s="42"/>
      <c r="H231" s="42"/>
      <c r="I231" s="42"/>
      <c r="J231" s="42"/>
    </row>
    <row r="232" spans="1:10">
      <c r="A232" s="31">
        <v>46114</v>
      </c>
      <c r="B232" s="35" t="s">
        <v>91</v>
      </c>
      <c r="C232" s="39">
        <f t="shared" si="0"/>
        <v>53.413831999999999</v>
      </c>
      <c r="D232" s="42">
        <v>47.49</v>
      </c>
      <c r="E232" s="42">
        <v>1.51</v>
      </c>
      <c r="F232" s="65">
        <v>4.4138320000000002</v>
      </c>
      <c r="G232" s="42"/>
      <c r="H232" s="42"/>
      <c r="I232" s="42"/>
      <c r="J232" s="42"/>
    </row>
    <row r="233" spans="1:10">
      <c r="A233" s="31">
        <v>46115</v>
      </c>
      <c r="B233" s="35" t="s">
        <v>44</v>
      </c>
      <c r="C233" s="39">
        <f t="shared" si="0"/>
        <v>12.58</v>
      </c>
      <c r="D233" s="42">
        <v>7.78</v>
      </c>
      <c r="E233" s="42">
        <v>2.29</v>
      </c>
      <c r="F233" s="42">
        <v>2.5099999999999998</v>
      </c>
      <c r="G233" s="42"/>
      <c r="H233" s="42"/>
      <c r="I233" s="42"/>
      <c r="J233" s="42"/>
    </row>
    <row r="234" spans="1:10">
      <c r="A234" s="31">
        <v>46116</v>
      </c>
      <c r="B234" s="35" t="s">
        <v>40</v>
      </c>
      <c r="C234" s="39">
        <f t="shared" si="0"/>
        <v>19</v>
      </c>
      <c r="D234" s="42">
        <v>9.26</v>
      </c>
      <c r="E234" s="42">
        <v>3.95</v>
      </c>
      <c r="F234" s="42">
        <v>0.82</v>
      </c>
      <c r="G234" s="42">
        <v>4.97</v>
      </c>
      <c r="H234" s="42"/>
      <c r="I234" s="42"/>
      <c r="J234" s="42"/>
    </row>
    <row r="235" spans="1:10">
      <c r="A235" s="31">
        <v>46117</v>
      </c>
      <c r="B235" s="35" t="s">
        <v>58</v>
      </c>
      <c r="C235" s="39">
        <f t="shared" si="0"/>
        <v>0</v>
      </c>
      <c r="D235" s="42"/>
      <c r="E235" s="42"/>
      <c r="F235" s="42"/>
      <c r="G235" s="42"/>
      <c r="H235" s="42"/>
      <c r="I235" s="42"/>
      <c r="J235" s="42"/>
    </row>
    <row r="236" spans="1:10">
      <c r="A236" s="31">
        <v>46118</v>
      </c>
      <c r="B236" s="35" t="s">
        <v>61</v>
      </c>
      <c r="C236" s="39">
        <f t="shared" si="0"/>
        <v>37.01</v>
      </c>
      <c r="D236" s="42">
        <v>18.32</v>
      </c>
      <c r="E236" s="42">
        <v>6.86</v>
      </c>
      <c r="F236" s="42">
        <v>2.31</v>
      </c>
      <c r="G236" s="42">
        <v>9.52</v>
      </c>
      <c r="H236" s="42"/>
      <c r="I236" s="42"/>
      <c r="J236" s="42"/>
    </row>
    <row r="237" spans="1:10">
      <c r="A237" s="31">
        <v>46119</v>
      </c>
      <c r="B237" s="35" t="s">
        <v>68</v>
      </c>
      <c r="C237" s="39">
        <f t="shared" si="0"/>
        <v>16.009999999999998</v>
      </c>
      <c r="D237" s="42">
        <v>10.199999999999999</v>
      </c>
      <c r="E237" s="42">
        <v>1.3</v>
      </c>
      <c r="F237" s="42">
        <v>4.51</v>
      </c>
      <c r="G237" s="42"/>
      <c r="H237" s="42"/>
      <c r="I237" s="42"/>
      <c r="J237" s="42"/>
    </row>
    <row r="238" spans="1:10">
      <c r="A238" s="31">
        <v>46120</v>
      </c>
      <c r="B238" s="35" t="s">
        <v>83</v>
      </c>
      <c r="C238" s="39">
        <f t="shared" si="0"/>
        <v>17.71</v>
      </c>
      <c r="D238" s="42">
        <v>10.85</v>
      </c>
      <c r="E238" s="42">
        <v>2.72</v>
      </c>
      <c r="F238" s="42">
        <v>1.4</v>
      </c>
      <c r="G238" s="42">
        <v>2.74</v>
      </c>
      <c r="H238" s="42"/>
      <c r="I238" s="42"/>
      <c r="J238" s="42"/>
    </row>
    <row r="239" spans="1:10">
      <c r="A239" s="31">
        <v>46121</v>
      </c>
      <c r="B239" s="35" t="s">
        <v>91</v>
      </c>
      <c r="C239" s="39">
        <f t="shared" si="0"/>
        <v>16.84</v>
      </c>
      <c r="D239" s="42">
        <v>10.06</v>
      </c>
      <c r="E239" s="42">
        <v>3.55</v>
      </c>
      <c r="F239" s="42">
        <v>3.23</v>
      </c>
      <c r="G239" s="42"/>
      <c r="H239" s="42"/>
      <c r="I239" s="42"/>
      <c r="J239" s="42"/>
    </row>
    <row r="240" spans="1:10">
      <c r="A240" s="31">
        <v>46122</v>
      </c>
      <c r="B240" s="35" t="s">
        <v>44</v>
      </c>
      <c r="C240" s="39">
        <f t="shared" si="0"/>
        <v>15.09</v>
      </c>
      <c r="D240" s="42">
        <v>6.47</v>
      </c>
      <c r="E240" s="42">
        <v>6.04</v>
      </c>
      <c r="F240" s="42">
        <v>2.58</v>
      </c>
      <c r="G240" s="42"/>
      <c r="H240" s="42"/>
      <c r="I240" s="42"/>
      <c r="J240" s="42">
        <v>50000</v>
      </c>
    </row>
    <row r="241" spans="1:10">
      <c r="A241" s="31">
        <v>46123</v>
      </c>
      <c r="B241" s="35" t="s">
        <v>40</v>
      </c>
      <c r="C241" s="39">
        <f t="shared" si="0"/>
        <v>17.62</v>
      </c>
      <c r="D241" s="42">
        <v>9.74</v>
      </c>
      <c r="E241" s="42">
        <v>2.59</v>
      </c>
      <c r="F241" s="42">
        <v>5.29</v>
      </c>
      <c r="G241" s="42"/>
      <c r="H241" s="42"/>
      <c r="I241" s="42"/>
      <c r="J241" s="42"/>
    </row>
    <row r="242" spans="1:10">
      <c r="A242" s="31">
        <v>46124</v>
      </c>
      <c r="B242" s="35" t="s">
        <v>58</v>
      </c>
      <c r="C242" s="39">
        <f t="shared" si="0"/>
        <v>0</v>
      </c>
      <c r="D242" s="35"/>
      <c r="E242" s="35"/>
      <c r="F242" s="35"/>
      <c r="G242" s="35"/>
      <c r="H242" s="35"/>
      <c r="I242" s="35"/>
      <c r="J242" s="35"/>
    </row>
    <row r="243" spans="1:10">
      <c r="A243" s="31">
        <v>46125</v>
      </c>
      <c r="B243" s="35" t="s">
        <v>61</v>
      </c>
      <c r="C243" s="39">
        <f t="shared" si="0"/>
        <v>35.83</v>
      </c>
      <c r="D243" s="35">
        <v>21.71</v>
      </c>
      <c r="E243" s="35">
        <v>7.52</v>
      </c>
      <c r="F243" s="35">
        <v>6.6</v>
      </c>
      <c r="G243" s="35"/>
      <c r="H243" s="35"/>
      <c r="I243" s="35"/>
      <c r="J243" s="35"/>
    </row>
    <row r="244" spans="1:10">
      <c r="A244" s="31">
        <v>46126</v>
      </c>
      <c r="B244" s="35" t="s">
        <v>68</v>
      </c>
      <c r="C244" s="39">
        <f t="shared" si="0"/>
        <v>10.33</v>
      </c>
      <c r="D244" s="35">
        <v>4.9400000000000004</v>
      </c>
      <c r="E244" s="35">
        <v>2.16</v>
      </c>
      <c r="F244" s="35">
        <v>3.23</v>
      </c>
      <c r="G244" s="35"/>
      <c r="H244" s="35"/>
      <c r="I244" s="35"/>
      <c r="J244" s="35"/>
    </row>
    <row r="245" spans="1:10">
      <c r="A245" s="31">
        <v>46127</v>
      </c>
      <c r="B245" s="35" t="s">
        <v>83</v>
      </c>
      <c r="C245" s="39">
        <f t="shared" si="0"/>
        <v>15.16</v>
      </c>
      <c r="D245" s="35">
        <v>8.17</v>
      </c>
      <c r="E245" s="35">
        <v>3.76</v>
      </c>
      <c r="F245" s="35">
        <v>3.23</v>
      </c>
      <c r="G245" s="35"/>
      <c r="H245" s="35"/>
      <c r="I245" s="35"/>
      <c r="J245" s="35"/>
    </row>
    <row r="246" spans="1:10">
      <c r="A246" s="31">
        <v>46128</v>
      </c>
      <c r="B246" s="35" t="s">
        <v>91</v>
      </c>
      <c r="C246" s="39">
        <f t="shared" si="0"/>
        <v>13.62</v>
      </c>
      <c r="D246" s="35">
        <v>6.52</v>
      </c>
      <c r="E246" s="35">
        <v>3.43</v>
      </c>
      <c r="F246" s="35">
        <v>3.67</v>
      </c>
      <c r="G246" s="35"/>
      <c r="H246" s="35"/>
      <c r="I246" s="35"/>
      <c r="J246" s="35"/>
    </row>
    <row r="247" spans="1:10">
      <c r="A247" s="31">
        <v>46129</v>
      </c>
      <c r="B247" s="35" t="s">
        <v>44</v>
      </c>
      <c r="C247" s="39">
        <f t="shared" si="0"/>
        <v>10.199999999999999</v>
      </c>
      <c r="D247" s="35">
        <v>10.199999999999999</v>
      </c>
      <c r="E247" s="35"/>
      <c r="F247" s="35"/>
      <c r="G247" s="35"/>
      <c r="H247" s="35"/>
      <c r="I247" s="35"/>
      <c r="J247" s="35"/>
    </row>
    <row r="248" spans="1:10">
      <c r="A248" s="31">
        <v>46130</v>
      </c>
      <c r="B248" s="35" t="s">
        <v>40</v>
      </c>
      <c r="C248" s="39">
        <f t="shared" si="0"/>
        <v>9.5599999999999987</v>
      </c>
      <c r="D248" s="35">
        <v>6.05</v>
      </c>
      <c r="E248" s="35">
        <v>3.51</v>
      </c>
      <c r="F248" s="35"/>
      <c r="G248" s="35"/>
      <c r="H248" s="35"/>
      <c r="I248" s="35"/>
      <c r="J248" s="35"/>
    </row>
    <row r="249" spans="1:10">
      <c r="A249" s="31">
        <v>46131</v>
      </c>
      <c r="B249" s="35" t="s">
        <v>58</v>
      </c>
      <c r="C249" s="39">
        <f t="shared" si="0"/>
        <v>0</v>
      </c>
      <c r="D249" s="35"/>
      <c r="E249" s="35"/>
      <c r="F249" s="35"/>
      <c r="G249" s="35"/>
      <c r="H249" s="35"/>
      <c r="I249" s="35"/>
      <c r="J249" s="35"/>
    </row>
    <row r="250" spans="1:10">
      <c r="A250" s="31">
        <v>46132</v>
      </c>
      <c r="B250" s="35" t="s">
        <v>61</v>
      </c>
      <c r="C250" s="39">
        <f t="shared" si="0"/>
        <v>21.42</v>
      </c>
      <c r="D250" s="35">
        <v>18.170000000000002</v>
      </c>
      <c r="E250" s="35">
        <v>3.25</v>
      </c>
      <c r="F250" s="35"/>
      <c r="G250" s="35"/>
      <c r="H250" s="35"/>
      <c r="I250" s="35"/>
      <c r="J250" s="35"/>
    </row>
    <row r="251" spans="1:10">
      <c r="A251" s="31">
        <v>46133</v>
      </c>
      <c r="B251" s="35" t="s">
        <v>68</v>
      </c>
      <c r="C251" s="39">
        <f t="shared" si="0"/>
        <v>7.46</v>
      </c>
      <c r="D251" s="35">
        <v>5.64</v>
      </c>
      <c r="E251" s="35">
        <v>1.82</v>
      </c>
      <c r="F251" s="35"/>
      <c r="G251" s="35"/>
      <c r="H251" s="35"/>
      <c r="I251" s="35"/>
      <c r="J251" s="35"/>
    </row>
    <row r="252" spans="1:10">
      <c r="A252" s="31">
        <v>46134</v>
      </c>
      <c r="B252" s="35" t="s">
        <v>83</v>
      </c>
      <c r="C252" s="39">
        <f t="shared" si="0"/>
        <v>7.3</v>
      </c>
      <c r="D252" s="35">
        <v>6.25</v>
      </c>
      <c r="E252" s="35">
        <v>1.05</v>
      </c>
      <c r="F252" s="35"/>
      <c r="G252" s="35"/>
      <c r="H252" s="35"/>
      <c r="I252" s="35"/>
      <c r="J252" s="35"/>
    </row>
    <row r="253" spans="1:10">
      <c r="A253" s="31">
        <v>46135</v>
      </c>
      <c r="B253" s="35" t="s">
        <v>91</v>
      </c>
      <c r="C253" s="39">
        <f t="shared" si="0"/>
        <v>8.84</v>
      </c>
      <c r="D253" s="35">
        <v>6.73</v>
      </c>
      <c r="E253" s="35">
        <v>2.11</v>
      </c>
      <c r="F253" s="35"/>
      <c r="G253" s="35"/>
      <c r="H253" s="35"/>
      <c r="I253" s="35"/>
      <c r="J253" s="35"/>
    </row>
    <row r="254" spans="1:10">
      <c r="A254" s="31">
        <v>46136</v>
      </c>
      <c r="B254" s="35" t="s">
        <v>44</v>
      </c>
      <c r="C254" s="39">
        <f t="shared" si="0"/>
        <v>6.6199999999999992</v>
      </c>
      <c r="D254" s="35">
        <v>3.86</v>
      </c>
      <c r="E254" s="35">
        <v>2.76</v>
      </c>
      <c r="F254" s="35"/>
      <c r="G254" s="35"/>
      <c r="H254" s="35"/>
      <c r="I254" s="35"/>
      <c r="J254" s="35"/>
    </row>
    <row r="255" spans="1:10">
      <c r="A255" s="31">
        <v>46137</v>
      </c>
      <c r="B255" s="35" t="s">
        <v>40</v>
      </c>
      <c r="C255" s="39">
        <f t="shared" si="0"/>
        <v>7.51</v>
      </c>
      <c r="D255" s="35">
        <v>3.73</v>
      </c>
      <c r="E255" s="35">
        <v>3.78</v>
      </c>
      <c r="F255" s="35"/>
      <c r="G255" s="35"/>
      <c r="H255" s="35"/>
      <c r="I255" s="35"/>
      <c r="J255" s="35"/>
    </row>
    <row r="256" spans="1:10">
      <c r="A256" s="31">
        <v>46138</v>
      </c>
      <c r="B256" s="35" t="s">
        <v>58</v>
      </c>
      <c r="C256" s="39">
        <f t="shared" si="0"/>
        <v>0</v>
      </c>
      <c r="D256" s="35"/>
      <c r="E256" s="35"/>
      <c r="F256" s="35"/>
      <c r="G256" s="35"/>
      <c r="H256" s="35"/>
      <c r="I256" s="35"/>
      <c r="J256" s="35"/>
    </row>
    <row r="257" spans="1:10">
      <c r="A257" s="31">
        <v>46139</v>
      </c>
      <c r="B257" s="35" t="s">
        <v>61</v>
      </c>
      <c r="C257" s="39">
        <f t="shared" ref="C257:C389" si="1">SUM(D257:I257)</f>
        <v>23.42</v>
      </c>
      <c r="D257" s="35">
        <v>15</v>
      </c>
      <c r="E257" s="35">
        <v>5.44</v>
      </c>
      <c r="F257" s="35">
        <v>2.98</v>
      </c>
      <c r="G257" s="35"/>
      <c r="H257" s="35"/>
      <c r="I257" s="35"/>
      <c r="J257" s="35"/>
    </row>
    <row r="258" spans="1:10">
      <c r="A258" s="31">
        <v>46140</v>
      </c>
      <c r="B258" s="35" t="s">
        <v>68</v>
      </c>
      <c r="C258" s="39">
        <f t="shared" si="1"/>
        <v>7.57</v>
      </c>
      <c r="D258" s="35">
        <v>5.12</v>
      </c>
      <c r="E258" s="35">
        <v>1.25</v>
      </c>
      <c r="F258" s="35">
        <v>1.2</v>
      </c>
      <c r="G258" s="35"/>
      <c r="H258" s="35"/>
      <c r="I258" s="35"/>
      <c r="J258" s="35"/>
    </row>
    <row r="259" spans="1:10">
      <c r="A259" s="31">
        <v>46141</v>
      </c>
      <c r="B259" s="35" t="s">
        <v>83</v>
      </c>
      <c r="C259" s="39">
        <f t="shared" si="1"/>
        <v>7.2100000000000009</v>
      </c>
      <c r="D259" s="35">
        <v>3.6</v>
      </c>
      <c r="E259" s="35">
        <v>2.13</v>
      </c>
      <c r="F259" s="35">
        <v>1.48</v>
      </c>
      <c r="G259" s="35"/>
      <c r="H259" s="35"/>
      <c r="I259" s="35"/>
      <c r="J259" s="35"/>
    </row>
    <row r="260" spans="1:10">
      <c r="A260" s="31">
        <v>46142</v>
      </c>
      <c r="B260" s="35" t="s">
        <v>91</v>
      </c>
      <c r="C260" s="39">
        <f t="shared" si="1"/>
        <v>3.51</v>
      </c>
      <c r="D260" s="35">
        <v>1.48</v>
      </c>
      <c r="E260" s="35">
        <v>2.0299999999999998</v>
      </c>
      <c r="F260" s="35"/>
      <c r="G260" s="35"/>
      <c r="H260" s="35"/>
      <c r="I260" s="35"/>
      <c r="J260" s="35"/>
    </row>
    <row r="261" spans="1:10">
      <c r="A261" s="31">
        <v>46143</v>
      </c>
      <c r="B261" s="35" t="s">
        <v>44</v>
      </c>
      <c r="C261" s="39">
        <f t="shared" si="1"/>
        <v>12.75</v>
      </c>
      <c r="D261" s="35">
        <v>4.47</v>
      </c>
      <c r="E261" s="35">
        <v>1.74</v>
      </c>
      <c r="F261" s="35">
        <v>6.54</v>
      </c>
      <c r="G261" s="35"/>
      <c r="H261" s="35"/>
      <c r="I261" s="35"/>
      <c r="J261" s="35"/>
    </row>
    <row r="262" spans="1:10">
      <c r="A262" s="31">
        <v>46144</v>
      </c>
      <c r="B262" s="35" t="s">
        <v>40</v>
      </c>
      <c r="C262" s="39">
        <f t="shared" si="1"/>
        <v>13.39</v>
      </c>
      <c r="D262" s="35">
        <v>9.42</v>
      </c>
      <c r="E262" s="35">
        <v>3.97</v>
      </c>
      <c r="F262" s="35"/>
      <c r="G262" s="35"/>
      <c r="H262" s="35"/>
      <c r="I262" s="35"/>
      <c r="J262" s="35"/>
    </row>
    <row r="263" spans="1:10">
      <c r="A263" s="31">
        <v>46145</v>
      </c>
      <c r="B263" s="35" t="s">
        <v>58</v>
      </c>
      <c r="C263" s="39">
        <f t="shared" si="1"/>
        <v>0</v>
      </c>
      <c r="D263" s="35"/>
      <c r="E263" s="35"/>
      <c r="F263" s="35"/>
      <c r="G263" s="35"/>
      <c r="H263" s="35"/>
      <c r="I263" s="35"/>
      <c r="J263" s="35"/>
    </row>
    <row r="264" spans="1:10">
      <c r="A264" s="31">
        <v>46146</v>
      </c>
      <c r="B264" s="35" t="s">
        <v>61</v>
      </c>
      <c r="C264" s="39">
        <f t="shared" si="1"/>
        <v>22.939999999999998</v>
      </c>
      <c r="D264" s="35">
        <v>16.16</v>
      </c>
      <c r="E264" s="35">
        <v>5.35</v>
      </c>
      <c r="F264" s="35">
        <v>1.43</v>
      </c>
      <c r="G264" s="35"/>
      <c r="H264" s="35"/>
      <c r="I264" s="35"/>
      <c r="J264" s="35"/>
    </row>
    <row r="265" spans="1:10">
      <c r="A265" s="31">
        <v>46147</v>
      </c>
      <c r="B265" s="35" t="s">
        <v>68</v>
      </c>
      <c r="C265" s="39">
        <f t="shared" si="1"/>
        <v>7.76</v>
      </c>
      <c r="D265" s="35">
        <v>5.42</v>
      </c>
      <c r="E265" s="35">
        <v>1.71</v>
      </c>
      <c r="F265" s="35">
        <v>0.63</v>
      </c>
      <c r="G265" s="35"/>
      <c r="H265" s="35"/>
      <c r="I265" s="35"/>
      <c r="J265" s="35"/>
    </row>
    <row r="266" spans="1:10">
      <c r="A266" s="31">
        <v>46148</v>
      </c>
      <c r="B266" s="35" t="s">
        <v>83</v>
      </c>
      <c r="C266" s="39">
        <f t="shared" si="1"/>
        <v>10.65</v>
      </c>
      <c r="D266" s="35">
        <v>8.07</v>
      </c>
      <c r="E266" s="35">
        <v>2.58</v>
      </c>
      <c r="F266" s="35"/>
      <c r="G266" s="35"/>
      <c r="H266" s="35"/>
      <c r="I266" s="35"/>
      <c r="J266" s="35"/>
    </row>
    <row r="267" spans="1:10">
      <c r="A267" s="31">
        <v>46149</v>
      </c>
      <c r="B267" s="35" t="s">
        <v>91</v>
      </c>
      <c r="C267" s="39">
        <f t="shared" si="1"/>
        <v>5.7</v>
      </c>
      <c r="D267" s="35">
        <v>2.37</v>
      </c>
      <c r="E267" s="35">
        <v>1.71</v>
      </c>
      <c r="F267" s="35">
        <v>1.62</v>
      </c>
      <c r="G267" s="35"/>
      <c r="H267" s="35"/>
      <c r="I267" s="35"/>
      <c r="J267" s="35"/>
    </row>
    <row r="268" spans="1:10">
      <c r="A268" s="31">
        <v>46150</v>
      </c>
      <c r="B268" s="35" t="s">
        <v>44</v>
      </c>
      <c r="C268" s="39">
        <f t="shared" si="1"/>
        <v>11.760000000000002</v>
      </c>
      <c r="D268" s="35">
        <v>5.53</v>
      </c>
      <c r="E268" s="35">
        <v>6.23</v>
      </c>
      <c r="F268" s="35"/>
      <c r="G268" s="35"/>
      <c r="H268" s="35"/>
      <c r="I268" s="35"/>
      <c r="J268" s="35">
        <v>50000</v>
      </c>
    </row>
    <row r="269" spans="1:10">
      <c r="A269" s="31">
        <v>46151</v>
      </c>
      <c r="B269" s="35" t="s">
        <v>40</v>
      </c>
      <c r="C269" s="39">
        <f t="shared" si="1"/>
        <v>16.190000000000001</v>
      </c>
      <c r="D269" s="35">
        <v>9.31</v>
      </c>
      <c r="E269" s="35">
        <v>6.88</v>
      </c>
      <c r="F269" s="35"/>
      <c r="G269" s="35"/>
      <c r="H269" s="35"/>
      <c r="I269" s="35"/>
      <c r="J269" s="35"/>
    </row>
    <row r="270" spans="1:10">
      <c r="A270" s="31">
        <v>46152</v>
      </c>
      <c r="B270" s="35" t="s">
        <v>58</v>
      </c>
      <c r="C270" s="39">
        <f t="shared" si="1"/>
        <v>0</v>
      </c>
      <c r="D270" s="35"/>
      <c r="E270" s="35"/>
      <c r="F270" s="35"/>
      <c r="G270" s="35"/>
      <c r="H270" s="35"/>
      <c r="I270" s="35"/>
      <c r="J270" s="35"/>
    </row>
    <row r="271" spans="1:10">
      <c r="A271" s="31">
        <v>46153</v>
      </c>
      <c r="B271" s="35" t="s">
        <v>61</v>
      </c>
      <c r="C271" s="39">
        <f t="shared" si="1"/>
        <v>23.8</v>
      </c>
      <c r="D271" s="35">
        <v>10.81</v>
      </c>
      <c r="E271" s="35">
        <v>9.36</v>
      </c>
      <c r="F271" s="35">
        <v>3.18</v>
      </c>
      <c r="G271" s="35">
        <v>0.45</v>
      </c>
      <c r="H271" s="35"/>
      <c r="I271" s="35"/>
      <c r="J271" s="35"/>
    </row>
    <row r="272" spans="1:10">
      <c r="A272" s="31">
        <v>46154</v>
      </c>
      <c r="B272" s="35" t="s">
        <v>68</v>
      </c>
      <c r="C272" s="39">
        <f t="shared" si="1"/>
        <v>5.0199999999999996</v>
      </c>
      <c r="D272" s="35">
        <v>2.65</v>
      </c>
      <c r="E272" s="35">
        <v>2.37</v>
      </c>
      <c r="F272" s="35"/>
      <c r="G272" s="35"/>
      <c r="H272" s="35"/>
      <c r="I272" s="35"/>
      <c r="J272" s="35"/>
    </row>
    <row r="273" spans="1:10">
      <c r="A273" s="31">
        <v>46155</v>
      </c>
      <c r="B273" s="35" t="s">
        <v>83</v>
      </c>
      <c r="C273" s="39">
        <f t="shared" si="1"/>
        <v>18.86</v>
      </c>
      <c r="D273" s="35">
        <v>13.54</v>
      </c>
      <c r="E273" s="35">
        <v>5.32</v>
      </c>
      <c r="F273" s="35"/>
      <c r="G273" s="35"/>
      <c r="H273" s="35"/>
      <c r="I273" s="35"/>
      <c r="J273" s="35"/>
    </row>
    <row r="274" spans="1:10">
      <c r="A274" s="31">
        <v>46156</v>
      </c>
      <c r="B274" s="35" t="s">
        <v>91</v>
      </c>
      <c r="C274" s="39">
        <f t="shared" si="1"/>
        <v>15.45</v>
      </c>
      <c r="D274" s="35">
        <v>11.52</v>
      </c>
      <c r="E274" s="35">
        <v>3.93</v>
      </c>
      <c r="F274" s="35"/>
      <c r="G274" s="35"/>
      <c r="H274" s="35"/>
      <c r="I274" s="35"/>
      <c r="J274" s="35"/>
    </row>
    <row r="275" spans="1:10">
      <c r="A275" s="31">
        <v>46157</v>
      </c>
      <c r="B275" s="35" t="s">
        <v>44</v>
      </c>
      <c r="C275" s="39">
        <f t="shared" si="1"/>
        <v>12.44</v>
      </c>
      <c r="D275" s="35">
        <v>8.43</v>
      </c>
      <c r="E275" s="35">
        <v>4.01</v>
      </c>
      <c r="F275" s="35"/>
      <c r="G275" s="35"/>
      <c r="H275" s="35"/>
      <c r="I275" s="35"/>
      <c r="J275" s="35"/>
    </row>
    <row r="276" spans="1:10">
      <c r="A276" s="31">
        <v>46158</v>
      </c>
      <c r="B276" s="35" t="s">
        <v>40</v>
      </c>
      <c r="C276" s="39">
        <f t="shared" si="1"/>
        <v>0</v>
      </c>
      <c r="D276" s="35"/>
      <c r="E276" s="35"/>
      <c r="F276" s="35"/>
      <c r="G276" s="35"/>
      <c r="H276" s="35"/>
      <c r="I276" s="35"/>
      <c r="J276" s="35"/>
    </row>
    <row r="277" spans="1:10">
      <c r="A277" s="31">
        <v>46159</v>
      </c>
      <c r="B277" s="35" t="s">
        <v>58</v>
      </c>
      <c r="C277" s="39">
        <f t="shared" si="1"/>
        <v>13.54</v>
      </c>
      <c r="D277" s="35">
        <v>13.54</v>
      </c>
      <c r="E277" s="35"/>
      <c r="F277" s="35"/>
      <c r="G277" s="35"/>
      <c r="H277" s="35"/>
      <c r="I277" s="35"/>
      <c r="J277" s="35"/>
    </row>
    <row r="278" spans="1:10">
      <c r="A278" s="31">
        <v>46160</v>
      </c>
      <c r="B278" s="35" t="s">
        <v>61</v>
      </c>
      <c r="C278" s="39">
        <f t="shared" si="1"/>
        <v>68.36999999999999</v>
      </c>
      <c r="D278" s="35">
        <v>62.16</v>
      </c>
      <c r="E278" s="35">
        <v>6.21</v>
      </c>
      <c r="F278" s="35"/>
      <c r="G278" s="35"/>
      <c r="H278" s="35"/>
      <c r="I278" s="35"/>
      <c r="J278" s="35"/>
    </row>
    <row r="279" spans="1:10">
      <c r="A279" s="31">
        <v>46161</v>
      </c>
      <c r="B279" s="35" t="s">
        <v>68</v>
      </c>
      <c r="C279" s="39">
        <f t="shared" si="1"/>
        <v>17.34</v>
      </c>
      <c r="D279" s="35">
        <v>13.32</v>
      </c>
      <c r="E279" s="35">
        <v>4.0199999999999996</v>
      </c>
      <c r="F279" s="35"/>
      <c r="G279" s="35"/>
      <c r="H279" s="35"/>
      <c r="I279" s="35"/>
      <c r="J279" s="35"/>
    </row>
    <row r="280" spans="1:10">
      <c r="A280" s="31">
        <v>46162</v>
      </c>
      <c r="B280" s="35" t="s">
        <v>83</v>
      </c>
      <c r="C280" s="39">
        <f t="shared" si="1"/>
        <v>15.66</v>
      </c>
      <c r="D280" s="35">
        <v>5.97</v>
      </c>
      <c r="E280" s="35">
        <v>3.33</v>
      </c>
      <c r="F280" s="35">
        <v>0.59</v>
      </c>
      <c r="G280" s="35">
        <v>5.77</v>
      </c>
      <c r="H280" s="35"/>
      <c r="I280" s="35"/>
      <c r="J280" s="35"/>
    </row>
    <row r="281" spans="1:10">
      <c r="A281" s="31">
        <v>46163</v>
      </c>
      <c r="B281" s="35" t="s">
        <v>91</v>
      </c>
      <c r="C281" s="39">
        <f t="shared" si="1"/>
        <v>10.97</v>
      </c>
      <c r="D281" s="35">
        <v>10.56</v>
      </c>
      <c r="E281" s="35">
        <v>0.41</v>
      </c>
      <c r="F281" s="35"/>
      <c r="G281" s="35"/>
      <c r="H281" s="35"/>
      <c r="I281" s="35"/>
      <c r="J281" s="35"/>
    </row>
    <row r="282" spans="1:10">
      <c r="A282" s="31">
        <v>46164</v>
      </c>
      <c r="B282" s="35" t="s">
        <v>44</v>
      </c>
      <c r="C282" s="39">
        <f t="shared" si="1"/>
        <v>9.3999999999999986</v>
      </c>
      <c r="D282" s="35">
        <v>5.56</v>
      </c>
      <c r="E282" s="35">
        <v>3.84</v>
      </c>
      <c r="F282" s="35"/>
      <c r="G282" s="35"/>
      <c r="H282" s="35"/>
      <c r="I282" s="35"/>
      <c r="J282" s="35"/>
    </row>
    <row r="283" spans="1:10">
      <c r="A283" s="31">
        <v>46165</v>
      </c>
      <c r="B283" s="35" t="s">
        <v>40</v>
      </c>
      <c r="C283" s="39">
        <f t="shared" si="1"/>
        <v>10.74</v>
      </c>
      <c r="D283" s="35">
        <v>6.96</v>
      </c>
      <c r="E283" s="35">
        <v>3.78</v>
      </c>
      <c r="F283" s="35"/>
      <c r="G283" s="35"/>
      <c r="H283" s="35"/>
      <c r="I283" s="35"/>
      <c r="J283" s="35"/>
    </row>
    <row r="284" spans="1:10">
      <c r="A284" s="31">
        <v>46166</v>
      </c>
      <c r="B284" s="35" t="s">
        <v>58</v>
      </c>
      <c r="C284" s="39">
        <f t="shared" si="1"/>
        <v>0</v>
      </c>
      <c r="D284" s="35"/>
      <c r="E284" s="35"/>
      <c r="F284" s="35"/>
      <c r="G284" s="35"/>
      <c r="H284" s="35"/>
      <c r="I284" s="35"/>
      <c r="J284" s="35"/>
    </row>
    <row r="285" spans="1:10">
      <c r="A285" s="31">
        <v>46167</v>
      </c>
      <c r="B285" s="35" t="s">
        <v>61</v>
      </c>
      <c r="C285" s="39">
        <f t="shared" si="1"/>
        <v>26.86</v>
      </c>
      <c r="D285" s="35">
        <v>20.100000000000001</v>
      </c>
      <c r="E285" s="35">
        <v>5.79</v>
      </c>
      <c r="F285" s="35">
        <v>0.97</v>
      </c>
      <c r="G285" s="35"/>
      <c r="H285" s="35"/>
      <c r="I285" s="35"/>
      <c r="J285" s="35"/>
    </row>
    <row r="286" spans="1:10">
      <c r="A286" s="31">
        <v>46168</v>
      </c>
      <c r="B286" s="35" t="s">
        <v>68</v>
      </c>
      <c r="C286" s="39">
        <f t="shared" si="1"/>
        <v>10.280000000000001</v>
      </c>
      <c r="D286" s="35">
        <v>7.37</v>
      </c>
      <c r="E286" s="35">
        <v>2.91</v>
      </c>
      <c r="F286" s="35"/>
      <c r="G286" s="35"/>
      <c r="H286" s="35"/>
      <c r="I286" s="35"/>
      <c r="J286" s="35"/>
    </row>
    <row r="287" spans="1:10">
      <c r="A287" s="31">
        <v>46169</v>
      </c>
      <c r="B287" s="35" t="s">
        <v>83</v>
      </c>
      <c r="C287" s="39">
        <f t="shared" si="1"/>
        <v>12.290000000000001</v>
      </c>
      <c r="D287" s="35">
        <v>9.57</v>
      </c>
      <c r="E287" s="35">
        <v>2.72</v>
      </c>
      <c r="F287" s="35"/>
      <c r="G287" s="35"/>
      <c r="H287" s="35"/>
      <c r="I287" s="35"/>
      <c r="J287" s="35"/>
    </row>
    <row r="288" spans="1:10">
      <c r="A288" s="31">
        <v>46170</v>
      </c>
      <c r="B288" s="35" t="s">
        <v>91</v>
      </c>
      <c r="C288" s="39">
        <f t="shared" si="1"/>
        <v>12.205475000000003</v>
      </c>
      <c r="D288" s="225">
        <v>12.205475000000003</v>
      </c>
      <c r="E288" s="35"/>
      <c r="F288" s="35"/>
      <c r="G288" s="35"/>
      <c r="H288" s="35"/>
      <c r="I288" s="35"/>
      <c r="J288" s="35"/>
    </row>
    <row r="289" spans="1:10">
      <c r="A289" s="31">
        <v>46171</v>
      </c>
      <c r="B289" s="35" t="s">
        <v>44</v>
      </c>
      <c r="C289" s="39">
        <f t="shared" si="1"/>
        <v>20.66</v>
      </c>
      <c r="D289" s="65">
        <v>16.850000000000001</v>
      </c>
      <c r="E289" s="35">
        <v>3.81</v>
      </c>
      <c r="F289" s="35"/>
      <c r="G289" s="35"/>
      <c r="H289" s="35"/>
      <c r="I289" s="35"/>
      <c r="J289" s="35"/>
    </row>
    <row r="290" spans="1:10">
      <c r="A290" s="31">
        <v>46172</v>
      </c>
      <c r="B290" s="35" t="s">
        <v>40</v>
      </c>
      <c r="C290" s="39">
        <f t="shared" si="1"/>
        <v>35.78</v>
      </c>
      <c r="D290" s="35">
        <v>24.93</v>
      </c>
      <c r="E290" s="65">
        <v>3.86</v>
      </c>
      <c r="F290" s="35">
        <v>1.06</v>
      </c>
      <c r="G290" s="35">
        <v>5.93</v>
      </c>
      <c r="H290" s="35"/>
      <c r="I290" s="35"/>
      <c r="J290" s="35"/>
    </row>
    <row r="291" spans="1:10">
      <c r="A291" s="31">
        <v>46173</v>
      </c>
      <c r="B291" s="35" t="s">
        <v>58</v>
      </c>
      <c r="C291" s="39">
        <f t="shared" si="1"/>
        <v>0</v>
      </c>
      <c r="D291" s="35"/>
      <c r="E291" s="35"/>
      <c r="F291" s="35"/>
      <c r="G291" s="35"/>
      <c r="H291" s="35"/>
      <c r="I291" s="35"/>
      <c r="J291" s="35"/>
    </row>
    <row r="292" spans="1:10">
      <c r="A292" s="31">
        <v>46174</v>
      </c>
      <c r="B292" s="35" t="s">
        <v>61</v>
      </c>
      <c r="C292" s="39">
        <f t="shared" si="1"/>
        <v>46.89</v>
      </c>
      <c r="D292" s="35">
        <v>46.89</v>
      </c>
      <c r="E292" s="35"/>
      <c r="F292" s="35"/>
      <c r="G292" s="35"/>
      <c r="H292" s="35"/>
      <c r="I292" s="35"/>
      <c r="J292" s="35"/>
    </row>
    <row r="293" spans="1:10">
      <c r="A293" s="31">
        <v>46175</v>
      </c>
      <c r="B293" s="35" t="s">
        <v>68</v>
      </c>
      <c r="C293" s="39">
        <f t="shared" si="1"/>
        <v>36.770000000000003</v>
      </c>
      <c r="D293" s="35">
        <v>29.87</v>
      </c>
      <c r="E293" s="35">
        <v>3.91</v>
      </c>
      <c r="F293" s="35">
        <v>2.99</v>
      </c>
      <c r="G293" s="35"/>
      <c r="H293" s="35"/>
      <c r="I293" s="35"/>
      <c r="J293" s="35"/>
    </row>
    <row r="294" spans="1:10">
      <c r="A294" s="31">
        <v>46176</v>
      </c>
      <c r="B294" s="35" t="s">
        <v>83</v>
      </c>
      <c r="C294" s="39">
        <f t="shared" si="1"/>
        <v>22.990000000000002</v>
      </c>
      <c r="D294" s="35">
        <v>16.09</v>
      </c>
      <c r="E294" s="35">
        <v>2.75</v>
      </c>
      <c r="F294" s="35">
        <v>4.1500000000000004</v>
      </c>
      <c r="G294" s="35"/>
      <c r="H294" s="35"/>
      <c r="I294" s="35"/>
      <c r="J294" s="35"/>
    </row>
    <row r="295" spans="1:10">
      <c r="A295" s="31">
        <v>46177</v>
      </c>
      <c r="B295" s="35" t="s">
        <v>91</v>
      </c>
      <c r="C295" s="39">
        <f t="shared" si="1"/>
        <v>33.879999999999995</v>
      </c>
      <c r="D295" s="35">
        <v>21.77</v>
      </c>
      <c r="E295" s="35">
        <v>10.78</v>
      </c>
      <c r="F295" s="35">
        <v>1.33</v>
      </c>
      <c r="G295" s="35"/>
      <c r="H295" s="35"/>
      <c r="I295" s="35"/>
      <c r="J295" s="35"/>
    </row>
    <row r="296" spans="1:10">
      <c r="A296" s="31">
        <v>46178</v>
      </c>
      <c r="B296" s="35" t="s">
        <v>44</v>
      </c>
      <c r="C296" s="39">
        <f t="shared" si="1"/>
        <v>23.53</v>
      </c>
      <c r="D296" s="35">
        <v>16.75</v>
      </c>
      <c r="E296" s="35">
        <v>6.78</v>
      </c>
      <c r="F296" s="35"/>
      <c r="G296" s="35"/>
      <c r="H296" s="35"/>
      <c r="I296" s="35"/>
      <c r="J296" s="35"/>
    </row>
    <row r="297" spans="1:10">
      <c r="A297" s="31">
        <v>46179</v>
      </c>
      <c r="B297" s="35" t="s">
        <v>40</v>
      </c>
      <c r="C297" s="39">
        <f t="shared" si="1"/>
        <v>29.439999999999998</v>
      </c>
      <c r="D297" s="35">
        <v>22.63</v>
      </c>
      <c r="E297" s="35">
        <v>4.82</v>
      </c>
      <c r="F297" s="35">
        <v>1.99</v>
      </c>
      <c r="G297" s="35"/>
      <c r="H297" s="35"/>
      <c r="I297" s="35"/>
      <c r="J297" s="35">
        <v>80000</v>
      </c>
    </row>
    <row r="298" spans="1:10">
      <c r="A298" s="31">
        <v>46180</v>
      </c>
      <c r="B298" s="35" t="s">
        <v>58</v>
      </c>
      <c r="C298" s="39">
        <f t="shared" si="1"/>
        <v>0</v>
      </c>
      <c r="D298" s="35"/>
      <c r="E298" s="35"/>
      <c r="F298" s="35"/>
      <c r="G298" s="35"/>
      <c r="H298" s="35"/>
      <c r="I298" s="35"/>
      <c r="J298" s="35"/>
    </row>
    <row r="299" spans="1:10">
      <c r="A299" s="31">
        <v>46181</v>
      </c>
      <c r="B299" s="35" t="s">
        <v>61</v>
      </c>
      <c r="C299" s="39">
        <f t="shared" si="1"/>
        <v>63.36</v>
      </c>
      <c r="D299" s="35">
        <v>51.06</v>
      </c>
      <c r="E299" s="35">
        <v>12.3</v>
      </c>
      <c r="F299" s="35"/>
      <c r="G299" s="35"/>
      <c r="H299" s="35"/>
      <c r="I299" s="35"/>
      <c r="J299" s="35"/>
    </row>
    <row r="300" spans="1:10">
      <c r="A300" s="31">
        <v>46182</v>
      </c>
      <c r="B300" s="35" t="s">
        <v>68</v>
      </c>
      <c r="C300" s="39">
        <f t="shared" si="1"/>
        <v>23.37</v>
      </c>
      <c r="D300" s="35">
        <v>19.05</v>
      </c>
      <c r="E300" s="35">
        <v>4.32</v>
      </c>
      <c r="F300" s="35"/>
      <c r="G300" s="35"/>
      <c r="H300" s="35"/>
      <c r="I300" s="35"/>
      <c r="J300" s="35"/>
    </row>
    <row r="301" spans="1:10">
      <c r="A301" s="31">
        <v>46183</v>
      </c>
      <c r="B301" s="35" t="s">
        <v>83</v>
      </c>
      <c r="C301" s="39">
        <f t="shared" si="1"/>
        <v>20.04</v>
      </c>
      <c r="D301" s="35">
        <v>13.92</v>
      </c>
      <c r="E301" s="35">
        <v>2</v>
      </c>
      <c r="F301" s="35">
        <v>4.12</v>
      </c>
      <c r="G301" s="35"/>
      <c r="H301" s="35"/>
      <c r="I301" s="35"/>
      <c r="J301" s="35"/>
    </row>
    <row r="302" spans="1:10">
      <c r="A302" s="31">
        <v>46184</v>
      </c>
      <c r="B302" s="35" t="s">
        <v>91</v>
      </c>
      <c r="C302" s="39">
        <f t="shared" si="1"/>
        <v>25.23</v>
      </c>
      <c r="D302" s="226">
        <v>15.98</v>
      </c>
      <c r="E302" s="35">
        <v>9.25</v>
      </c>
      <c r="F302" s="35"/>
      <c r="G302" s="35"/>
      <c r="H302" s="35"/>
      <c r="I302" s="35"/>
      <c r="J302" s="35"/>
    </row>
    <row r="303" spans="1:10">
      <c r="A303" s="31">
        <v>46185</v>
      </c>
      <c r="B303" s="35" t="s">
        <v>44</v>
      </c>
      <c r="C303" s="39">
        <f t="shared" si="1"/>
        <v>29.209999999999997</v>
      </c>
      <c r="D303" s="35">
        <v>16.29</v>
      </c>
      <c r="E303" s="35">
        <v>10.36</v>
      </c>
      <c r="F303" s="65">
        <v>2.56</v>
      </c>
      <c r="G303" s="35"/>
      <c r="H303" s="35"/>
      <c r="I303" s="35"/>
      <c r="J303" s="35"/>
    </row>
    <row r="304" spans="1:10">
      <c r="A304" s="31">
        <v>46186</v>
      </c>
      <c r="B304" s="35" t="s">
        <v>40</v>
      </c>
      <c r="C304" s="39">
        <f t="shared" si="1"/>
        <v>18.93</v>
      </c>
      <c r="D304" s="35">
        <v>12.39</v>
      </c>
      <c r="E304" s="35">
        <v>6.54</v>
      </c>
      <c r="F304" s="35"/>
      <c r="G304" s="35"/>
      <c r="H304" s="35"/>
      <c r="I304" s="35"/>
      <c r="J304" s="35"/>
    </row>
    <row r="305" spans="1:10">
      <c r="A305" s="31">
        <v>46187</v>
      </c>
      <c r="B305" s="35" t="s">
        <v>58</v>
      </c>
      <c r="C305" s="39">
        <f t="shared" si="1"/>
        <v>0</v>
      </c>
      <c r="D305" s="35"/>
      <c r="E305" s="35"/>
      <c r="F305" s="35"/>
      <c r="G305" s="35"/>
      <c r="H305" s="35"/>
      <c r="I305" s="35"/>
      <c r="J305" s="35"/>
    </row>
    <row r="306" spans="1:10">
      <c r="A306" s="31">
        <v>46188</v>
      </c>
      <c r="B306" s="35" t="s">
        <v>61</v>
      </c>
      <c r="C306" s="39">
        <f t="shared" si="1"/>
        <v>56.04</v>
      </c>
      <c r="D306" s="65">
        <v>45.4</v>
      </c>
      <c r="E306" s="35">
        <v>10.64</v>
      </c>
      <c r="F306" s="35"/>
      <c r="G306" s="35"/>
      <c r="H306" s="35"/>
      <c r="I306" s="35"/>
      <c r="J306" s="35"/>
    </row>
    <row r="307" spans="1:10">
      <c r="A307" s="31">
        <v>46189</v>
      </c>
      <c r="B307" s="35" t="s">
        <v>68</v>
      </c>
      <c r="C307" s="39">
        <f t="shared" si="1"/>
        <v>19.16</v>
      </c>
      <c r="D307" s="65">
        <v>11.68</v>
      </c>
      <c r="E307" s="65">
        <v>7.48</v>
      </c>
      <c r="F307" s="35"/>
      <c r="G307" s="35"/>
      <c r="H307" s="35"/>
      <c r="I307" s="35"/>
      <c r="J307" s="35"/>
    </row>
    <row r="308" spans="1:10">
      <c r="A308" s="31">
        <v>46190</v>
      </c>
      <c r="B308" s="35" t="s">
        <v>83</v>
      </c>
      <c r="C308" s="39">
        <f t="shared" si="1"/>
        <v>23.14</v>
      </c>
      <c r="D308" s="65">
        <v>12.54</v>
      </c>
      <c r="E308" s="65">
        <v>9.16</v>
      </c>
      <c r="F308" s="225">
        <v>1.44</v>
      </c>
      <c r="G308" s="35"/>
      <c r="H308" s="35"/>
      <c r="I308" s="35"/>
      <c r="J308" s="35"/>
    </row>
    <row r="309" spans="1:10">
      <c r="A309" s="31">
        <v>46191</v>
      </c>
      <c r="B309" s="35" t="s">
        <v>91</v>
      </c>
      <c r="C309" s="39">
        <f t="shared" si="1"/>
        <v>7.95</v>
      </c>
      <c r="D309" s="65">
        <v>7.95</v>
      </c>
      <c r="E309" s="35"/>
      <c r="F309" s="35"/>
      <c r="G309" s="35"/>
      <c r="H309" s="35"/>
      <c r="I309" s="35"/>
      <c r="J309" s="35"/>
    </row>
    <row r="310" spans="1:10">
      <c r="A310" s="31">
        <v>46192</v>
      </c>
      <c r="B310" s="35" t="s">
        <v>44</v>
      </c>
      <c r="C310" s="39">
        <f t="shared" si="1"/>
        <v>4.92</v>
      </c>
      <c r="D310" s="65">
        <v>4.92</v>
      </c>
      <c r="E310" s="65"/>
      <c r="F310" s="35"/>
      <c r="G310" s="35"/>
      <c r="H310" s="35"/>
      <c r="I310" s="35"/>
      <c r="J310" s="35"/>
    </row>
    <row r="311" spans="1:10">
      <c r="A311" s="31">
        <v>46193</v>
      </c>
      <c r="B311" s="35" t="s">
        <v>40</v>
      </c>
      <c r="C311" s="39">
        <f t="shared" si="1"/>
        <v>5.6</v>
      </c>
      <c r="D311" s="65">
        <v>5.6</v>
      </c>
      <c r="E311" s="35"/>
      <c r="F311" s="35"/>
      <c r="G311" s="35"/>
      <c r="H311" s="35"/>
      <c r="I311" s="35"/>
      <c r="J311" s="35"/>
    </row>
    <row r="312" spans="1:10">
      <c r="A312" s="31">
        <v>46194</v>
      </c>
      <c r="B312" s="35" t="s">
        <v>58</v>
      </c>
      <c r="C312" s="39">
        <f t="shared" si="1"/>
        <v>0</v>
      </c>
      <c r="D312" s="65"/>
      <c r="E312" s="35"/>
      <c r="F312" s="35"/>
      <c r="G312" s="35"/>
      <c r="H312" s="35"/>
      <c r="I312" s="35"/>
      <c r="J312" s="35"/>
    </row>
    <row r="313" spans="1:10">
      <c r="A313" s="31">
        <v>46195</v>
      </c>
      <c r="B313" s="35" t="s">
        <v>61</v>
      </c>
      <c r="C313" s="39">
        <f t="shared" si="1"/>
        <v>24.3</v>
      </c>
      <c r="D313" s="65">
        <v>20.170000000000002</v>
      </c>
      <c r="E313" s="35">
        <v>1.08</v>
      </c>
      <c r="F313" s="35">
        <v>3.05</v>
      </c>
      <c r="G313" s="35"/>
      <c r="H313" s="35"/>
      <c r="I313" s="35"/>
      <c r="J313" s="35"/>
    </row>
    <row r="314" spans="1:10">
      <c r="A314" s="31">
        <v>46196</v>
      </c>
      <c r="B314" s="35" t="s">
        <v>68</v>
      </c>
      <c r="C314" s="39">
        <f t="shared" si="1"/>
        <v>11.59</v>
      </c>
      <c r="D314" s="65">
        <v>8.4700000000000006</v>
      </c>
      <c r="E314" s="35">
        <v>3.12</v>
      </c>
      <c r="F314" s="35"/>
      <c r="G314" s="35"/>
      <c r="H314" s="35"/>
      <c r="I314" s="35"/>
      <c r="J314" s="35"/>
    </row>
    <row r="315" spans="1:10">
      <c r="A315" s="31">
        <v>46197</v>
      </c>
      <c r="B315" s="35" t="s">
        <v>83</v>
      </c>
      <c r="C315" s="39">
        <f t="shared" si="1"/>
        <v>8.3699999999999992</v>
      </c>
      <c r="D315" s="65">
        <v>8.3699999999999992</v>
      </c>
      <c r="E315" s="35"/>
      <c r="F315" s="35"/>
      <c r="G315" s="35"/>
      <c r="H315" s="35"/>
      <c r="I315" s="35"/>
      <c r="J315" s="35"/>
    </row>
    <row r="316" spans="1:10">
      <c r="A316" s="31">
        <v>46198</v>
      </c>
      <c r="B316" s="35" t="s">
        <v>91</v>
      </c>
      <c r="C316" s="39">
        <f t="shared" si="1"/>
        <v>13.996456000000002</v>
      </c>
      <c r="D316" s="65">
        <v>13.996456000000002</v>
      </c>
      <c r="E316" s="35"/>
      <c r="F316" s="35"/>
      <c r="G316" s="35"/>
      <c r="H316" s="35"/>
      <c r="I316" s="35"/>
      <c r="J316" s="35"/>
    </row>
    <row r="317" spans="1:10">
      <c r="A317" s="31">
        <v>46199</v>
      </c>
      <c r="B317" s="35" t="s">
        <v>44</v>
      </c>
      <c r="C317" s="39">
        <f t="shared" si="1"/>
        <v>5.71</v>
      </c>
      <c r="D317" s="65">
        <v>5.71</v>
      </c>
      <c r="E317" s="35"/>
      <c r="F317" s="35"/>
      <c r="G317" s="35"/>
      <c r="H317" s="35"/>
      <c r="I317" s="35"/>
      <c r="J317" s="35"/>
    </row>
    <row r="318" spans="1:10">
      <c r="A318" s="31">
        <v>46200</v>
      </c>
      <c r="B318" s="35" t="s">
        <v>40</v>
      </c>
      <c r="C318" s="39">
        <f t="shared" si="1"/>
        <v>7.51</v>
      </c>
      <c r="D318" s="28">
        <v>7.51</v>
      </c>
      <c r="E318" s="35"/>
      <c r="F318" s="35"/>
      <c r="G318" s="35"/>
      <c r="H318" s="35"/>
      <c r="I318" s="35"/>
      <c r="J318" s="35"/>
    </row>
    <row r="319" spans="1:10">
      <c r="A319" s="31">
        <v>46201</v>
      </c>
      <c r="B319" s="35" t="s">
        <v>58</v>
      </c>
      <c r="C319" s="39">
        <f t="shared" si="1"/>
        <v>0</v>
      </c>
      <c r="D319" s="65"/>
      <c r="E319" s="35"/>
      <c r="F319" s="35"/>
      <c r="G319" s="35"/>
      <c r="H319" s="35"/>
      <c r="I319" s="35"/>
      <c r="J319" s="35"/>
    </row>
    <row r="320" spans="1:10">
      <c r="A320" s="31">
        <v>46202</v>
      </c>
      <c r="B320" s="35" t="s">
        <v>61</v>
      </c>
      <c r="C320" s="39">
        <f t="shared" si="1"/>
        <v>29.310000000000002</v>
      </c>
      <c r="D320" s="65">
        <v>20.350000000000001</v>
      </c>
      <c r="E320" s="225">
        <v>6.57</v>
      </c>
      <c r="F320" s="35">
        <v>2.39</v>
      </c>
      <c r="G320" s="35"/>
      <c r="H320" s="35"/>
      <c r="I320" s="35"/>
      <c r="J320" s="35"/>
    </row>
    <row r="321" spans="1:14">
      <c r="A321" s="31">
        <v>46203</v>
      </c>
      <c r="B321" s="35" t="s">
        <v>68</v>
      </c>
      <c r="C321" s="39">
        <f t="shared" si="1"/>
        <v>7.05</v>
      </c>
      <c r="D321" s="65">
        <v>5.84</v>
      </c>
      <c r="E321" s="225">
        <v>1.21</v>
      </c>
      <c r="F321" s="35"/>
      <c r="G321" s="35"/>
      <c r="H321" s="35"/>
      <c r="I321" s="35"/>
      <c r="J321" s="35"/>
    </row>
    <row r="322" spans="1:14">
      <c r="A322" s="31">
        <v>46204</v>
      </c>
      <c r="B322" s="35" t="s">
        <v>83</v>
      </c>
      <c r="C322" s="39">
        <f t="shared" si="1"/>
        <v>0</v>
      </c>
      <c r="D322" s="65"/>
      <c r="E322" s="35"/>
      <c r="F322" s="35"/>
      <c r="G322" s="35"/>
      <c r="H322" s="35"/>
      <c r="I322" s="35"/>
      <c r="J322" s="35"/>
    </row>
    <row r="323" spans="1:14">
      <c r="A323" s="31">
        <v>46205</v>
      </c>
      <c r="B323" s="35" t="s">
        <v>91</v>
      </c>
      <c r="C323" s="39">
        <f t="shared" si="1"/>
        <v>9.879999999999999</v>
      </c>
      <c r="D323" s="65">
        <v>8.35</v>
      </c>
      <c r="E323" s="35">
        <v>1.53</v>
      </c>
      <c r="F323" s="35"/>
      <c r="G323" s="35"/>
      <c r="H323" s="35"/>
      <c r="I323" s="35"/>
      <c r="J323" s="35"/>
    </row>
    <row r="324" spans="1:14">
      <c r="A324" s="31">
        <v>46206</v>
      </c>
      <c r="B324" s="35" t="s">
        <v>44</v>
      </c>
      <c r="C324" s="39">
        <f t="shared" si="1"/>
        <v>8.07</v>
      </c>
      <c r="D324" s="35">
        <v>8.07</v>
      </c>
      <c r="E324" s="35"/>
      <c r="F324" s="35"/>
      <c r="G324" s="35"/>
      <c r="H324" s="35"/>
      <c r="I324" s="35"/>
      <c r="J324" s="35"/>
    </row>
    <row r="325" spans="1:14">
      <c r="A325" s="31">
        <v>46207</v>
      </c>
      <c r="B325" s="35" t="s">
        <v>40</v>
      </c>
      <c r="C325" s="39">
        <f t="shared" si="1"/>
        <v>5.17</v>
      </c>
      <c r="D325" s="102">
        <v>3.39</v>
      </c>
      <c r="E325" s="35">
        <v>1.78</v>
      </c>
      <c r="F325" s="35"/>
      <c r="G325" s="35"/>
      <c r="H325" s="35"/>
      <c r="I325" s="35"/>
      <c r="J325" s="35"/>
    </row>
    <row r="326" spans="1:14">
      <c r="A326" s="31">
        <v>46208</v>
      </c>
      <c r="B326" s="35" t="s">
        <v>58</v>
      </c>
      <c r="C326" s="39">
        <f t="shared" si="1"/>
        <v>0</v>
      </c>
      <c r="D326" s="35"/>
      <c r="E326" s="35"/>
      <c r="F326" s="35"/>
      <c r="G326" s="35"/>
      <c r="H326" s="35"/>
      <c r="I326" s="35"/>
      <c r="J326" s="35"/>
    </row>
    <row r="327" spans="1:14">
      <c r="A327" s="31">
        <v>46209</v>
      </c>
      <c r="B327" s="35" t="s">
        <v>61</v>
      </c>
      <c r="C327" s="39">
        <f t="shared" si="1"/>
        <v>19.7</v>
      </c>
      <c r="D327" s="102">
        <v>19.7</v>
      </c>
      <c r="E327" s="35"/>
      <c r="F327" s="35"/>
      <c r="G327" s="35"/>
      <c r="H327" s="35"/>
      <c r="I327" s="35"/>
      <c r="J327" s="35">
        <v>65000</v>
      </c>
    </row>
    <row r="328" spans="1:14">
      <c r="A328" s="31">
        <v>46210</v>
      </c>
      <c r="B328" s="35" t="s">
        <v>68</v>
      </c>
      <c r="C328" s="39">
        <f t="shared" si="1"/>
        <v>0</v>
      </c>
      <c r="D328" s="35"/>
      <c r="E328" s="35"/>
      <c r="F328" s="35"/>
      <c r="G328" s="35"/>
      <c r="H328" s="35"/>
      <c r="I328" s="35"/>
      <c r="J328" s="35"/>
    </row>
    <row r="329" spans="1:14">
      <c r="A329" s="31">
        <v>46211</v>
      </c>
      <c r="B329" s="35" t="s">
        <v>83</v>
      </c>
      <c r="C329" s="39">
        <f t="shared" si="1"/>
        <v>21.88</v>
      </c>
      <c r="D329" s="35">
        <v>21.88</v>
      </c>
      <c r="E329" s="35"/>
      <c r="F329" s="35"/>
      <c r="G329" s="35"/>
      <c r="H329" s="35"/>
      <c r="I329" s="35"/>
      <c r="J329" s="35"/>
    </row>
    <row r="330" spans="1:14">
      <c r="A330" s="31">
        <v>46212</v>
      </c>
      <c r="B330" s="35" t="s">
        <v>91</v>
      </c>
      <c r="C330" s="39">
        <f t="shared" si="1"/>
        <v>32.800000000000004</v>
      </c>
      <c r="D330" s="12">
        <v>0.69</v>
      </c>
      <c r="E330" s="35">
        <v>16.850000000000001</v>
      </c>
      <c r="F330" s="35">
        <v>15.260000000000002</v>
      </c>
      <c r="G330" s="35"/>
      <c r="H330" s="35"/>
      <c r="I330" s="35"/>
      <c r="J330" s="35"/>
    </row>
    <row r="331" spans="1:14">
      <c r="A331" s="31">
        <v>46213</v>
      </c>
      <c r="B331" s="35" t="s">
        <v>44</v>
      </c>
      <c r="C331" s="39">
        <f t="shared" si="1"/>
        <v>0</v>
      </c>
      <c r="D331" s="35"/>
      <c r="E331" s="35"/>
      <c r="F331" s="35"/>
      <c r="G331" s="35"/>
      <c r="H331" s="35"/>
      <c r="I331" s="35"/>
      <c r="J331" s="35"/>
    </row>
    <row r="332" spans="1:14">
      <c r="A332" s="31">
        <v>46214</v>
      </c>
      <c r="B332" s="35" t="s">
        <v>40</v>
      </c>
      <c r="C332" s="39">
        <f t="shared" si="1"/>
        <v>0</v>
      </c>
      <c r="D332" s="35"/>
      <c r="E332" s="35"/>
      <c r="F332" s="35"/>
      <c r="G332" s="35"/>
      <c r="H332" s="35"/>
      <c r="I332" s="35"/>
      <c r="J332" s="35"/>
      <c r="N332" s="35"/>
    </row>
    <row r="333" spans="1:14">
      <c r="A333" s="31">
        <v>46215</v>
      </c>
      <c r="B333" s="35" t="s">
        <v>58</v>
      </c>
      <c r="C333" s="39">
        <f t="shared" si="1"/>
        <v>0</v>
      </c>
      <c r="D333" s="35"/>
      <c r="E333" s="35"/>
      <c r="F333" s="35"/>
      <c r="G333" s="35"/>
      <c r="H333" s="35"/>
      <c r="I333" s="35"/>
      <c r="J333" s="35"/>
    </row>
    <row r="334" spans="1:14">
      <c r="A334" s="31">
        <v>46216</v>
      </c>
      <c r="B334" s="35" t="s">
        <v>61</v>
      </c>
      <c r="C334" s="39">
        <f t="shared" si="1"/>
        <v>19.71</v>
      </c>
      <c r="D334" s="35">
        <v>19.71</v>
      </c>
      <c r="E334" s="35"/>
      <c r="F334" s="35"/>
      <c r="G334" s="35"/>
      <c r="H334" s="35"/>
      <c r="I334" s="35"/>
      <c r="J334" s="35"/>
    </row>
    <row r="335" spans="1:14">
      <c r="A335" s="31">
        <v>46217</v>
      </c>
      <c r="B335" s="35" t="s">
        <v>68</v>
      </c>
      <c r="C335" s="39">
        <f t="shared" si="1"/>
        <v>0</v>
      </c>
      <c r="D335" s="35"/>
      <c r="E335" s="35"/>
      <c r="F335" s="35"/>
      <c r="G335" s="35"/>
      <c r="H335" s="35"/>
      <c r="I335" s="35"/>
      <c r="J335" s="35"/>
    </row>
    <row r="336" spans="1:14">
      <c r="A336" s="31">
        <v>46218</v>
      </c>
      <c r="B336" s="35" t="s">
        <v>83</v>
      </c>
      <c r="C336" s="39">
        <f t="shared" si="1"/>
        <v>0</v>
      </c>
      <c r="D336" s="35"/>
      <c r="E336" s="35"/>
      <c r="F336" s="35"/>
      <c r="G336" s="35"/>
      <c r="H336" s="35"/>
      <c r="I336" s="35"/>
      <c r="J336" s="35"/>
    </row>
    <row r="337" spans="1:10">
      <c r="A337" s="31">
        <v>46219</v>
      </c>
      <c r="B337" s="35" t="s">
        <v>91</v>
      </c>
      <c r="C337" s="39">
        <f t="shared" si="1"/>
        <v>0</v>
      </c>
      <c r="D337" s="35"/>
      <c r="E337" s="35"/>
      <c r="F337" s="35"/>
      <c r="G337" s="35"/>
      <c r="H337" s="35"/>
      <c r="I337" s="35"/>
      <c r="J337" s="35"/>
    </row>
    <row r="338" spans="1:10">
      <c r="A338" s="31">
        <v>46220</v>
      </c>
      <c r="B338" s="35" t="s">
        <v>44</v>
      </c>
      <c r="C338" s="39">
        <f t="shared" si="1"/>
        <v>0</v>
      </c>
      <c r="D338" s="35"/>
      <c r="E338" s="35"/>
      <c r="F338" s="35"/>
      <c r="G338" s="35"/>
      <c r="H338" s="35"/>
      <c r="I338" s="35"/>
      <c r="J338" s="35"/>
    </row>
    <row r="339" spans="1:10">
      <c r="A339" s="31">
        <v>46221</v>
      </c>
      <c r="B339" s="35" t="s">
        <v>40</v>
      </c>
      <c r="C339" s="39">
        <f t="shared" si="1"/>
        <v>14.89</v>
      </c>
      <c r="D339" s="35">
        <v>14.89</v>
      </c>
      <c r="E339" s="35"/>
      <c r="F339" s="35"/>
      <c r="G339" s="35"/>
      <c r="H339" s="35"/>
      <c r="I339" s="35"/>
      <c r="J339" s="35"/>
    </row>
    <row r="340" spans="1:10">
      <c r="A340" s="31">
        <v>46222</v>
      </c>
      <c r="B340" s="35" t="s">
        <v>58</v>
      </c>
      <c r="C340" s="39">
        <f t="shared" si="1"/>
        <v>0</v>
      </c>
      <c r="D340" s="35"/>
      <c r="E340" s="35"/>
      <c r="F340" s="35"/>
      <c r="G340" s="35"/>
      <c r="H340" s="35"/>
      <c r="I340" s="35"/>
      <c r="J340" s="35"/>
    </row>
    <row r="341" spans="1:10">
      <c r="A341" s="31">
        <v>46223</v>
      </c>
      <c r="B341" s="35" t="s">
        <v>61</v>
      </c>
      <c r="C341" s="39">
        <f t="shared" si="1"/>
        <v>15.53</v>
      </c>
      <c r="D341" s="35">
        <v>15.53</v>
      </c>
      <c r="E341" s="35"/>
      <c r="F341" s="35"/>
      <c r="G341" s="35"/>
      <c r="H341" s="35"/>
      <c r="I341" s="35"/>
      <c r="J341" s="35"/>
    </row>
    <row r="342" spans="1:10">
      <c r="A342" s="31">
        <v>46224</v>
      </c>
      <c r="B342" s="35" t="s">
        <v>68</v>
      </c>
      <c r="C342" s="39">
        <f t="shared" si="1"/>
        <v>8.51</v>
      </c>
      <c r="D342" s="35">
        <v>5.75</v>
      </c>
      <c r="E342" s="35">
        <v>2.76</v>
      </c>
      <c r="F342" s="35"/>
      <c r="G342" s="35"/>
      <c r="H342" s="35"/>
      <c r="I342" s="35"/>
      <c r="J342" s="35"/>
    </row>
    <row r="343" spans="1:10">
      <c r="A343" s="31">
        <v>46225</v>
      </c>
      <c r="B343" s="35" t="s">
        <v>83</v>
      </c>
      <c r="C343" s="39">
        <f t="shared" si="1"/>
        <v>5.98</v>
      </c>
      <c r="D343" s="35">
        <v>5.98</v>
      </c>
      <c r="E343" s="35"/>
      <c r="F343" s="35"/>
      <c r="G343" s="35"/>
      <c r="H343" s="35"/>
      <c r="I343" s="35"/>
      <c r="J343" s="35"/>
    </row>
    <row r="344" spans="1:10">
      <c r="A344" s="31">
        <v>46226</v>
      </c>
      <c r="B344" s="35" t="s">
        <v>91</v>
      </c>
      <c r="C344" s="39">
        <f t="shared" si="1"/>
        <v>8.9700000000000006</v>
      </c>
      <c r="D344" s="35">
        <v>8.9700000000000006</v>
      </c>
      <c r="E344" s="35"/>
      <c r="F344" s="35"/>
      <c r="G344" s="35"/>
      <c r="H344" s="35"/>
      <c r="I344" s="35"/>
      <c r="J344" s="35"/>
    </row>
    <row r="345" spans="1:10">
      <c r="A345" s="31">
        <v>46227</v>
      </c>
      <c r="B345" s="35" t="s">
        <v>44</v>
      </c>
      <c r="C345" s="39">
        <f t="shared" si="1"/>
        <v>11.51</v>
      </c>
      <c r="D345" s="35">
        <v>11.51</v>
      </c>
      <c r="E345" s="35"/>
      <c r="F345" s="35"/>
      <c r="G345" s="35"/>
      <c r="H345" s="35"/>
      <c r="I345" s="35"/>
      <c r="J345" s="35"/>
    </row>
    <row r="346" spans="1:10">
      <c r="A346" s="31">
        <v>46228</v>
      </c>
      <c r="B346" s="35" t="s">
        <v>40</v>
      </c>
      <c r="C346" s="39">
        <f t="shared" si="1"/>
        <v>8.09</v>
      </c>
      <c r="D346" s="35">
        <v>8.09</v>
      </c>
      <c r="E346" s="35"/>
      <c r="F346" s="35"/>
      <c r="G346" s="35"/>
      <c r="H346" s="35"/>
      <c r="I346" s="35"/>
      <c r="J346" s="35"/>
    </row>
    <row r="347" spans="1:10">
      <c r="A347" s="31">
        <v>46229</v>
      </c>
      <c r="B347" s="35" t="s">
        <v>58</v>
      </c>
      <c r="C347" s="39">
        <f t="shared" si="1"/>
        <v>0</v>
      </c>
      <c r="D347" s="35"/>
      <c r="E347" s="35"/>
      <c r="F347" s="35"/>
      <c r="G347" s="35"/>
      <c r="H347" s="35"/>
      <c r="I347" s="35"/>
      <c r="J347" s="35"/>
    </row>
    <row r="348" spans="1:10">
      <c r="A348" s="31">
        <v>46230</v>
      </c>
      <c r="B348" s="35" t="s">
        <v>61</v>
      </c>
      <c r="C348" s="39">
        <f t="shared" si="1"/>
        <v>17.649999999999999</v>
      </c>
      <c r="D348" s="35">
        <v>17.649999999999999</v>
      </c>
      <c r="E348" s="35"/>
      <c r="F348" s="35"/>
      <c r="G348" s="35"/>
      <c r="H348" s="35"/>
      <c r="I348" s="35"/>
      <c r="J348" s="35"/>
    </row>
    <row r="349" spans="1:10">
      <c r="A349" s="31">
        <v>46231</v>
      </c>
      <c r="B349" s="35" t="s">
        <v>68</v>
      </c>
      <c r="C349" s="39">
        <f t="shared" si="1"/>
        <v>18.071198000000003</v>
      </c>
      <c r="D349" s="35">
        <v>15.3</v>
      </c>
      <c r="E349" s="225">
        <v>2.7711980000000001</v>
      </c>
      <c r="F349" s="35"/>
      <c r="G349" s="35"/>
      <c r="H349" s="35"/>
      <c r="I349" s="35"/>
      <c r="J349" s="35"/>
    </row>
    <row r="350" spans="1:10">
      <c r="A350" s="31">
        <v>46232</v>
      </c>
      <c r="B350" s="35" t="s">
        <v>83</v>
      </c>
      <c r="C350" s="39">
        <f t="shared" si="1"/>
        <v>10.88</v>
      </c>
      <c r="D350" s="35">
        <v>9.4600000000000009</v>
      </c>
      <c r="E350" s="225">
        <v>0.2</v>
      </c>
      <c r="F350" s="35">
        <v>1.22</v>
      </c>
      <c r="G350" s="35"/>
      <c r="H350" s="35"/>
      <c r="I350" s="35"/>
      <c r="J350" s="35"/>
    </row>
    <row r="351" spans="1:10">
      <c r="A351" s="31">
        <v>46233</v>
      </c>
      <c r="B351" s="35" t="s">
        <v>91</v>
      </c>
      <c r="C351" s="39">
        <f t="shared" si="1"/>
        <v>4.2200000000000006</v>
      </c>
      <c r="D351" s="35">
        <v>2</v>
      </c>
      <c r="E351" s="35">
        <v>2.2200000000000002</v>
      </c>
      <c r="F351" s="35"/>
      <c r="G351" s="35"/>
      <c r="H351" s="35"/>
      <c r="I351" s="35"/>
      <c r="J351" s="35"/>
    </row>
    <row r="352" spans="1:10">
      <c r="A352" s="31">
        <v>46234</v>
      </c>
      <c r="B352" s="35" t="s">
        <v>44</v>
      </c>
      <c r="C352" s="39">
        <f t="shared" si="1"/>
        <v>40.35</v>
      </c>
      <c r="D352" s="35">
        <v>23.68</v>
      </c>
      <c r="E352" s="35">
        <v>16.670000000000002</v>
      </c>
      <c r="F352" s="35"/>
      <c r="G352" s="35"/>
      <c r="H352" s="35"/>
      <c r="I352" s="35"/>
      <c r="J352" s="35"/>
    </row>
    <row r="353" spans="1:10">
      <c r="A353" s="31">
        <v>46235</v>
      </c>
      <c r="B353" s="35" t="s">
        <v>40</v>
      </c>
      <c r="C353" s="39">
        <f t="shared" si="1"/>
        <v>0</v>
      </c>
      <c r="D353" s="35"/>
      <c r="E353" s="35"/>
      <c r="F353" s="35"/>
      <c r="G353" s="35"/>
      <c r="H353" s="35"/>
      <c r="I353" s="35"/>
      <c r="J353" s="35"/>
    </row>
    <row r="354" spans="1:10">
      <c r="A354" s="31">
        <v>46236</v>
      </c>
      <c r="B354" s="35" t="s">
        <v>58</v>
      </c>
      <c r="C354" s="39">
        <f t="shared" si="1"/>
        <v>0</v>
      </c>
      <c r="D354" s="35"/>
      <c r="E354" s="35"/>
      <c r="F354" s="35"/>
      <c r="G354" s="35"/>
      <c r="H354" s="35"/>
      <c r="I354" s="35"/>
      <c r="J354" s="35"/>
    </row>
    <row r="355" spans="1:10">
      <c r="A355" s="31">
        <v>46237</v>
      </c>
      <c r="B355" s="35" t="s">
        <v>61</v>
      </c>
      <c r="C355" s="39">
        <f t="shared" si="1"/>
        <v>0</v>
      </c>
      <c r="D355" s="35"/>
      <c r="E355" s="35"/>
      <c r="F355" s="35"/>
      <c r="G355" s="35"/>
      <c r="H355" s="35"/>
      <c r="I355" s="35"/>
      <c r="J355" s="35"/>
    </row>
    <row r="356" spans="1:10">
      <c r="A356" s="31">
        <v>46238</v>
      </c>
      <c r="B356" s="35" t="s">
        <v>68</v>
      </c>
      <c r="C356" s="39">
        <f t="shared" si="1"/>
        <v>39.736708</v>
      </c>
      <c r="D356" s="225">
        <v>39.736708</v>
      </c>
      <c r="E356" s="35"/>
      <c r="F356" s="35"/>
      <c r="G356" s="35"/>
      <c r="H356" s="35"/>
      <c r="I356" s="35"/>
      <c r="J356" s="35"/>
    </row>
    <row r="357" spans="1:10">
      <c r="A357" s="31">
        <v>46239</v>
      </c>
      <c r="B357" s="35" t="s">
        <v>83</v>
      </c>
      <c r="C357" s="39">
        <f t="shared" si="1"/>
        <v>0</v>
      </c>
      <c r="D357" s="35"/>
      <c r="E357" s="35"/>
      <c r="F357" s="35"/>
      <c r="G357" s="35"/>
      <c r="H357" s="35"/>
      <c r="I357" s="35"/>
      <c r="J357" s="35"/>
    </row>
    <row r="358" spans="1:10">
      <c r="A358" s="31">
        <v>46240</v>
      </c>
      <c r="B358" s="35" t="s">
        <v>91</v>
      </c>
      <c r="C358" s="39">
        <f t="shared" si="1"/>
        <v>45.68</v>
      </c>
      <c r="D358" s="28">
        <v>39.65</v>
      </c>
      <c r="E358" s="35">
        <v>6.03</v>
      </c>
      <c r="F358" s="35"/>
      <c r="G358" s="35"/>
      <c r="H358" s="35"/>
      <c r="I358" s="35"/>
      <c r="J358" s="35"/>
    </row>
    <row r="359" spans="1:10">
      <c r="A359" s="31">
        <v>46241</v>
      </c>
      <c r="B359" s="35" t="s">
        <v>44</v>
      </c>
      <c r="C359" s="39">
        <f t="shared" si="1"/>
        <v>17.32</v>
      </c>
      <c r="D359" s="28">
        <v>17.32</v>
      </c>
      <c r="E359" s="35"/>
      <c r="F359" s="35"/>
      <c r="G359" s="35"/>
      <c r="H359" s="35"/>
      <c r="I359" s="35"/>
      <c r="J359" s="35"/>
    </row>
    <row r="360" spans="1:10">
      <c r="A360" s="31">
        <v>46242</v>
      </c>
      <c r="B360" s="35" t="s">
        <v>40</v>
      </c>
      <c r="C360" s="39">
        <f t="shared" si="1"/>
        <v>13.68</v>
      </c>
      <c r="D360" s="35">
        <v>13.68</v>
      </c>
      <c r="E360" s="35"/>
      <c r="F360" s="35"/>
      <c r="G360" s="35"/>
      <c r="H360" s="35"/>
      <c r="I360" s="35"/>
      <c r="J360" s="35"/>
    </row>
    <row r="361" spans="1:10">
      <c r="A361" s="31">
        <v>46243</v>
      </c>
      <c r="B361" s="35" t="s">
        <v>58</v>
      </c>
      <c r="C361" s="39">
        <f t="shared" si="1"/>
        <v>0</v>
      </c>
      <c r="D361" s="35"/>
      <c r="E361" s="35"/>
      <c r="F361" s="35"/>
      <c r="G361" s="35"/>
      <c r="H361" s="35"/>
      <c r="I361" s="35"/>
      <c r="J361" s="35"/>
    </row>
    <row r="362" spans="1:10">
      <c r="A362" s="31">
        <v>46244</v>
      </c>
      <c r="B362" s="35" t="s">
        <v>61</v>
      </c>
      <c r="C362" s="39">
        <f t="shared" si="1"/>
        <v>0</v>
      </c>
      <c r="D362" s="35"/>
      <c r="E362" s="35"/>
      <c r="F362" s="35"/>
      <c r="G362" s="35"/>
      <c r="H362" s="35"/>
      <c r="I362" s="35"/>
      <c r="J362" s="35"/>
    </row>
    <row r="363" spans="1:10">
      <c r="A363" s="31">
        <v>46245</v>
      </c>
      <c r="B363" s="35" t="s">
        <v>68</v>
      </c>
      <c r="C363" s="39">
        <f t="shared" si="1"/>
        <v>0</v>
      </c>
      <c r="D363" s="35"/>
      <c r="E363" s="35"/>
      <c r="F363" s="35"/>
      <c r="G363" s="35"/>
      <c r="H363" s="35"/>
      <c r="I363" s="35"/>
      <c r="J363" s="35"/>
    </row>
    <row r="364" spans="1:10">
      <c r="A364" s="31">
        <v>46246</v>
      </c>
      <c r="B364" s="35" t="s">
        <v>83</v>
      </c>
      <c r="C364" s="39">
        <f t="shared" si="1"/>
        <v>0</v>
      </c>
      <c r="D364" s="35"/>
      <c r="E364" s="35"/>
      <c r="F364" s="35"/>
      <c r="G364" s="35"/>
      <c r="H364" s="35"/>
      <c r="I364" s="35"/>
      <c r="J364" s="35"/>
    </row>
    <row r="365" spans="1:10">
      <c r="A365" s="31">
        <v>46247</v>
      </c>
      <c r="B365" s="35" t="s">
        <v>91</v>
      </c>
      <c r="C365" s="39">
        <f t="shared" si="1"/>
        <v>0</v>
      </c>
      <c r="D365" s="35"/>
      <c r="E365" s="35"/>
      <c r="F365" s="35"/>
      <c r="G365" s="35"/>
      <c r="H365" s="35"/>
      <c r="I365" s="35"/>
      <c r="J365" s="35"/>
    </row>
    <row r="366" spans="1:10">
      <c r="A366" s="31">
        <v>46248</v>
      </c>
      <c r="B366" s="35" t="s">
        <v>44</v>
      </c>
      <c r="C366" s="39">
        <f t="shared" si="1"/>
        <v>0</v>
      </c>
      <c r="D366" s="35"/>
      <c r="E366" s="35"/>
      <c r="F366" s="35"/>
      <c r="G366" s="35"/>
      <c r="H366" s="35"/>
      <c r="I366" s="35"/>
      <c r="J366" s="35"/>
    </row>
    <row r="367" spans="1:10">
      <c r="A367" s="31">
        <v>46249</v>
      </c>
      <c r="B367" s="35" t="s">
        <v>40</v>
      </c>
      <c r="C367" s="39">
        <f t="shared" si="1"/>
        <v>0</v>
      </c>
      <c r="D367" s="35"/>
      <c r="E367" s="35"/>
      <c r="F367" s="35"/>
      <c r="G367" s="35"/>
      <c r="H367" s="35"/>
      <c r="I367" s="35"/>
      <c r="J367" s="35"/>
    </row>
    <row r="368" spans="1:10">
      <c r="A368" s="31">
        <v>46250</v>
      </c>
      <c r="B368" s="35" t="s">
        <v>58</v>
      </c>
      <c r="C368" s="39">
        <f t="shared" si="1"/>
        <v>0</v>
      </c>
      <c r="D368" s="35"/>
      <c r="E368" s="35"/>
      <c r="F368" s="35"/>
      <c r="G368" s="35"/>
      <c r="H368" s="35"/>
      <c r="I368" s="35"/>
      <c r="J368" s="35"/>
    </row>
    <row r="369" spans="1:10">
      <c r="A369" s="31">
        <v>46251</v>
      </c>
      <c r="B369" s="35" t="s">
        <v>61</v>
      </c>
      <c r="C369" s="39">
        <f t="shared" si="1"/>
        <v>0</v>
      </c>
      <c r="D369" s="35"/>
      <c r="E369" s="35"/>
      <c r="F369" s="35"/>
      <c r="G369" s="35"/>
      <c r="H369" s="35"/>
      <c r="I369" s="35"/>
      <c r="J369" s="35"/>
    </row>
    <row r="370" spans="1:10">
      <c r="A370" s="31">
        <v>46252</v>
      </c>
      <c r="B370" s="35" t="s">
        <v>68</v>
      </c>
      <c r="C370" s="39">
        <f t="shared" si="1"/>
        <v>0</v>
      </c>
      <c r="D370" s="35"/>
      <c r="E370" s="35"/>
      <c r="F370" s="35"/>
      <c r="G370" s="35"/>
      <c r="H370" s="35"/>
      <c r="I370" s="35"/>
      <c r="J370" s="35"/>
    </row>
    <row r="371" spans="1:10">
      <c r="A371" s="31">
        <v>46253</v>
      </c>
      <c r="B371" s="35" t="s">
        <v>83</v>
      </c>
      <c r="C371" s="39">
        <f t="shared" si="1"/>
        <v>0</v>
      </c>
      <c r="D371" s="35"/>
      <c r="E371" s="35"/>
      <c r="F371" s="35"/>
      <c r="G371" s="35"/>
      <c r="H371" s="35"/>
      <c r="I371" s="35"/>
      <c r="J371" s="35"/>
    </row>
    <row r="372" spans="1:10">
      <c r="A372" s="31">
        <v>46254</v>
      </c>
      <c r="B372" s="35" t="s">
        <v>91</v>
      </c>
      <c r="C372" s="39">
        <f t="shared" si="1"/>
        <v>0</v>
      </c>
      <c r="D372" s="35"/>
      <c r="E372" s="35"/>
      <c r="F372" s="35"/>
      <c r="G372" s="35"/>
      <c r="H372" s="35"/>
      <c r="I372" s="35"/>
      <c r="J372" s="35"/>
    </row>
    <row r="373" spans="1:10">
      <c r="A373" s="31">
        <v>46255</v>
      </c>
      <c r="B373" s="35" t="s">
        <v>44</v>
      </c>
      <c r="C373" s="39">
        <f t="shared" si="1"/>
        <v>0</v>
      </c>
      <c r="D373" s="35"/>
      <c r="E373" s="35"/>
      <c r="F373" s="35"/>
      <c r="G373" s="35"/>
      <c r="H373" s="35"/>
      <c r="I373" s="35"/>
      <c r="J373" s="35"/>
    </row>
    <row r="374" spans="1:10">
      <c r="A374" s="31">
        <v>46256</v>
      </c>
      <c r="B374" s="35" t="s">
        <v>40</v>
      </c>
      <c r="C374" s="39">
        <f t="shared" si="1"/>
        <v>0</v>
      </c>
      <c r="D374" s="35"/>
      <c r="E374" s="35"/>
      <c r="F374" s="35"/>
      <c r="G374" s="35"/>
      <c r="H374" s="35"/>
      <c r="I374" s="35"/>
      <c r="J374" s="35"/>
    </row>
    <row r="375" spans="1:10">
      <c r="A375" s="31">
        <v>46257</v>
      </c>
      <c r="B375" s="35" t="s">
        <v>58</v>
      </c>
      <c r="C375" s="39">
        <f t="shared" si="1"/>
        <v>0</v>
      </c>
      <c r="D375" s="35"/>
      <c r="E375" s="35"/>
      <c r="F375" s="35"/>
      <c r="G375" s="35"/>
      <c r="H375" s="35"/>
      <c r="I375" s="35"/>
      <c r="J375" s="35"/>
    </row>
    <row r="376" spans="1:10">
      <c r="A376" s="31">
        <v>46258</v>
      </c>
      <c r="B376" s="35" t="s">
        <v>61</v>
      </c>
      <c r="C376" s="39">
        <f t="shared" si="1"/>
        <v>0</v>
      </c>
      <c r="D376" s="35"/>
      <c r="E376" s="35"/>
      <c r="F376" s="35"/>
      <c r="G376" s="35"/>
      <c r="H376" s="35"/>
      <c r="I376" s="35"/>
      <c r="J376" s="35"/>
    </row>
    <row r="377" spans="1:10">
      <c r="A377" s="31">
        <v>46259</v>
      </c>
      <c r="B377" s="35" t="s">
        <v>68</v>
      </c>
      <c r="C377" s="39">
        <f t="shared" si="1"/>
        <v>0</v>
      </c>
      <c r="D377" s="35"/>
      <c r="E377" s="35"/>
      <c r="F377" s="35"/>
      <c r="G377" s="35"/>
      <c r="H377" s="35"/>
      <c r="I377" s="35"/>
      <c r="J377" s="35"/>
    </row>
    <row r="378" spans="1:10">
      <c r="A378" s="31">
        <v>46260</v>
      </c>
      <c r="B378" s="35" t="s">
        <v>83</v>
      </c>
      <c r="C378" s="39">
        <f t="shared" si="1"/>
        <v>0</v>
      </c>
      <c r="D378" s="35"/>
      <c r="E378" s="35"/>
      <c r="F378" s="35"/>
      <c r="G378" s="35"/>
      <c r="H378" s="35"/>
      <c r="I378" s="35"/>
      <c r="J378" s="35"/>
    </row>
    <row r="379" spans="1:10">
      <c r="A379" s="31">
        <v>46261</v>
      </c>
      <c r="B379" s="35" t="s">
        <v>91</v>
      </c>
      <c r="C379" s="39">
        <f t="shared" si="1"/>
        <v>0</v>
      </c>
      <c r="D379" s="35"/>
      <c r="E379" s="35"/>
      <c r="F379" s="35"/>
      <c r="G379" s="35"/>
      <c r="H379" s="35"/>
      <c r="I379" s="35"/>
      <c r="J379" s="35"/>
    </row>
    <row r="380" spans="1:10">
      <c r="A380" s="31">
        <v>46262</v>
      </c>
      <c r="B380" s="35" t="s">
        <v>44</v>
      </c>
      <c r="C380" s="39">
        <f t="shared" si="1"/>
        <v>0</v>
      </c>
      <c r="D380" s="35"/>
      <c r="E380" s="35"/>
      <c r="F380" s="35"/>
      <c r="G380" s="35"/>
      <c r="H380" s="35"/>
      <c r="I380" s="35"/>
      <c r="J380" s="35"/>
    </row>
    <row r="381" spans="1:10">
      <c r="A381" s="31">
        <v>46263</v>
      </c>
      <c r="B381" s="35" t="s">
        <v>40</v>
      </c>
      <c r="C381" s="39">
        <f t="shared" si="1"/>
        <v>0</v>
      </c>
      <c r="D381" s="35"/>
      <c r="E381" s="35"/>
      <c r="F381" s="35"/>
      <c r="G381" s="35"/>
      <c r="H381" s="35"/>
      <c r="I381" s="35"/>
      <c r="J381" s="35"/>
    </row>
    <row r="382" spans="1:10">
      <c r="A382" s="31">
        <v>46264</v>
      </c>
      <c r="B382" s="35" t="s">
        <v>58</v>
      </c>
      <c r="C382" s="39">
        <f t="shared" si="1"/>
        <v>0</v>
      </c>
      <c r="D382" s="35"/>
      <c r="E382" s="35"/>
      <c r="F382" s="35"/>
      <c r="G382" s="35"/>
      <c r="H382" s="35"/>
      <c r="I382" s="35"/>
      <c r="J382" s="35"/>
    </row>
    <row r="383" spans="1:10">
      <c r="A383" s="31">
        <v>46265</v>
      </c>
      <c r="B383" s="35" t="s">
        <v>61</v>
      </c>
      <c r="C383" s="39">
        <f t="shared" si="1"/>
        <v>0</v>
      </c>
      <c r="D383" s="35"/>
      <c r="E383" s="35"/>
      <c r="F383" s="35"/>
      <c r="G383" s="35"/>
      <c r="H383" s="35"/>
      <c r="I383" s="35"/>
      <c r="J383" s="35"/>
    </row>
    <row r="384" spans="1:10">
      <c r="A384" s="31">
        <v>46266</v>
      </c>
      <c r="B384" s="35" t="s">
        <v>68</v>
      </c>
      <c r="C384" s="39">
        <f t="shared" si="1"/>
        <v>0</v>
      </c>
      <c r="D384" s="35"/>
      <c r="E384" s="35"/>
      <c r="F384" s="35"/>
      <c r="G384" s="35"/>
      <c r="H384" s="35"/>
      <c r="I384" s="35"/>
      <c r="J384" s="35"/>
    </row>
    <row r="385" spans="1:10">
      <c r="A385" s="31">
        <v>46267</v>
      </c>
      <c r="B385" s="35" t="s">
        <v>83</v>
      </c>
      <c r="C385" s="39">
        <f t="shared" si="1"/>
        <v>0</v>
      </c>
      <c r="D385" s="35"/>
      <c r="E385" s="35"/>
      <c r="F385" s="35"/>
      <c r="G385" s="35"/>
      <c r="H385" s="35"/>
      <c r="I385" s="35"/>
      <c r="J385" s="35"/>
    </row>
    <row r="386" spans="1:10">
      <c r="A386" s="31">
        <v>46268</v>
      </c>
      <c r="B386" s="35" t="s">
        <v>91</v>
      </c>
      <c r="C386" s="39">
        <f t="shared" si="1"/>
        <v>0</v>
      </c>
      <c r="D386" s="35"/>
      <c r="E386" s="35"/>
      <c r="F386" s="35"/>
      <c r="G386" s="35"/>
      <c r="H386" s="35"/>
      <c r="I386" s="35"/>
      <c r="J386" s="35"/>
    </row>
    <row r="387" spans="1:10">
      <c r="A387" s="31">
        <v>46269</v>
      </c>
      <c r="B387" s="35" t="s">
        <v>44</v>
      </c>
      <c r="C387" s="39">
        <f t="shared" si="1"/>
        <v>0</v>
      </c>
      <c r="D387" s="35"/>
      <c r="E387" s="35"/>
      <c r="F387" s="35"/>
      <c r="G387" s="35"/>
      <c r="H387" s="35"/>
      <c r="I387" s="35"/>
      <c r="J387" s="35"/>
    </row>
    <row r="388" spans="1:10">
      <c r="A388" s="31">
        <v>46270</v>
      </c>
      <c r="B388" s="35" t="s">
        <v>40</v>
      </c>
      <c r="C388" s="39">
        <f t="shared" si="1"/>
        <v>0</v>
      </c>
      <c r="D388" s="35"/>
      <c r="E388" s="35"/>
      <c r="F388" s="35"/>
      <c r="G388" s="35"/>
      <c r="H388" s="35"/>
      <c r="I388" s="35"/>
      <c r="J388" s="35"/>
    </row>
    <row r="389" spans="1:10">
      <c r="A389" s="31">
        <v>46271</v>
      </c>
      <c r="B389" s="35" t="s">
        <v>58</v>
      </c>
      <c r="C389" s="39">
        <f t="shared" si="1"/>
        <v>0</v>
      </c>
      <c r="D389" s="35"/>
      <c r="E389" s="35"/>
      <c r="F389" s="35"/>
      <c r="G389" s="35"/>
      <c r="H389" s="35"/>
      <c r="I389" s="35"/>
      <c r="J389" s="35"/>
    </row>
    <row r="390" spans="1:10">
      <c r="C390" s="192"/>
    </row>
    <row r="391" spans="1:10">
      <c r="C391" s="192"/>
    </row>
    <row r="392" spans="1:10">
      <c r="C392" s="192"/>
    </row>
    <row r="393" spans="1:10">
      <c r="C393" s="192"/>
    </row>
    <row r="394" spans="1:10">
      <c r="C394" s="192"/>
    </row>
    <row r="395" spans="1:10">
      <c r="C395" s="192"/>
    </row>
    <row r="396" spans="1:10">
      <c r="C396" s="192"/>
    </row>
    <row r="397" spans="1:10">
      <c r="C397" s="192"/>
    </row>
    <row r="398" spans="1:10">
      <c r="C398" s="192"/>
    </row>
    <row r="399" spans="1:10">
      <c r="C399" s="192"/>
    </row>
    <row r="400" spans="1:10">
      <c r="C400" s="192"/>
    </row>
    <row r="401" spans="3:3">
      <c r="C401" s="192"/>
    </row>
    <row r="402" spans="3:3">
      <c r="C402" s="192"/>
    </row>
    <row r="403" spans="3:3">
      <c r="C403" s="192"/>
    </row>
    <row r="404" spans="3:3">
      <c r="C404" s="192"/>
    </row>
    <row r="405" spans="3:3">
      <c r="C405" s="192"/>
    </row>
    <row r="406" spans="3:3">
      <c r="C406" s="192"/>
    </row>
    <row r="407" spans="3:3">
      <c r="C407" s="192"/>
    </row>
    <row r="408" spans="3:3">
      <c r="C408" s="192"/>
    </row>
    <row r="409" spans="3:3">
      <c r="C409" s="192"/>
    </row>
    <row r="410" spans="3:3">
      <c r="C410" s="192"/>
    </row>
    <row r="411" spans="3:3">
      <c r="C411" s="192"/>
    </row>
    <row r="412" spans="3:3">
      <c r="C412" s="192"/>
    </row>
    <row r="413" spans="3:3">
      <c r="C413" s="192"/>
    </row>
    <row r="414" spans="3:3">
      <c r="C414" s="192"/>
    </row>
    <row r="415" spans="3:3">
      <c r="C415" s="192"/>
    </row>
    <row r="416" spans="3:3">
      <c r="C416" s="192"/>
    </row>
    <row r="417" spans="3:3">
      <c r="C417" s="192"/>
    </row>
    <row r="418" spans="3:3">
      <c r="C418" s="192"/>
    </row>
    <row r="419" spans="3:3">
      <c r="C419" s="192"/>
    </row>
    <row r="420" spans="3:3">
      <c r="C420" s="192"/>
    </row>
    <row r="421" spans="3:3">
      <c r="C421" s="192"/>
    </row>
    <row r="422" spans="3:3">
      <c r="C422" s="192"/>
    </row>
    <row r="423" spans="3:3">
      <c r="C423" s="192"/>
    </row>
    <row r="424" spans="3:3">
      <c r="C424" s="192"/>
    </row>
    <row r="425" spans="3:3">
      <c r="C425" s="192"/>
    </row>
    <row r="426" spans="3:3">
      <c r="C426" s="192"/>
    </row>
    <row r="427" spans="3:3">
      <c r="C427" s="192"/>
    </row>
    <row r="428" spans="3:3">
      <c r="C428" s="192"/>
    </row>
    <row r="429" spans="3:3">
      <c r="C429" s="192"/>
    </row>
    <row r="430" spans="3:3">
      <c r="C430" s="192"/>
    </row>
    <row r="431" spans="3:3">
      <c r="C431" s="192"/>
    </row>
    <row r="432" spans="3:3">
      <c r="C432" s="192"/>
    </row>
    <row r="433" spans="3:3">
      <c r="C433" s="192"/>
    </row>
    <row r="434" spans="3:3">
      <c r="C434" s="192"/>
    </row>
    <row r="435" spans="3:3">
      <c r="C435" s="192"/>
    </row>
    <row r="436" spans="3:3">
      <c r="C436" s="192"/>
    </row>
    <row r="437" spans="3:3">
      <c r="C437" s="192"/>
    </row>
    <row r="438" spans="3:3">
      <c r="C438" s="192"/>
    </row>
    <row r="439" spans="3:3">
      <c r="C439" s="192"/>
    </row>
    <row r="440" spans="3:3">
      <c r="C440" s="192"/>
    </row>
    <row r="441" spans="3:3">
      <c r="C441" s="192"/>
    </row>
    <row r="442" spans="3:3">
      <c r="C442" s="192"/>
    </row>
    <row r="443" spans="3:3">
      <c r="C443" s="192"/>
    </row>
    <row r="444" spans="3:3">
      <c r="C444" s="192"/>
    </row>
    <row r="445" spans="3:3">
      <c r="C445" s="192"/>
    </row>
    <row r="446" spans="3:3">
      <c r="C446" s="192"/>
    </row>
    <row r="447" spans="3:3">
      <c r="C447" s="192"/>
    </row>
    <row r="448" spans="3:3">
      <c r="C448" s="192"/>
    </row>
    <row r="449" spans="3:3">
      <c r="C449" s="192"/>
    </row>
    <row r="450" spans="3:3">
      <c r="C450" s="192"/>
    </row>
    <row r="451" spans="3:3">
      <c r="C451" s="192"/>
    </row>
    <row r="452" spans="3:3">
      <c r="C452" s="192"/>
    </row>
    <row r="453" spans="3:3">
      <c r="C453" s="192"/>
    </row>
    <row r="454" spans="3:3">
      <c r="C454" s="192"/>
    </row>
    <row r="455" spans="3:3">
      <c r="C455" s="192"/>
    </row>
    <row r="456" spans="3:3">
      <c r="C456" s="192"/>
    </row>
    <row r="457" spans="3:3">
      <c r="C457" s="192"/>
    </row>
    <row r="458" spans="3:3">
      <c r="C458" s="192"/>
    </row>
    <row r="459" spans="3:3">
      <c r="C459" s="192"/>
    </row>
    <row r="460" spans="3:3">
      <c r="C460" s="192"/>
    </row>
    <row r="461" spans="3:3">
      <c r="C461" s="192"/>
    </row>
    <row r="462" spans="3:3">
      <c r="C462" s="192"/>
    </row>
    <row r="463" spans="3:3">
      <c r="C463" s="192"/>
    </row>
    <row r="464" spans="3:3">
      <c r="C464" s="192"/>
    </row>
    <row r="465" spans="3:3">
      <c r="C465" s="192"/>
    </row>
    <row r="466" spans="3:3">
      <c r="C466" s="192"/>
    </row>
    <row r="467" spans="3:3">
      <c r="C467" s="192"/>
    </row>
    <row r="468" spans="3:3">
      <c r="C468" s="192"/>
    </row>
    <row r="469" spans="3:3">
      <c r="C469" s="192"/>
    </row>
    <row r="470" spans="3:3">
      <c r="C470" s="192"/>
    </row>
    <row r="471" spans="3:3">
      <c r="C471" s="192"/>
    </row>
    <row r="472" spans="3:3">
      <c r="C472" s="192"/>
    </row>
    <row r="473" spans="3:3">
      <c r="C473" s="192"/>
    </row>
    <row r="474" spans="3:3">
      <c r="C474" s="192"/>
    </row>
    <row r="475" spans="3:3">
      <c r="C475" s="192"/>
    </row>
    <row r="476" spans="3:3">
      <c r="C476" s="192"/>
    </row>
    <row r="477" spans="3:3">
      <c r="C477" s="192"/>
    </row>
    <row r="478" spans="3:3">
      <c r="C478" s="192"/>
    </row>
    <row r="479" spans="3:3">
      <c r="C479" s="192"/>
    </row>
    <row r="480" spans="3:3">
      <c r="C480" s="192"/>
    </row>
    <row r="481" spans="3:3">
      <c r="C481" s="192"/>
    </row>
    <row r="482" spans="3:3">
      <c r="C482" s="192"/>
    </row>
    <row r="483" spans="3:3">
      <c r="C483" s="192"/>
    </row>
    <row r="484" spans="3:3">
      <c r="C484" s="192"/>
    </row>
    <row r="485" spans="3:3">
      <c r="C485" s="192"/>
    </row>
    <row r="486" spans="3:3">
      <c r="C486" s="192"/>
    </row>
    <row r="487" spans="3:3">
      <c r="C487" s="192"/>
    </row>
    <row r="488" spans="3:3">
      <c r="C488" s="192"/>
    </row>
    <row r="489" spans="3:3">
      <c r="C489" s="192"/>
    </row>
    <row r="490" spans="3:3">
      <c r="C490" s="192"/>
    </row>
    <row r="491" spans="3:3">
      <c r="C491" s="192"/>
    </row>
    <row r="492" spans="3:3">
      <c r="C492" s="192"/>
    </row>
    <row r="493" spans="3:3">
      <c r="C493" s="192"/>
    </row>
    <row r="494" spans="3:3">
      <c r="C494" s="192"/>
    </row>
    <row r="495" spans="3:3">
      <c r="C495" s="192"/>
    </row>
    <row r="496" spans="3:3">
      <c r="C496" s="192"/>
    </row>
    <row r="497" spans="3:3">
      <c r="C497" s="192"/>
    </row>
    <row r="498" spans="3:3">
      <c r="C498" s="192"/>
    </row>
    <row r="499" spans="3:3">
      <c r="C499" s="192"/>
    </row>
    <row r="500" spans="3:3">
      <c r="C500" s="192"/>
    </row>
    <row r="501" spans="3:3">
      <c r="C501" s="192"/>
    </row>
    <row r="502" spans="3:3">
      <c r="C502" s="192"/>
    </row>
    <row r="503" spans="3:3">
      <c r="C503" s="192"/>
    </row>
    <row r="504" spans="3:3">
      <c r="C504" s="192"/>
    </row>
    <row r="505" spans="3:3">
      <c r="C505" s="192"/>
    </row>
    <row r="506" spans="3:3">
      <c r="C506" s="192"/>
    </row>
    <row r="507" spans="3:3">
      <c r="C507" s="192"/>
    </row>
    <row r="508" spans="3:3">
      <c r="C508" s="192"/>
    </row>
    <row r="509" spans="3:3">
      <c r="C509" s="192"/>
    </row>
    <row r="510" spans="3:3">
      <c r="C510" s="192"/>
    </row>
    <row r="511" spans="3:3">
      <c r="C511" s="192"/>
    </row>
    <row r="512" spans="3:3">
      <c r="C512" s="192"/>
    </row>
    <row r="513" spans="3:3">
      <c r="C513" s="192"/>
    </row>
    <row r="514" spans="3:3">
      <c r="C514" s="192"/>
    </row>
    <row r="515" spans="3:3">
      <c r="C515" s="192"/>
    </row>
    <row r="516" spans="3:3">
      <c r="C516" s="192"/>
    </row>
    <row r="517" spans="3:3">
      <c r="C517" s="192"/>
    </row>
    <row r="518" spans="3:3">
      <c r="C518" s="192"/>
    </row>
    <row r="519" spans="3:3">
      <c r="C519" s="192"/>
    </row>
    <row r="520" spans="3:3">
      <c r="C520" s="192"/>
    </row>
    <row r="521" spans="3:3">
      <c r="C521" s="192"/>
    </row>
    <row r="522" spans="3:3">
      <c r="C522" s="192"/>
    </row>
    <row r="523" spans="3:3">
      <c r="C523" s="192"/>
    </row>
    <row r="524" spans="3:3">
      <c r="C524" s="192"/>
    </row>
    <row r="525" spans="3:3">
      <c r="C525" s="192"/>
    </row>
    <row r="526" spans="3:3">
      <c r="C526" s="192"/>
    </row>
    <row r="527" spans="3:3">
      <c r="C527" s="192"/>
    </row>
    <row r="528" spans="3:3">
      <c r="C528" s="192"/>
    </row>
    <row r="529" spans="3:3">
      <c r="C529" s="192"/>
    </row>
    <row r="530" spans="3:3">
      <c r="C530" s="192"/>
    </row>
    <row r="531" spans="3:3">
      <c r="C531" s="192"/>
    </row>
    <row r="532" spans="3:3">
      <c r="C532" s="192"/>
    </row>
    <row r="533" spans="3:3">
      <c r="C533" s="192"/>
    </row>
    <row r="534" spans="3:3">
      <c r="C534" s="192"/>
    </row>
    <row r="535" spans="3:3">
      <c r="C535" s="192"/>
    </row>
    <row r="536" spans="3:3">
      <c r="C536" s="192"/>
    </row>
    <row r="537" spans="3:3">
      <c r="C537" s="192"/>
    </row>
    <row r="538" spans="3:3">
      <c r="C538" s="192"/>
    </row>
    <row r="539" spans="3:3">
      <c r="C539" s="192"/>
    </row>
    <row r="540" spans="3:3">
      <c r="C540" s="192"/>
    </row>
    <row r="541" spans="3:3">
      <c r="C541" s="192"/>
    </row>
    <row r="542" spans="3:3">
      <c r="C542" s="192"/>
    </row>
    <row r="543" spans="3:3">
      <c r="C543" s="192"/>
    </row>
    <row r="544" spans="3:3">
      <c r="C544" s="192"/>
    </row>
    <row r="545" spans="3:3">
      <c r="C545" s="192"/>
    </row>
    <row r="546" spans="3:3">
      <c r="C546" s="192"/>
    </row>
    <row r="547" spans="3:3">
      <c r="C547" s="192"/>
    </row>
    <row r="548" spans="3:3">
      <c r="C548" s="192"/>
    </row>
    <row r="549" spans="3:3">
      <c r="C549" s="192"/>
    </row>
    <row r="550" spans="3:3">
      <c r="C550" s="192"/>
    </row>
    <row r="551" spans="3:3">
      <c r="C551" s="192"/>
    </row>
    <row r="552" spans="3:3">
      <c r="C552" s="192"/>
    </row>
    <row r="553" spans="3:3">
      <c r="C553" s="192"/>
    </row>
    <row r="554" spans="3:3">
      <c r="C554" s="192"/>
    </row>
    <row r="555" spans="3:3">
      <c r="C555" s="192"/>
    </row>
    <row r="556" spans="3:3">
      <c r="C556" s="192"/>
    </row>
    <row r="557" spans="3:3">
      <c r="C557" s="192"/>
    </row>
    <row r="558" spans="3:3">
      <c r="C558" s="192"/>
    </row>
    <row r="559" spans="3:3">
      <c r="C559" s="192"/>
    </row>
    <row r="560" spans="3:3">
      <c r="C560" s="192"/>
    </row>
    <row r="561" spans="3:3">
      <c r="C561" s="192"/>
    </row>
    <row r="562" spans="3:3">
      <c r="C562" s="192"/>
    </row>
    <row r="563" spans="3:3">
      <c r="C563" s="192"/>
    </row>
    <row r="564" spans="3:3">
      <c r="C564" s="192"/>
    </row>
    <row r="565" spans="3:3">
      <c r="C565" s="192"/>
    </row>
    <row r="566" spans="3:3">
      <c r="C566" s="192"/>
    </row>
    <row r="567" spans="3:3">
      <c r="C567" s="192"/>
    </row>
    <row r="568" spans="3:3">
      <c r="C568" s="192"/>
    </row>
    <row r="569" spans="3:3">
      <c r="C569" s="192"/>
    </row>
    <row r="570" spans="3:3">
      <c r="C570" s="192"/>
    </row>
    <row r="571" spans="3:3">
      <c r="C571" s="192"/>
    </row>
    <row r="572" spans="3:3">
      <c r="C572" s="192"/>
    </row>
    <row r="573" spans="3:3">
      <c r="C573" s="192"/>
    </row>
    <row r="574" spans="3:3">
      <c r="C574" s="192"/>
    </row>
    <row r="575" spans="3:3">
      <c r="C575" s="192"/>
    </row>
    <row r="576" spans="3:3">
      <c r="C576" s="192"/>
    </row>
    <row r="577" spans="3:3">
      <c r="C577" s="192"/>
    </row>
    <row r="578" spans="3:3">
      <c r="C578" s="192"/>
    </row>
    <row r="579" spans="3:3">
      <c r="C579" s="192"/>
    </row>
    <row r="580" spans="3:3">
      <c r="C580" s="192"/>
    </row>
    <row r="581" spans="3:3">
      <c r="C581" s="192"/>
    </row>
    <row r="582" spans="3:3">
      <c r="C582" s="192"/>
    </row>
    <row r="583" spans="3:3">
      <c r="C583" s="192"/>
    </row>
    <row r="584" spans="3:3">
      <c r="C584" s="192"/>
    </row>
    <row r="585" spans="3:3">
      <c r="C585" s="192"/>
    </row>
    <row r="586" spans="3:3">
      <c r="C586" s="192"/>
    </row>
    <row r="587" spans="3:3">
      <c r="C587" s="192"/>
    </row>
    <row r="588" spans="3:3">
      <c r="C588" s="192"/>
    </row>
    <row r="589" spans="3:3">
      <c r="C589" s="192"/>
    </row>
    <row r="590" spans="3:3">
      <c r="C590" s="192"/>
    </row>
    <row r="591" spans="3:3">
      <c r="C591" s="192"/>
    </row>
    <row r="592" spans="3:3">
      <c r="C592" s="192"/>
    </row>
    <row r="593" spans="3:3">
      <c r="C593" s="192"/>
    </row>
    <row r="594" spans="3:3">
      <c r="C594" s="192"/>
    </row>
    <row r="595" spans="3:3">
      <c r="C595" s="192"/>
    </row>
    <row r="596" spans="3:3">
      <c r="C596" s="192"/>
    </row>
    <row r="597" spans="3:3">
      <c r="C597" s="192"/>
    </row>
    <row r="598" spans="3:3">
      <c r="C598" s="192"/>
    </row>
    <row r="599" spans="3:3">
      <c r="C599" s="192"/>
    </row>
    <row r="600" spans="3:3">
      <c r="C600" s="192"/>
    </row>
    <row r="601" spans="3:3">
      <c r="C601" s="192"/>
    </row>
    <row r="602" spans="3:3">
      <c r="C602" s="192"/>
    </row>
    <row r="603" spans="3:3">
      <c r="C603" s="192"/>
    </row>
    <row r="604" spans="3:3">
      <c r="C604" s="192"/>
    </row>
    <row r="605" spans="3:3">
      <c r="C605" s="192"/>
    </row>
    <row r="606" spans="3:3">
      <c r="C606" s="192"/>
    </row>
    <row r="607" spans="3:3">
      <c r="C607" s="192"/>
    </row>
    <row r="608" spans="3:3">
      <c r="C608" s="192"/>
    </row>
    <row r="609" spans="3:3">
      <c r="C609" s="192"/>
    </row>
    <row r="610" spans="3:3">
      <c r="C610" s="192"/>
    </row>
    <row r="611" spans="3:3">
      <c r="C611" s="192"/>
    </row>
    <row r="612" spans="3:3">
      <c r="C612" s="192"/>
    </row>
    <row r="613" spans="3:3">
      <c r="C613" s="192"/>
    </row>
    <row r="614" spans="3:3">
      <c r="C614" s="192"/>
    </row>
    <row r="615" spans="3:3">
      <c r="C615" s="192"/>
    </row>
    <row r="616" spans="3:3">
      <c r="C616" s="192"/>
    </row>
    <row r="617" spans="3:3">
      <c r="C617" s="192"/>
    </row>
    <row r="618" spans="3:3">
      <c r="C618" s="192"/>
    </row>
    <row r="619" spans="3:3">
      <c r="C619" s="192"/>
    </row>
    <row r="620" spans="3:3">
      <c r="C620" s="192"/>
    </row>
    <row r="621" spans="3:3">
      <c r="C621" s="192"/>
    </row>
    <row r="622" spans="3:3">
      <c r="C622" s="192"/>
    </row>
    <row r="623" spans="3:3">
      <c r="C623" s="192"/>
    </row>
    <row r="624" spans="3:3">
      <c r="C624" s="192"/>
    </row>
    <row r="625" spans="3:3">
      <c r="C625" s="192"/>
    </row>
    <row r="626" spans="3:3">
      <c r="C626" s="192"/>
    </row>
    <row r="627" spans="3:3">
      <c r="C627" s="192"/>
    </row>
    <row r="628" spans="3:3">
      <c r="C628" s="192"/>
    </row>
    <row r="629" spans="3:3">
      <c r="C629" s="192"/>
    </row>
    <row r="630" spans="3:3">
      <c r="C630" s="192"/>
    </row>
    <row r="631" spans="3:3">
      <c r="C631" s="192"/>
    </row>
    <row r="632" spans="3:3">
      <c r="C632" s="192"/>
    </row>
    <row r="633" spans="3:3">
      <c r="C633" s="192"/>
    </row>
    <row r="634" spans="3:3">
      <c r="C634" s="192"/>
    </row>
    <row r="635" spans="3:3">
      <c r="C635" s="192"/>
    </row>
    <row r="636" spans="3:3">
      <c r="C636" s="192"/>
    </row>
    <row r="637" spans="3:3">
      <c r="C637" s="192"/>
    </row>
    <row r="638" spans="3:3">
      <c r="C638" s="192"/>
    </row>
    <row r="639" spans="3:3">
      <c r="C639" s="192"/>
    </row>
    <row r="640" spans="3:3">
      <c r="C640" s="192"/>
    </row>
    <row r="641" spans="3:3">
      <c r="C641" s="192"/>
    </row>
    <row r="642" spans="3:3">
      <c r="C642" s="192"/>
    </row>
    <row r="643" spans="3:3">
      <c r="C643" s="192"/>
    </row>
    <row r="644" spans="3:3">
      <c r="C644" s="192"/>
    </row>
    <row r="645" spans="3:3">
      <c r="C645" s="192"/>
    </row>
    <row r="646" spans="3:3">
      <c r="C646" s="192"/>
    </row>
    <row r="647" spans="3:3">
      <c r="C647" s="192"/>
    </row>
    <row r="648" spans="3:3">
      <c r="C648" s="192"/>
    </row>
    <row r="649" spans="3:3">
      <c r="C649" s="192"/>
    </row>
    <row r="650" spans="3:3">
      <c r="C650" s="192"/>
    </row>
    <row r="651" spans="3:3">
      <c r="C651" s="192"/>
    </row>
    <row r="652" spans="3:3">
      <c r="C652" s="192"/>
    </row>
    <row r="653" spans="3:3">
      <c r="C653" s="192"/>
    </row>
    <row r="654" spans="3:3">
      <c r="C654" s="192"/>
    </row>
    <row r="655" spans="3:3">
      <c r="C655" s="192"/>
    </row>
    <row r="656" spans="3:3">
      <c r="C656" s="192"/>
    </row>
    <row r="657" spans="3:3">
      <c r="C657" s="192"/>
    </row>
    <row r="658" spans="3:3">
      <c r="C658" s="192"/>
    </row>
    <row r="659" spans="3:3">
      <c r="C659" s="192"/>
    </row>
    <row r="660" spans="3:3">
      <c r="C660" s="192"/>
    </row>
    <row r="661" spans="3:3">
      <c r="C661" s="192"/>
    </row>
    <row r="662" spans="3:3">
      <c r="C662" s="192"/>
    </row>
    <row r="663" spans="3:3">
      <c r="C663" s="192"/>
    </row>
    <row r="664" spans="3:3">
      <c r="C664" s="192"/>
    </row>
    <row r="665" spans="3:3">
      <c r="C665" s="192"/>
    </row>
    <row r="666" spans="3:3">
      <c r="C666" s="192"/>
    </row>
    <row r="667" spans="3:3">
      <c r="C667" s="192"/>
    </row>
    <row r="668" spans="3:3">
      <c r="C668" s="192"/>
    </row>
    <row r="669" spans="3:3">
      <c r="C669" s="192"/>
    </row>
    <row r="670" spans="3:3">
      <c r="C670" s="192"/>
    </row>
    <row r="671" spans="3:3">
      <c r="C671" s="192"/>
    </row>
    <row r="672" spans="3:3">
      <c r="C672" s="192"/>
    </row>
    <row r="673" spans="3:3">
      <c r="C673" s="192"/>
    </row>
    <row r="674" spans="3:3">
      <c r="C674" s="192"/>
    </row>
    <row r="675" spans="3:3">
      <c r="C675" s="192"/>
    </row>
    <row r="676" spans="3:3">
      <c r="C676" s="192"/>
    </row>
    <row r="677" spans="3:3">
      <c r="C677" s="192"/>
    </row>
    <row r="678" spans="3:3">
      <c r="C678" s="192"/>
    </row>
    <row r="679" spans="3:3">
      <c r="C679" s="192"/>
    </row>
    <row r="680" spans="3:3">
      <c r="C680" s="192"/>
    </row>
    <row r="681" spans="3:3">
      <c r="C681" s="192"/>
    </row>
    <row r="682" spans="3:3">
      <c r="C682" s="192"/>
    </row>
    <row r="683" spans="3:3">
      <c r="C683" s="192"/>
    </row>
    <row r="684" spans="3:3">
      <c r="C684" s="192"/>
    </row>
    <row r="685" spans="3:3">
      <c r="C685" s="192"/>
    </row>
    <row r="686" spans="3:3">
      <c r="C686" s="192"/>
    </row>
    <row r="687" spans="3:3">
      <c r="C687" s="192"/>
    </row>
    <row r="688" spans="3:3">
      <c r="C688" s="192"/>
    </row>
    <row r="689" spans="3:3">
      <c r="C689" s="192"/>
    </row>
    <row r="690" spans="3:3">
      <c r="C690" s="192"/>
    </row>
    <row r="691" spans="3:3">
      <c r="C691" s="192"/>
    </row>
    <row r="692" spans="3:3">
      <c r="C692" s="192"/>
    </row>
    <row r="693" spans="3:3">
      <c r="C693" s="192"/>
    </row>
    <row r="694" spans="3:3">
      <c r="C694" s="192"/>
    </row>
    <row r="695" spans="3:3">
      <c r="C695" s="192"/>
    </row>
    <row r="696" spans="3:3">
      <c r="C696" s="192"/>
    </row>
    <row r="697" spans="3:3">
      <c r="C697" s="192"/>
    </row>
    <row r="698" spans="3:3">
      <c r="C698" s="192"/>
    </row>
    <row r="699" spans="3:3">
      <c r="C699" s="192"/>
    </row>
    <row r="700" spans="3:3">
      <c r="C700" s="192"/>
    </row>
    <row r="701" spans="3:3">
      <c r="C701" s="192"/>
    </row>
    <row r="702" spans="3:3">
      <c r="C702" s="192"/>
    </row>
    <row r="703" spans="3:3">
      <c r="C703" s="192"/>
    </row>
    <row r="704" spans="3:3">
      <c r="C704" s="192"/>
    </row>
    <row r="705" spans="3:3">
      <c r="C705" s="192"/>
    </row>
    <row r="706" spans="3:3">
      <c r="C706" s="192"/>
    </row>
    <row r="707" spans="3:3">
      <c r="C707" s="192"/>
    </row>
    <row r="708" spans="3:3">
      <c r="C708" s="192"/>
    </row>
    <row r="709" spans="3:3">
      <c r="C709" s="192"/>
    </row>
    <row r="710" spans="3:3">
      <c r="C710" s="192"/>
    </row>
    <row r="711" spans="3:3">
      <c r="C711" s="192"/>
    </row>
    <row r="712" spans="3:3">
      <c r="C712" s="192"/>
    </row>
    <row r="713" spans="3:3">
      <c r="C713" s="192"/>
    </row>
    <row r="714" spans="3:3">
      <c r="C714" s="192"/>
    </row>
    <row r="715" spans="3:3">
      <c r="C715" s="192"/>
    </row>
    <row r="716" spans="3:3">
      <c r="C716" s="192"/>
    </row>
    <row r="717" spans="3:3">
      <c r="C717" s="192"/>
    </row>
    <row r="718" spans="3:3">
      <c r="C718" s="192"/>
    </row>
    <row r="719" spans="3:3">
      <c r="C719" s="192"/>
    </row>
    <row r="720" spans="3:3">
      <c r="C720" s="192"/>
    </row>
    <row r="721" spans="3:3">
      <c r="C721" s="192"/>
    </row>
    <row r="722" spans="3:3">
      <c r="C722" s="192"/>
    </row>
    <row r="723" spans="3:3">
      <c r="C723" s="192"/>
    </row>
    <row r="724" spans="3:3">
      <c r="C724" s="192"/>
    </row>
    <row r="725" spans="3:3">
      <c r="C725" s="192"/>
    </row>
    <row r="726" spans="3:3">
      <c r="C726" s="192"/>
    </row>
    <row r="727" spans="3:3">
      <c r="C727" s="192"/>
    </row>
    <row r="728" spans="3:3">
      <c r="C728" s="192"/>
    </row>
    <row r="729" spans="3:3">
      <c r="C729" s="192"/>
    </row>
    <row r="730" spans="3:3">
      <c r="C730" s="192"/>
    </row>
    <row r="731" spans="3:3">
      <c r="C731" s="192"/>
    </row>
    <row r="732" spans="3:3">
      <c r="C732" s="192"/>
    </row>
    <row r="733" spans="3:3">
      <c r="C733" s="192"/>
    </row>
    <row r="734" spans="3:3">
      <c r="C734" s="192"/>
    </row>
    <row r="735" spans="3:3">
      <c r="C735" s="192"/>
    </row>
    <row r="736" spans="3:3">
      <c r="C736" s="192"/>
    </row>
    <row r="737" spans="3:3">
      <c r="C737" s="192"/>
    </row>
    <row r="738" spans="3:3">
      <c r="C738" s="192"/>
    </row>
    <row r="739" spans="3:3">
      <c r="C739" s="192"/>
    </row>
    <row r="740" spans="3:3">
      <c r="C740" s="192"/>
    </row>
    <row r="741" spans="3:3">
      <c r="C741" s="192"/>
    </row>
    <row r="742" spans="3:3">
      <c r="C742" s="192"/>
    </row>
    <row r="743" spans="3:3">
      <c r="C743" s="192"/>
    </row>
    <row r="744" spans="3:3">
      <c r="C744" s="192"/>
    </row>
    <row r="745" spans="3:3">
      <c r="C745" s="192"/>
    </row>
    <row r="746" spans="3:3">
      <c r="C746" s="192"/>
    </row>
    <row r="747" spans="3:3">
      <c r="C747" s="192"/>
    </row>
    <row r="748" spans="3:3">
      <c r="C748" s="192"/>
    </row>
    <row r="749" spans="3:3">
      <c r="C749" s="192"/>
    </row>
    <row r="750" spans="3:3">
      <c r="C750" s="192"/>
    </row>
    <row r="751" spans="3:3">
      <c r="C751" s="192"/>
    </row>
    <row r="752" spans="3:3">
      <c r="C752" s="192"/>
    </row>
    <row r="753" spans="3:3">
      <c r="C753" s="192"/>
    </row>
    <row r="754" spans="3:3">
      <c r="C754" s="192"/>
    </row>
    <row r="755" spans="3:3">
      <c r="C755" s="192"/>
    </row>
    <row r="756" spans="3:3">
      <c r="C756" s="192"/>
    </row>
    <row r="757" spans="3:3">
      <c r="C757" s="192"/>
    </row>
    <row r="758" spans="3:3">
      <c r="C758" s="192"/>
    </row>
    <row r="759" spans="3:3">
      <c r="C759" s="192"/>
    </row>
    <row r="760" spans="3:3">
      <c r="C760" s="192"/>
    </row>
    <row r="761" spans="3:3">
      <c r="C761" s="192"/>
    </row>
    <row r="762" spans="3:3">
      <c r="C762" s="192"/>
    </row>
    <row r="763" spans="3:3">
      <c r="C763" s="192"/>
    </row>
    <row r="764" spans="3:3">
      <c r="C764" s="192"/>
    </row>
    <row r="765" spans="3:3">
      <c r="C765" s="192"/>
    </row>
    <row r="766" spans="3:3">
      <c r="C766" s="192"/>
    </row>
    <row r="767" spans="3:3">
      <c r="C767" s="192"/>
    </row>
    <row r="768" spans="3:3">
      <c r="C768" s="192"/>
    </row>
    <row r="769" spans="3:3">
      <c r="C769" s="192"/>
    </row>
    <row r="770" spans="3:3">
      <c r="C770" s="192"/>
    </row>
    <row r="771" spans="3:3">
      <c r="C771" s="192"/>
    </row>
    <row r="772" spans="3:3">
      <c r="C772" s="192"/>
    </row>
    <row r="773" spans="3:3">
      <c r="C773" s="192"/>
    </row>
    <row r="774" spans="3:3">
      <c r="C774" s="192"/>
    </row>
    <row r="775" spans="3:3">
      <c r="C775" s="192"/>
    </row>
    <row r="776" spans="3:3">
      <c r="C776" s="192"/>
    </row>
    <row r="777" spans="3:3">
      <c r="C777" s="192"/>
    </row>
    <row r="778" spans="3:3">
      <c r="C778" s="192"/>
    </row>
    <row r="779" spans="3:3">
      <c r="C779" s="192"/>
    </row>
    <row r="780" spans="3:3">
      <c r="C780" s="192"/>
    </row>
    <row r="781" spans="3:3">
      <c r="C781" s="192"/>
    </row>
    <row r="782" spans="3:3">
      <c r="C782" s="192"/>
    </row>
    <row r="783" spans="3:3">
      <c r="C783" s="192"/>
    </row>
    <row r="784" spans="3:3">
      <c r="C784" s="192"/>
    </row>
    <row r="785" spans="3:3">
      <c r="C785" s="192"/>
    </row>
    <row r="786" spans="3:3">
      <c r="C786" s="192"/>
    </row>
    <row r="787" spans="3:3">
      <c r="C787" s="192"/>
    </row>
    <row r="788" spans="3:3">
      <c r="C788" s="192"/>
    </row>
    <row r="789" spans="3:3">
      <c r="C789" s="192"/>
    </row>
    <row r="790" spans="3:3">
      <c r="C790" s="192"/>
    </row>
    <row r="791" spans="3:3">
      <c r="C791" s="192"/>
    </row>
    <row r="792" spans="3:3">
      <c r="C792" s="192"/>
    </row>
    <row r="793" spans="3:3">
      <c r="C793" s="192"/>
    </row>
    <row r="794" spans="3:3">
      <c r="C794" s="192"/>
    </row>
    <row r="795" spans="3:3">
      <c r="C795" s="192"/>
    </row>
    <row r="796" spans="3:3">
      <c r="C796" s="192"/>
    </row>
    <row r="797" spans="3:3">
      <c r="C797" s="192"/>
    </row>
    <row r="798" spans="3:3">
      <c r="C798" s="192"/>
    </row>
    <row r="799" spans="3:3">
      <c r="C799" s="192"/>
    </row>
    <row r="800" spans="3:3">
      <c r="C800" s="192"/>
    </row>
    <row r="801" spans="3:3">
      <c r="C801" s="192"/>
    </row>
    <row r="802" spans="3:3">
      <c r="C802" s="192"/>
    </row>
    <row r="803" spans="3:3">
      <c r="C803" s="192"/>
    </row>
    <row r="804" spans="3:3">
      <c r="C804" s="192"/>
    </row>
    <row r="805" spans="3:3">
      <c r="C805" s="192"/>
    </row>
    <row r="806" spans="3:3">
      <c r="C806" s="192"/>
    </row>
    <row r="807" spans="3:3">
      <c r="C807" s="192"/>
    </row>
    <row r="808" spans="3:3">
      <c r="C808" s="192"/>
    </row>
    <row r="809" spans="3:3">
      <c r="C809" s="192"/>
    </row>
    <row r="810" spans="3:3">
      <c r="C810" s="192"/>
    </row>
    <row r="811" spans="3:3">
      <c r="C811" s="192"/>
    </row>
    <row r="812" spans="3:3">
      <c r="C812" s="192"/>
    </row>
    <row r="813" spans="3:3">
      <c r="C813" s="192"/>
    </row>
    <row r="814" spans="3:3">
      <c r="C814" s="192"/>
    </row>
    <row r="815" spans="3:3">
      <c r="C815" s="192"/>
    </row>
    <row r="816" spans="3:3">
      <c r="C816" s="192"/>
    </row>
    <row r="817" spans="3:3">
      <c r="C817" s="192"/>
    </row>
    <row r="818" spans="3:3">
      <c r="C818" s="192"/>
    </row>
    <row r="819" spans="3:3">
      <c r="C819" s="192"/>
    </row>
    <row r="820" spans="3:3">
      <c r="C820" s="192"/>
    </row>
    <row r="821" spans="3:3">
      <c r="C821" s="192"/>
    </row>
    <row r="822" spans="3:3">
      <c r="C822" s="192"/>
    </row>
    <row r="823" spans="3:3">
      <c r="C823" s="192"/>
    </row>
    <row r="824" spans="3:3">
      <c r="C824" s="192"/>
    </row>
    <row r="825" spans="3:3">
      <c r="C825" s="192"/>
    </row>
    <row r="826" spans="3:3">
      <c r="C826" s="192"/>
    </row>
    <row r="827" spans="3:3">
      <c r="C827" s="192"/>
    </row>
    <row r="828" spans="3:3">
      <c r="C828" s="192"/>
    </row>
    <row r="829" spans="3:3">
      <c r="C829" s="192"/>
    </row>
    <row r="830" spans="3:3">
      <c r="C830" s="192"/>
    </row>
    <row r="831" spans="3:3">
      <c r="C831" s="192"/>
    </row>
    <row r="832" spans="3:3">
      <c r="C832" s="192"/>
    </row>
    <row r="833" spans="3:3">
      <c r="C833" s="192"/>
    </row>
    <row r="834" spans="3:3">
      <c r="C834" s="192"/>
    </row>
    <row r="835" spans="3:3">
      <c r="C835" s="192"/>
    </row>
    <row r="836" spans="3:3">
      <c r="C836" s="192"/>
    </row>
    <row r="837" spans="3:3">
      <c r="C837" s="192"/>
    </row>
    <row r="838" spans="3:3">
      <c r="C838" s="192"/>
    </row>
    <row r="839" spans="3:3">
      <c r="C839" s="192"/>
    </row>
    <row r="840" spans="3:3">
      <c r="C840" s="192"/>
    </row>
    <row r="841" spans="3:3">
      <c r="C841" s="192"/>
    </row>
    <row r="842" spans="3:3">
      <c r="C842" s="192"/>
    </row>
    <row r="843" spans="3:3">
      <c r="C843" s="192"/>
    </row>
    <row r="844" spans="3:3">
      <c r="C844" s="192"/>
    </row>
    <row r="845" spans="3:3">
      <c r="C845" s="192"/>
    </row>
    <row r="846" spans="3:3">
      <c r="C846" s="192"/>
    </row>
    <row r="847" spans="3:3">
      <c r="C847" s="192"/>
    </row>
    <row r="848" spans="3:3">
      <c r="C848" s="192"/>
    </row>
    <row r="849" spans="3:3">
      <c r="C849" s="192"/>
    </row>
    <row r="850" spans="3:3">
      <c r="C850" s="192"/>
    </row>
    <row r="851" spans="3:3">
      <c r="C851" s="192"/>
    </row>
    <row r="852" spans="3:3">
      <c r="C852" s="192"/>
    </row>
    <row r="853" spans="3:3">
      <c r="C853" s="192"/>
    </row>
    <row r="854" spans="3:3">
      <c r="C854" s="192"/>
    </row>
    <row r="855" spans="3:3">
      <c r="C855" s="192"/>
    </row>
    <row r="856" spans="3:3">
      <c r="C856" s="192"/>
    </row>
    <row r="857" spans="3:3">
      <c r="C857" s="192"/>
    </row>
    <row r="858" spans="3:3">
      <c r="C858" s="192"/>
    </row>
    <row r="859" spans="3:3">
      <c r="C859" s="192"/>
    </row>
    <row r="860" spans="3:3">
      <c r="C860" s="192"/>
    </row>
    <row r="861" spans="3:3">
      <c r="C861" s="192"/>
    </row>
    <row r="862" spans="3:3">
      <c r="C862" s="192"/>
    </row>
    <row r="863" spans="3:3">
      <c r="C863" s="192"/>
    </row>
    <row r="864" spans="3:3">
      <c r="C864" s="192"/>
    </row>
    <row r="865" spans="3:3">
      <c r="C865" s="192"/>
    </row>
    <row r="866" spans="3:3">
      <c r="C866" s="192"/>
    </row>
    <row r="867" spans="3:3">
      <c r="C867" s="192"/>
    </row>
    <row r="868" spans="3:3">
      <c r="C868" s="192"/>
    </row>
    <row r="869" spans="3:3">
      <c r="C869" s="192"/>
    </row>
    <row r="870" spans="3:3">
      <c r="C870" s="192"/>
    </row>
    <row r="871" spans="3:3">
      <c r="C871" s="192"/>
    </row>
    <row r="872" spans="3:3">
      <c r="C872" s="192"/>
    </row>
    <row r="873" spans="3:3">
      <c r="C873" s="192"/>
    </row>
    <row r="874" spans="3:3">
      <c r="C874" s="192"/>
    </row>
    <row r="875" spans="3:3">
      <c r="C875" s="192"/>
    </row>
    <row r="876" spans="3:3">
      <c r="C876" s="192"/>
    </row>
    <row r="877" spans="3:3">
      <c r="C877" s="192"/>
    </row>
    <row r="878" spans="3:3">
      <c r="C878" s="192"/>
    </row>
    <row r="879" spans="3:3">
      <c r="C879" s="192"/>
    </row>
    <row r="880" spans="3:3">
      <c r="C880" s="192"/>
    </row>
    <row r="881" spans="3:3">
      <c r="C881" s="192"/>
    </row>
    <row r="882" spans="3:3">
      <c r="C882" s="192"/>
    </row>
    <row r="883" spans="3:3">
      <c r="C883" s="192"/>
    </row>
    <row r="884" spans="3:3">
      <c r="C884" s="192"/>
    </row>
    <row r="885" spans="3:3">
      <c r="C885" s="192"/>
    </row>
    <row r="886" spans="3:3">
      <c r="C886" s="192"/>
    </row>
    <row r="887" spans="3:3">
      <c r="C887" s="192"/>
    </row>
    <row r="888" spans="3:3">
      <c r="C888" s="192"/>
    </row>
    <row r="889" spans="3:3">
      <c r="C889" s="192"/>
    </row>
    <row r="890" spans="3:3">
      <c r="C890" s="192"/>
    </row>
    <row r="891" spans="3:3">
      <c r="C891" s="192"/>
    </row>
    <row r="892" spans="3:3">
      <c r="C892" s="192"/>
    </row>
    <row r="893" spans="3:3">
      <c r="C893" s="192"/>
    </row>
    <row r="894" spans="3:3">
      <c r="C894" s="192"/>
    </row>
    <row r="895" spans="3:3">
      <c r="C895" s="192"/>
    </row>
    <row r="896" spans="3:3">
      <c r="C896" s="192"/>
    </row>
    <row r="897" spans="3:3">
      <c r="C897" s="192"/>
    </row>
    <row r="898" spans="3:3">
      <c r="C898" s="192"/>
    </row>
    <row r="899" spans="3:3">
      <c r="C899" s="192"/>
    </row>
    <row r="900" spans="3:3">
      <c r="C900" s="192"/>
    </row>
    <row r="901" spans="3:3">
      <c r="C901" s="192"/>
    </row>
    <row r="902" spans="3:3">
      <c r="C902" s="192"/>
    </row>
    <row r="903" spans="3:3">
      <c r="C903" s="192"/>
    </row>
    <row r="904" spans="3:3">
      <c r="C904" s="192"/>
    </row>
    <row r="905" spans="3:3">
      <c r="C905" s="192"/>
    </row>
    <row r="906" spans="3:3">
      <c r="C906" s="192"/>
    </row>
    <row r="907" spans="3:3">
      <c r="C907" s="192"/>
    </row>
    <row r="908" spans="3:3">
      <c r="C908" s="192"/>
    </row>
    <row r="909" spans="3:3">
      <c r="C909" s="192"/>
    </row>
    <row r="910" spans="3:3">
      <c r="C910" s="192"/>
    </row>
    <row r="911" spans="3:3">
      <c r="C911" s="192"/>
    </row>
    <row r="912" spans="3:3">
      <c r="C912" s="192"/>
    </row>
    <row r="913" spans="3:3">
      <c r="C913" s="192"/>
    </row>
    <row r="914" spans="3:3">
      <c r="C914" s="192"/>
    </row>
    <row r="915" spans="3:3">
      <c r="C915" s="192"/>
    </row>
    <row r="916" spans="3:3">
      <c r="C916" s="192"/>
    </row>
    <row r="917" spans="3:3">
      <c r="C917" s="192"/>
    </row>
    <row r="918" spans="3:3">
      <c r="C918" s="192"/>
    </row>
    <row r="919" spans="3:3">
      <c r="C919" s="192"/>
    </row>
    <row r="920" spans="3:3">
      <c r="C920" s="192"/>
    </row>
    <row r="921" spans="3:3">
      <c r="C921" s="192"/>
    </row>
    <row r="922" spans="3:3">
      <c r="C922" s="192"/>
    </row>
    <row r="923" spans="3:3">
      <c r="C923" s="192"/>
    </row>
    <row r="924" spans="3:3">
      <c r="C924" s="192"/>
    </row>
    <row r="925" spans="3:3">
      <c r="C925" s="192"/>
    </row>
    <row r="926" spans="3:3">
      <c r="C926" s="192"/>
    </row>
    <row r="927" spans="3:3">
      <c r="C927" s="192"/>
    </row>
    <row r="928" spans="3:3">
      <c r="C928" s="192"/>
    </row>
    <row r="929" spans="3:3">
      <c r="C929" s="192"/>
    </row>
    <row r="930" spans="3:3">
      <c r="C930" s="192"/>
    </row>
    <row r="931" spans="3:3">
      <c r="C931" s="192"/>
    </row>
    <row r="932" spans="3:3">
      <c r="C932" s="192"/>
    </row>
    <row r="933" spans="3:3">
      <c r="C933" s="192"/>
    </row>
    <row r="934" spans="3:3">
      <c r="C934" s="192"/>
    </row>
    <row r="935" spans="3:3">
      <c r="C935" s="192"/>
    </row>
    <row r="936" spans="3:3">
      <c r="C936" s="192"/>
    </row>
    <row r="937" spans="3:3">
      <c r="C937" s="192"/>
    </row>
    <row r="938" spans="3:3">
      <c r="C938" s="192"/>
    </row>
    <row r="939" spans="3:3">
      <c r="C939" s="192"/>
    </row>
    <row r="940" spans="3:3">
      <c r="C940" s="192"/>
    </row>
    <row r="941" spans="3:3">
      <c r="C941" s="192"/>
    </row>
    <row r="942" spans="3:3">
      <c r="C942" s="192"/>
    </row>
    <row r="943" spans="3:3">
      <c r="C943" s="192"/>
    </row>
    <row r="944" spans="3:3">
      <c r="C944" s="192"/>
    </row>
    <row r="945" spans="3:3">
      <c r="C945" s="192"/>
    </row>
    <row r="946" spans="3:3">
      <c r="C946" s="192"/>
    </row>
    <row r="947" spans="3:3">
      <c r="C947" s="192"/>
    </row>
    <row r="948" spans="3:3">
      <c r="C948" s="192"/>
    </row>
    <row r="949" spans="3:3">
      <c r="C949" s="192"/>
    </row>
    <row r="950" spans="3:3">
      <c r="C950" s="192"/>
    </row>
    <row r="951" spans="3:3">
      <c r="C951" s="192"/>
    </row>
    <row r="952" spans="3:3">
      <c r="C952" s="192"/>
    </row>
    <row r="953" spans="3:3">
      <c r="C953" s="192"/>
    </row>
    <row r="954" spans="3:3">
      <c r="C954" s="192"/>
    </row>
    <row r="955" spans="3:3">
      <c r="C955" s="192"/>
    </row>
    <row r="956" spans="3:3">
      <c r="C956" s="192"/>
    </row>
    <row r="957" spans="3:3">
      <c r="C957" s="192"/>
    </row>
    <row r="958" spans="3:3">
      <c r="C958" s="192"/>
    </row>
    <row r="959" spans="3:3">
      <c r="C959" s="192"/>
    </row>
    <row r="960" spans="3:3">
      <c r="C960" s="192"/>
    </row>
    <row r="961" spans="3:3">
      <c r="C961" s="192"/>
    </row>
    <row r="962" spans="3:3">
      <c r="C962" s="192"/>
    </row>
    <row r="963" spans="3:3">
      <c r="C963" s="192"/>
    </row>
    <row r="964" spans="3:3">
      <c r="C964" s="192"/>
    </row>
    <row r="965" spans="3:3">
      <c r="C965" s="192"/>
    </row>
    <row r="966" spans="3:3">
      <c r="C966" s="192"/>
    </row>
    <row r="967" spans="3:3">
      <c r="C967" s="192"/>
    </row>
    <row r="968" spans="3:3">
      <c r="C968" s="192"/>
    </row>
    <row r="969" spans="3:3">
      <c r="C969" s="192"/>
    </row>
    <row r="970" spans="3:3">
      <c r="C970" s="192"/>
    </row>
    <row r="971" spans="3:3">
      <c r="C971" s="192"/>
    </row>
    <row r="972" spans="3:3">
      <c r="C972" s="192"/>
    </row>
    <row r="973" spans="3:3">
      <c r="C973" s="192"/>
    </row>
    <row r="974" spans="3:3">
      <c r="C974" s="192"/>
    </row>
    <row r="975" spans="3:3">
      <c r="C975" s="192"/>
    </row>
    <row r="976" spans="3:3">
      <c r="C976" s="192"/>
    </row>
    <row r="977" spans="3:3">
      <c r="C977" s="192"/>
    </row>
    <row r="978" spans="3:3">
      <c r="C978" s="192"/>
    </row>
    <row r="979" spans="3:3">
      <c r="C979" s="192"/>
    </row>
    <row r="980" spans="3:3">
      <c r="C980" s="192"/>
    </row>
    <row r="981" spans="3:3">
      <c r="C981" s="192"/>
    </row>
    <row r="982" spans="3:3">
      <c r="C982" s="192"/>
    </row>
    <row r="983" spans="3:3">
      <c r="C983" s="192"/>
    </row>
    <row r="984" spans="3:3">
      <c r="C984" s="192"/>
    </row>
    <row r="985" spans="3:3">
      <c r="C985" s="192"/>
    </row>
    <row r="986" spans="3:3">
      <c r="C986" s="192"/>
    </row>
    <row r="987" spans="3:3">
      <c r="C987" s="192"/>
    </row>
    <row r="988" spans="3:3">
      <c r="C988" s="192"/>
    </row>
    <row r="989" spans="3:3">
      <c r="C989" s="192"/>
    </row>
    <row r="990" spans="3:3">
      <c r="C990" s="192"/>
    </row>
    <row r="991" spans="3:3">
      <c r="C991" s="192"/>
    </row>
    <row r="992" spans="3:3">
      <c r="C992" s="192"/>
    </row>
    <row r="993" spans="3:3">
      <c r="C993" s="192"/>
    </row>
    <row r="994" spans="3:3">
      <c r="C994" s="192"/>
    </row>
    <row r="995" spans="3:3">
      <c r="C995" s="192"/>
    </row>
    <row r="996" spans="3:3">
      <c r="C996" s="192"/>
    </row>
    <row r="997" spans="3:3">
      <c r="C997" s="192"/>
    </row>
    <row r="998" spans="3:3">
      <c r="C998" s="192"/>
    </row>
    <row r="999" spans="3:3">
      <c r="C999" s="192"/>
    </row>
    <row r="1000" spans="3:3">
      <c r="C1000" s="192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/>
  </sheetViews>
  <sheetFormatPr defaultColWidth="12.6640625" defaultRowHeight="15.75" customHeight="1"/>
  <cols>
    <col min="1" max="9" width="12.88671875" customWidth="1"/>
    <col min="10" max="10" width="14.21875" customWidth="1"/>
    <col min="11" max="28" width="12.88671875" customWidth="1"/>
  </cols>
  <sheetData>
    <row r="1" spans="1:28">
      <c r="A1" s="7" t="s">
        <v>1</v>
      </c>
      <c r="B1" s="10" t="s">
        <v>4</v>
      </c>
      <c r="C1" s="11" t="s">
        <v>6</v>
      </c>
      <c r="D1" s="10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0" t="s">
        <v>15</v>
      </c>
      <c r="J1" s="10" t="s">
        <v>16</v>
      </c>
      <c r="K1" s="14" t="s">
        <v>17</v>
      </c>
      <c r="L1" s="15"/>
      <c r="M1" s="261" t="s">
        <v>23</v>
      </c>
      <c r="N1" s="262"/>
      <c r="O1" s="22">
        <f>SUM(J2:J1000)-SUM(K2:K1000)</f>
        <v>11825.9967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>
      <c r="A2" s="27">
        <v>46214</v>
      </c>
      <c r="B2" s="30" t="s">
        <v>40</v>
      </c>
      <c r="C2" s="34">
        <f t="shared" ref="C2:C140" si="0">SUM(D2:I2)</f>
        <v>26.52</v>
      </c>
      <c r="D2" s="30">
        <v>26.52</v>
      </c>
      <c r="E2" s="30"/>
      <c r="F2" s="30"/>
      <c r="G2" s="30"/>
      <c r="H2" s="30"/>
      <c r="I2" s="30"/>
      <c r="J2" s="41">
        <f t="shared" ref="J2:J140" si="1">C2*150</f>
        <v>3978</v>
      </c>
      <c r="K2" s="30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28">
      <c r="A3" s="27">
        <v>46215</v>
      </c>
      <c r="B3" s="30" t="s">
        <v>58</v>
      </c>
      <c r="C3" s="34">
        <f t="shared" si="0"/>
        <v>0</v>
      </c>
      <c r="D3" s="30"/>
      <c r="E3" s="30"/>
      <c r="F3" s="30"/>
      <c r="G3" s="30"/>
      <c r="H3" s="30"/>
      <c r="I3" s="30"/>
      <c r="J3" s="41">
        <f t="shared" si="1"/>
        <v>0</v>
      </c>
      <c r="K3" s="30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 spans="1:28">
      <c r="A4" s="27">
        <v>46216</v>
      </c>
      <c r="B4" s="30" t="s">
        <v>61</v>
      </c>
      <c r="C4" s="34">
        <f t="shared" si="0"/>
        <v>0</v>
      </c>
      <c r="D4" s="30"/>
      <c r="E4" s="30"/>
      <c r="F4" s="30"/>
      <c r="G4" s="30"/>
      <c r="H4" s="30"/>
      <c r="I4" s="30"/>
      <c r="J4" s="41">
        <f t="shared" si="1"/>
        <v>0</v>
      </c>
      <c r="K4" s="30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28">
      <c r="A5" s="27">
        <v>46217</v>
      </c>
      <c r="B5" s="30" t="s">
        <v>68</v>
      </c>
      <c r="C5" s="34">
        <f t="shared" si="0"/>
        <v>7.3479780000000003</v>
      </c>
      <c r="D5" s="50">
        <v>7.3479780000000003</v>
      </c>
      <c r="E5" s="30"/>
      <c r="F5" s="30"/>
      <c r="G5" s="30"/>
      <c r="H5" s="30"/>
      <c r="I5" s="30"/>
      <c r="J5" s="41">
        <f t="shared" si="1"/>
        <v>1102.1967</v>
      </c>
      <c r="K5" s="30">
        <v>-225.3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 spans="1:28">
      <c r="A6" s="27">
        <v>46218</v>
      </c>
      <c r="B6" s="30" t="s">
        <v>83</v>
      </c>
      <c r="C6" s="34">
        <f t="shared" si="0"/>
        <v>7.83</v>
      </c>
      <c r="D6" s="30">
        <v>7.83</v>
      </c>
      <c r="E6" s="30"/>
      <c r="F6" s="30"/>
      <c r="G6" s="30"/>
      <c r="H6" s="30"/>
      <c r="I6" s="30"/>
      <c r="J6" s="41">
        <f t="shared" si="1"/>
        <v>1174.5</v>
      </c>
      <c r="K6" s="30">
        <v>6480</v>
      </c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1:28">
      <c r="A7" s="27">
        <v>46219</v>
      </c>
      <c r="B7" s="30" t="s">
        <v>91</v>
      </c>
      <c r="C7" s="34">
        <f t="shared" si="0"/>
        <v>6.33</v>
      </c>
      <c r="D7" s="57">
        <v>6.33</v>
      </c>
      <c r="E7" s="59"/>
      <c r="F7" s="59"/>
      <c r="G7" s="59"/>
      <c r="H7" s="59"/>
      <c r="I7" s="59"/>
      <c r="J7" s="41">
        <f t="shared" si="1"/>
        <v>949.5</v>
      </c>
      <c r="K7" s="59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 spans="1:28">
      <c r="A8" s="27">
        <v>46220</v>
      </c>
      <c r="B8" s="30" t="s">
        <v>44</v>
      </c>
      <c r="C8" s="34">
        <f t="shared" si="0"/>
        <v>0</v>
      </c>
      <c r="D8" s="60"/>
      <c r="E8" s="59"/>
      <c r="F8" s="59"/>
      <c r="G8" s="59"/>
      <c r="H8" s="59"/>
      <c r="I8" s="59"/>
      <c r="J8" s="41">
        <f t="shared" si="1"/>
        <v>0</v>
      </c>
      <c r="K8" s="59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</row>
    <row r="9" spans="1:28">
      <c r="A9" s="27">
        <v>46221</v>
      </c>
      <c r="B9" s="30" t="s">
        <v>40</v>
      </c>
      <c r="C9" s="34">
        <f t="shared" si="0"/>
        <v>0</v>
      </c>
      <c r="D9" s="59"/>
      <c r="E9" s="59"/>
      <c r="F9" s="59"/>
      <c r="G9" s="59"/>
      <c r="H9" s="59"/>
      <c r="I9" s="59"/>
      <c r="J9" s="41">
        <f t="shared" si="1"/>
        <v>0</v>
      </c>
      <c r="K9" s="59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>
      <c r="A10" s="27">
        <v>46222</v>
      </c>
      <c r="B10" s="30" t="s">
        <v>58</v>
      </c>
      <c r="C10" s="34">
        <f t="shared" si="0"/>
        <v>0</v>
      </c>
      <c r="D10" s="59"/>
      <c r="E10" s="59"/>
      <c r="F10" s="59"/>
      <c r="G10" s="59"/>
      <c r="H10" s="59"/>
      <c r="I10" s="59"/>
      <c r="J10" s="41">
        <f t="shared" si="1"/>
        <v>0</v>
      </c>
      <c r="K10" s="59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spans="1:28">
      <c r="A11" s="27">
        <v>46223</v>
      </c>
      <c r="B11" s="30" t="s">
        <v>61</v>
      </c>
      <c r="C11" s="34">
        <f t="shared" si="0"/>
        <v>0</v>
      </c>
      <c r="D11" s="59"/>
      <c r="E11" s="59"/>
      <c r="F11" s="59"/>
      <c r="G11" s="59"/>
      <c r="H11" s="59"/>
      <c r="I11" s="59"/>
      <c r="J11" s="41">
        <f t="shared" si="1"/>
        <v>0</v>
      </c>
      <c r="K11" s="59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 spans="1:28">
      <c r="A12" s="27">
        <v>46224</v>
      </c>
      <c r="B12" s="30" t="s">
        <v>68</v>
      </c>
      <c r="C12" s="34">
        <f t="shared" si="0"/>
        <v>0</v>
      </c>
      <c r="D12" s="59"/>
      <c r="E12" s="59"/>
      <c r="F12" s="59"/>
      <c r="G12" s="59"/>
      <c r="H12" s="59"/>
      <c r="I12" s="59"/>
      <c r="J12" s="41">
        <f t="shared" si="1"/>
        <v>0</v>
      </c>
      <c r="K12" s="59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 spans="1:28">
      <c r="A13" s="27">
        <v>46225</v>
      </c>
      <c r="B13" s="30" t="s">
        <v>83</v>
      </c>
      <c r="C13" s="34">
        <f t="shared" si="0"/>
        <v>0</v>
      </c>
      <c r="D13" s="59"/>
      <c r="E13" s="67"/>
      <c r="F13" s="59"/>
      <c r="G13" s="59"/>
      <c r="H13" s="59"/>
      <c r="I13" s="59"/>
      <c r="J13" s="41">
        <f t="shared" si="1"/>
        <v>0</v>
      </c>
      <c r="K13" s="59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spans="1:28">
      <c r="A14" s="27">
        <v>46226</v>
      </c>
      <c r="B14" s="30" t="s">
        <v>91</v>
      </c>
      <c r="C14" s="34">
        <f t="shared" si="0"/>
        <v>0</v>
      </c>
      <c r="D14" s="59"/>
      <c r="E14" s="59"/>
      <c r="F14" s="59"/>
      <c r="G14" s="59"/>
      <c r="H14" s="59"/>
      <c r="I14" s="59"/>
      <c r="J14" s="41">
        <f t="shared" si="1"/>
        <v>0</v>
      </c>
      <c r="K14" s="59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 spans="1:28">
      <c r="A15" s="27">
        <v>46227</v>
      </c>
      <c r="B15" s="30" t="s">
        <v>44</v>
      </c>
      <c r="C15" s="34">
        <f t="shared" si="0"/>
        <v>0</v>
      </c>
      <c r="D15" s="59"/>
      <c r="E15" s="59"/>
      <c r="F15" s="59"/>
      <c r="G15" s="59"/>
      <c r="H15" s="59"/>
      <c r="I15" s="59"/>
      <c r="J15" s="41">
        <f t="shared" si="1"/>
        <v>0</v>
      </c>
      <c r="K15" s="59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 spans="1:28">
      <c r="A16" s="27">
        <v>46228</v>
      </c>
      <c r="B16" s="30" t="s">
        <v>40</v>
      </c>
      <c r="C16" s="34">
        <f t="shared" si="0"/>
        <v>0</v>
      </c>
      <c r="D16" s="59"/>
      <c r="E16" s="59"/>
      <c r="F16" s="59"/>
      <c r="G16" s="59"/>
      <c r="H16" s="59"/>
      <c r="I16" s="59"/>
      <c r="J16" s="41">
        <f t="shared" si="1"/>
        <v>0</v>
      </c>
      <c r="K16" s="59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 spans="1:28">
      <c r="A17" s="27">
        <v>46229</v>
      </c>
      <c r="B17" s="30" t="s">
        <v>58</v>
      </c>
      <c r="C17" s="34">
        <f t="shared" si="0"/>
        <v>0</v>
      </c>
      <c r="D17" s="59"/>
      <c r="E17" s="67"/>
      <c r="F17" s="67"/>
      <c r="G17" s="59"/>
      <c r="H17" s="59"/>
      <c r="I17" s="59"/>
      <c r="J17" s="41">
        <f t="shared" si="1"/>
        <v>0</v>
      </c>
      <c r="K17" s="59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</row>
    <row r="18" spans="1:28">
      <c r="A18" s="27">
        <v>46230</v>
      </c>
      <c r="B18" s="30" t="s">
        <v>61</v>
      </c>
      <c r="C18" s="34">
        <f t="shared" si="0"/>
        <v>0</v>
      </c>
      <c r="D18" s="59"/>
      <c r="E18" s="59"/>
      <c r="F18" s="59"/>
      <c r="G18" s="59"/>
      <c r="H18" s="59"/>
      <c r="I18" s="59"/>
      <c r="J18" s="41">
        <f t="shared" si="1"/>
        <v>0</v>
      </c>
      <c r="K18" s="59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 spans="1:28">
      <c r="A19" s="27">
        <v>46231</v>
      </c>
      <c r="B19" s="30" t="s">
        <v>68</v>
      </c>
      <c r="C19" s="34">
        <f t="shared" si="0"/>
        <v>0</v>
      </c>
      <c r="D19" s="59"/>
      <c r="E19" s="59"/>
      <c r="F19" s="59"/>
      <c r="G19" s="59"/>
      <c r="H19" s="59"/>
      <c r="I19" s="59"/>
      <c r="J19" s="41">
        <f t="shared" si="1"/>
        <v>0</v>
      </c>
      <c r="K19" s="59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 spans="1:28">
      <c r="A20" s="27">
        <v>46232</v>
      </c>
      <c r="B20" s="30" t="s">
        <v>83</v>
      </c>
      <c r="C20" s="34">
        <f t="shared" si="0"/>
        <v>0</v>
      </c>
      <c r="D20" s="67"/>
      <c r="E20" s="67"/>
      <c r="F20" s="59"/>
      <c r="G20" s="59"/>
      <c r="H20" s="59"/>
      <c r="I20" s="59"/>
      <c r="J20" s="41">
        <f t="shared" si="1"/>
        <v>0</v>
      </c>
      <c r="K20" s="59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</row>
    <row r="21" spans="1:28">
      <c r="A21" s="27">
        <v>46233</v>
      </c>
      <c r="B21" s="30" t="s">
        <v>91</v>
      </c>
      <c r="C21" s="34">
        <f t="shared" si="0"/>
        <v>0</v>
      </c>
      <c r="D21" s="59"/>
      <c r="E21" s="59"/>
      <c r="F21" s="59"/>
      <c r="G21" s="59"/>
      <c r="H21" s="59"/>
      <c r="I21" s="59"/>
      <c r="J21" s="41">
        <f t="shared" si="1"/>
        <v>0</v>
      </c>
      <c r="K21" s="59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</row>
    <row r="22" spans="1:28">
      <c r="A22" s="27">
        <v>46234</v>
      </c>
      <c r="B22" s="30" t="s">
        <v>44</v>
      </c>
      <c r="C22" s="34">
        <f t="shared" si="0"/>
        <v>0</v>
      </c>
      <c r="D22" s="59"/>
      <c r="E22" s="59"/>
      <c r="F22" s="59"/>
      <c r="G22" s="59"/>
      <c r="H22" s="59"/>
      <c r="I22" s="59"/>
      <c r="J22" s="41">
        <f t="shared" si="1"/>
        <v>0</v>
      </c>
      <c r="K22" s="59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 spans="1:28">
      <c r="A23" s="27">
        <v>46235</v>
      </c>
      <c r="B23" s="30" t="s">
        <v>40</v>
      </c>
      <c r="C23" s="34">
        <f t="shared" si="0"/>
        <v>20.239999999999998</v>
      </c>
      <c r="D23" s="59">
        <v>20.239999999999998</v>
      </c>
      <c r="E23" s="59"/>
      <c r="F23" s="59"/>
      <c r="G23" s="59"/>
      <c r="H23" s="59"/>
      <c r="I23" s="59"/>
      <c r="J23" s="41">
        <f t="shared" si="1"/>
        <v>3035.9999999999995</v>
      </c>
      <c r="K23" s="59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</row>
    <row r="24" spans="1:28">
      <c r="A24" s="27">
        <v>46236</v>
      </c>
      <c r="B24" s="30" t="s">
        <v>58</v>
      </c>
      <c r="C24" s="34">
        <f t="shared" si="0"/>
        <v>0</v>
      </c>
      <c r="D24" s="59"/>
      <c r="E24" s="59"/>
      <c r="F24" s="59"/>
      <c r="G24" s="59"/>
      <c r="H24" s="59"/>
      <c r="I24" s="59"/>
      <c r="J24" s="41">
        <f t="shared" si="1"/>
        <v>0</v>
      </c>
      <c r="K24" s="59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</row>
    <row r="25" spans="1:28">
      <c r="A25" s="27">
        <v>46237</v>
      </c>
      <c r="B25" s="30" t="s">
        <v>61</v>
      </c>
      <c r="C25" s="34">
        <f t="shared" si="0"/>
        <v>52.27</v>
      </c>
      <c r="D25" s="67">
        <v>52.27</v>
      </c>
      <c r="E25" s="59" t="s">
        <v>249</v>
      </c>
      <c r="F25" s="59"/>
      <c r="G25" s="59"/>
      <c r="H25" s="59"/>
      <c r="I25" s="59"/>
      <c r="J25" s="41">
        <f t="shared" si="1"/>
        <v>7840.5000000000009</v>
      </c>
      <c r="K25" s="59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spans="1:28">
      <c r="A26" s="27">
        <v>46238</v>
      </c>
      <c r="B26" s="30" t="s">
        <v>68</v>
      </c>
      <c r="C26" s="34">
        <f t="shared" si="0"/>
        <v>0</v>
      </c>
      <c r="D26" s="59"/>
      <c r="E26" s="59"/>
      <c r="F26" s="59"/>
      <c r="G26" s="59"/>
      <c r="H26" s="59"/>
      <c r="I26" s="59"/>
      <c r="J26" s="41">
        <f t="shared" si="1"/>
        <v>0</v>
      </c>
      <c r="K26" s="59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 spans="1:28">
      <c r="A27" s="27">
        <v>46239</v>
      </c>
      <c r="B27" s="30" t="s">
        <v>83</v>
      </c>
      <c r="C27" s="34">
        <f t="shared" si="0"/>
        <v>0</v>
      </c>
      <c r="D27" s="59"/>
      <c r="E27" s="59"/>
      <c r="F27" s="59"/>
      <c r="G27" s="59"/>
      <c r="H27" s="59"/>
      <c r="I27" s="59"/>
      <c r="J27" s="41">
        <f t="shared" si="1"/>
        <v>0</v>
      </c>
      <c r="K27" s="59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</row>
    <row r="28" spans="1:28">
      <c r="A28" s="27">
        <v>46240</v>
      </c>
      <c r="B28" s="30" t="s">
        <v>91</v>
      </c>
      <c r="C28" s="34">
        <f t="shared" si="0"/>
        <v>0</v>
      </c>
      <c r="D28" s="59"/>
      <c r="E28" s="59"/>
      <c r="F28" s="59"/>
      <c r="G28" s="59"/>
      <c r="H28" s="59"/>
      <c r="I28" s="59"/>
      <c r="J28" s="41">
        <f t="shared" si="1"/>
        <v>0</v>
      </c>
      <c r="K28" s="59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 spans="1:28">
      <c r="A29" s="27">
        <v>46241</v>
      </c>
      <c r="B29" s="30" t="s">
        <v>44</v>
      </c>
      <c r="C29" s="34">
        <f t="shared" si="0"/>
        <v>0</v>
      </c>
      <c r="D29" s="59"/>
      <c r="E29" s="59"/>
      <c r="F29" s="59"/>
      <c r="G29" s="59"/>
      <c r="H29" s="59"/>
      <c r="I29" s="59"/>
      <c r="J29" s="41">
        <f t="shared" si="1"/>
        <v>0</v>
      </c>
      <c r="K29" s="59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 spans="1:28">
      <c r="A30" s="27">
        <v>46242</v>
      </c>
      <c r="B30" s="30" t="s">
        <v>40</v>
      </c>
      <c r="C30" s="34">
        <f t="shared" si="0"/>
        <v>0</v>
      </c>
      <c r="D30" s="59"/>
      <c r="E30" s="67"/>
      <c r="F30" s="67"/>
      <c r="G30" s="59"/>
      <c r="H30" s="59"/>
      <c r="I30" s="59"/>
      <c r="J30" s="41">
        <f t="shared" si="1"/>
        <v>0</v>
      </c>
      <c r="K30" s="59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 spans="1:28">
      <c r="A31" s="27">
        <v>46243</v>
      </c>
      <c r="B31" s="30" t="s">
        <v>58</v>
      </c>
      <c r="C31" s="34">
        <f t="shared" si="0"/>
        <v>0</v>
      </c>
      <c r="D31" s="78"/>
      <c r="E31" s="67"/>
      <c r="F31" s="67"/>
      <c r="G31" s="59"/>
      <c r="H31" s="59"/>
      <c r="I31" s="59"/>
      <c r="J31" s="41">
        <f t="shared" si="1"/>
        <v>0</v>
      </c>
      <c r="K31" s="59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</row>
    <row r="32" spans="1:28">
      <c r="A32" s="27">
        <v>46244</v>
      </c>
      <c r="B32" s="30" t="s">
        <v>61</v>
      </c>
      <c r="C32" s="34">
        <f t="shared" si="0"/>
        <v>0</v>
      </c>
      <c r="D32" s="59"/>
      <c r="E32" s="59"/>
      <c r="F32" s="59"/>
      <c r="G32" s="59"/>
      <c r="H32" s="59"/>
      <c r="I32" s="59"/>
      <c r="J32" s="41">
        <f t="shared" si="1"/>
        <v>0</v>
      </c>
      <c r="K32" s="59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 spans="1:28">
      <c r="A33" s="27">
        <v>46245</v>
      </c>
      <c r="B33" s="30" t="s">
        <v>68</v>
      </c>
      <c r="C33" s="34">
        <f t="shared" si="0"/>
        <v>0</v>
      </c>
      <c r="D33" s="59"/>
      <c r="E33" s="59"/>
      <c r="F33" s="59"/>
      <c r="G33" s="59"/>
      <c r="H33" s="59"/>
      <c r="I33" s="59"/>
      <c r="J33" s="41">
        <f t="shared" si="1"/>
        <v>0</v>
      </c>
      <c r="K33" s="59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</row>
    <row r="34" spans="1:28">
      <c r="A34" s="27">
        <v>46246</v>
      </c>
      <c r="B34" s="30" t="s">
        <v>83</v>
      </c>
      <c r="C34" s="34">
        <f t="shared" si="0"/>
        <v>0</v>
      </c>
      <c r="D34" s="59"/>
      <c r="E34" s="67"/>
      <c r="F34" s="59"/>
      <c r="G34" s="59"/>
      <c r="H34" s="59"/>
      <c r="I34" s="59"/>
      <c r="J34" s="41">
        <f t="shared" si="1"/>
        <v>0</v>
      </c>
      <c r="K34" s="59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</row>
    <row r="35" spans="1:28">
      <c r="A35" s="27">
        <v>46247</v>
      </c>
      <c r="B35" s="30" t="s">
        <v>91</v>
      </c>
      <c r="C35" s="34">
        <f t="shared" si="0"/>
        <v>0</v>
      </c>
      <c r="D35" s="59"/>
      <c r="E35" s="59"/>
      <c r="F35" s="59"/>
      <c r="G35" s="59"/>
      <c r="H35" s="59"/>
      <c r="I35" s="59"/>
      <c r="J35" s="41">
        <f t="shared" si="1"/>
        <v>0</v>
      </c>
      <c r="K35" s="59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 spans="1:28">
      <c r="A36" s="27">
        <v>46248</v>
      </c>
      <c r="B36" s="30" t="s">
        <v>44</v>
      </c>
      <c r="C36" s="34">
        <f t="shared" si="0"/>
        <v>0</v>
      </c>
      <c r="D36" s="59"/>
      <c r="E36" s="59"/>
      <c r="F36" s="59"/>
      <c r="G36" s="59"/>
      <c r="H36" s="59"/>
      <c r="I36" s="59"/>
      <c r="J36" s="41">
        <f t="shared" si="1"/>
        <v>0</v>
      </c>
      <c r="K36" s="59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</row>
    <row r="37" spans="1:28">
      <c r="A37" s="27">
        <v>46249</v>
      </c>
      <c r="B37" s="30" t="s">
        <v>40</v>
      </c>
      <c r="C37" s="34">
        <f t="shared" si="0"/>
        <v>0</v>
      </c>
      <c r="D37" s="59"/>
      <c r="E37" s="59"/>
      <c r="F37" s="59"/>
      <c r="G37" s="59"/>
      <c r="H37" s="59"/>
      <c r="I37" s="59"/>
      <c r="J37" s="41">
        <f t="shared" si="1"/>
        <v>0</v>
      </c>
      <c r="K37" s="59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spans="1:28">
      <c r="A38" s="27">
        <v>46250</v>
      </c>
      <c r="B38" s="30" t="s">
        <v>58</v>
      </c>
      <c r="C38" s="34">
        <f t="shared" si="0"/>
        <v>0</v>
      </c>
      <c r="D38" s="59"/>
      <c r="E38" s="59"/>
      <c r="F38" s="59"/>
      <c r="G38" s="59"/>
      <c r="H38" s="59"/>
      <c r="I38" s="59"/>
      <c r="J38" s="41">
        <f t="shared" si="1"/>
        <v>0</v>
      </c>
      <c r="K38" s="59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spans="1:28">
      <c r="A39" s="27">
        <v>46251</v>
      </c>
      <c r="B39" s="30" t="s">
        <v>61</v>
      </c>
      <c r="C39" s="34">
        <f t="shared" si="0"/>
        <v>0</v>
      </c>
      <c r="D39" s="59"/>
      <c r="E39" s="59"/>
      <c r="F39" s="59"/>
      <c r="G39" s="59"/>
      <c r="H39" s="59"/>
      <c r="I39" s="59"/>
      <c r="J39" s="41">
        <f t="shared" si="1"/>
        <v>0</v>
      </c>
      <c r="K39" s="59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spans="1:28">
      <c r="A40" s="27">
        <v>46252</v>
      </c>
      <c r="B40" s="30" t="s">
        <v>68</v>
      </c>
      <c r="C40" s="34">
        <f t="shared" si="0"/>
        <v>0</v>
      </c>
      <c r="D40" s="59"/>
      <c r="E40" s="59"/>
      <c r="F40" s="59"/>
      <c r="G40" s="59"/>
      <c r="H40" s="59"/>
      <c r="I40" s="59"/>
      <c r="J40" s="41">
        <f t="shared" si="1"/>
        <v>0</v>
      </c>
      <c r="K40" s="59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spans="1:28">
      <c r="A41" s="27">
        <v>46253</v>
      </c>
      <c r="B41" s="30" t="s">
        <v>83</v>
      </c>
      <c r="C41" s="34">
        <f t="shared" si="0"/>
        <v>0</v>
      </c>
      <c r="D41" s="59"/>
      <c r="E41" s="59"/>
      <c r="F41" s="59"/>
      <c r="G41" s="59"/>
      <c r="H41" s="59"/>
      <c r="I41" s="59"/>
      <c r="J41" s="41">
        <f t="shared" si="1"/>
        <v>0</v>
      </c>
      <c r="K41" s="59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 spans="1:28">
      <c r="A42" s="27">
        <v>46254</v>
      </c>
      <c r="B42" s="30" t="s">
        <v>91</v>
      </c>
      <c r="C42" s="34">
        <f t="shared" si="0"/>
        <v>0</v>
      </c>
      <c r="D42" s="59"/>
      <c r="E42" s="59"/>
      <c r="F42" s="59"/>
      <c r="G42" s="59"/>
      <c r="H42" s="59"/>
      <c r="I42" s="59"/>
      <c r="J42" s="41">
        <f t="shared" si="1"/>
        <v>0</v>
      </c>
      <c r="K42" s="59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 spans="1:28">
      <c r="A43" s="27">
        <v>46255</v>
      </c>
      <c r="B43" s="30" t="s">
        <v>44</v>
      </c>
      <c r="C43" s="34">
        <f t="shared" si="0"/>
        <v>0</v>
      </c>
      <c r="D43" s="59"/>
      <c r="E43" s="67"/>
      <c r="F43" s="59"/>
      <c r="G43" s="59"/>
      <c r="H43" s="59"/>
      <c r="I43" s="59"/>
      <c r="J43" s="41">
        <f t="shared" si="1"/>
        <v>0</v>
      </c>
      <c r="K43" s="59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spans="1:28">
      <c r="A44" s="27">
        <v>46256</v>
      </c>
      <c r="B44" s="30" t="s">
        <v>40</v>
      </c>
      <c r="C44" s="34">
        <f t="shared" si="0"/>
        <v>0</v>
      </c>
      <c r="D44" s="67"/>
      <c r="E44" s="67"/>
      <c r="F44" s="59"/>
      <c r="G44" s="59"/>
      <c r="H44" s="59"/>
      <c r="I44" s="59"/>
      <c r="J44" s="41">
        <f t="shared" si="1"/>
        <v>0</v>
      </c>
      <c r="K44" s="59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 spans="1:28">
      <c r="A45" s="27">
        <v>46257</v>
      </c>
      <c r="B45" s="30" t="s">
        <v>58</v>
      </c>
      <c r="C45" s="34">
        <f t="shared" si="0"/>
        <v>0</v>
      </c>
      <c r="D45" s="59"/>
      <c r="E45" s="59"/>
      <c r="F45" s="59"/>
      <c r="G45" s="59"/>
      <c r="H45" s="59"/>
      <c r="I45" s="59"/>
      <c r="J45" s="41">
        <f t="shared" si="1"/>
        <v>0</v>
      </c>
      <c r="K45" s="59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>
      <c r="A46" s="27">
        <v>46258</v>
      </c>
      <c r="B46" s="30" t="s">
        <v>61</v>
      </c>
      <c r="C46" s="34">
        <f t="shared" si="0"/>
        <v>0</v>
      </c>
      <c r="D46" s="59"/>
      <c r="E46" s="59"/>
      <c r="F46" s="59"/>
      <c r="G46" s="59"/>
      <c r="H46" s="59"/>
      <c r="I46" s="59"/>
      <c r="J46" s="41">
        <f t="shared" si="1"/>
        <v>0</v>
      </c>
      <c r="K46" s="59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>
      <c r="A47" s="27">
        <v>46259</v>
      </c>
      <c r="B47" s="30" t="s">
        <v>68</v>
      </c>
      <c r="C47" s="34">
        <f t="shared" si="0"/>
        <v>0</v>
      </c>
      <c r="D47" s="59"/>
      <c r="E47" s="59"/>
      <c r="F47" s="59"/>
      <c r="G47" s="59"/>
      <c r="H47" s="59"/>
      <c r="I47" s="59"/>
      <c r="J47" s="41">
        <f t="shared" si="1"/>
        <v>0</v>
      </c>
      <c r="K47" s="59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 spans="1:28">
      <c r="A48" s="27">
        <v>46260</v>
      </c>
      <c r="B48" s="30" t="s">
        <v>83</v>
      </c>
      <c r="C48" s="34">
        <f t="shared" si="0"/>
        <v>0</v>
      </c>
      <c r="D48" s="59"/>
      <c r="E48" s="67"/>
      <c r="F48" s="59"/>
      <c r="G48" s="59"/>
      <c r="H48" s="59"/>
      <c r="I48" s="59"/>
      <c r="J48" s="41">
        <f t="shared" si="1"/>
        <v>0</v>
      </c>
      <c r="K48" s="59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spans="1:28">
      <c r="A49" s="27">
        <v>46261</v>
      </c>
      <c r="B49" s="30" t="s">
        <v>91</v>
      </c>
      <c r="C49" s="34">
        <f t="shared" si="0"/>
        <v>0</v>
      </c>
      <c r="D49" s="67"/>
      <c r="E49" s="59"/>
      <c r="F49" s="59"/>
      <c r="G49" s="59"/>
      <c r="H49" s="59"/>
      <c r="I49" s="59"/>
      <c r="J49" s="41">
        <f t="shared" si="1"/>
        <v>0</v>
      </c>
      <c r="K49" s="59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 spans="1:28">
      <c r="A50" s="27">
        <v>46262</v>
      </c>
      <c r="B50" s="30" t="s">
        <v>44</v>
      </c>
      <c r="C50" s="34">
        <f t="shared" si="0"/>
        <v>0</v>
      </c>
      <c r="D50" s="59"/>
      <c r="E50" s="59"/>
      <c r="F50" s="59"/>
      <c r="G50" s="59"/>
      <c r="H50" s="59"/>
      <c r="I50" s="59"/>
      <c r="J50" s="41">
        <f t="shared" si="1"/>
        <v>0</v>
      </c>
      <c r="K50" s="59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spans="1:28">
      <c r="A51" s="27">
        <v>46263</v>
      </c>
      <c r="B51" s="30" t="s">
        <v>40</v>
      </c>
      <c r="C51" s="34">
        <f t="shared" si="0"/>
        <v>0</v>
      </c>
      <c r="D51" s="59"/>
      <c r="E51" s="67"/>
      <c r="F51" s="59"/>
      <c r="G51" s="59"/>
      <c r="H51" s="59"/>
      <c r="I51" s="59"/>
      <c r="J51" s="41">
        <f t="shared" si="1"/>
        <v>0</v>
      </c>
      <c r="K51" s="59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spans="1:28">
      <c r="A52" s="27">
        <v>46264</v>
      </c>
      <c r="B52" s="30" t="s">
        <v>58</v>
      </c>
      <c r="C52" s="34">
        <f t="shared" si="0"/>
        <v>0</v>
      </c>
      <c r="D52" s="59"/>
      <c r="E52" s="67"/>
      <c r="F52" s="59"/>
      <c r="G52" s="59"/>
      <c r="H52" s="59"/>
      <c r="I52" s="59"/>
      <c r="J52" s="41">
        <f t="shared" si="1"/>
        <v>0</v>
      </c>
      <c r="K52" s="59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 spans="1:28">
      <c r="A53" s="27">
        <v>46265</v>
      </c>
      <c r="B53" s="30" t="s">
        <v>61</v>
      </c>
      <c r="C53" s="34">
        <f t="shared" si="0"/>
        <v>0</v>
      </c>
      <c r="D53" s="59"/>
      <c r="E53" s="59"/>
      <c r="F53" s="59"/>
      <c r="G53" s="59"/>
      <c r="H53" s="59"/>
      <c r="I53" s="59"/>
      <c r="J53" s="41">
        <f t="shared" si="1"/>
        <v>0</v>
      </c>
      <c r="K53" s="59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spans="1:28">
      <c r="A54" s="27">
        <v>46266</v>
      </c>
      <c r="B54" s="30" t="s">
        <v>68</v>
      </c>
      <c r="C54" s="34">
        <f t="shared" si="0"/>
        <v>0</v>
      </c>
      <c r="D54" s="59"/>
      <c r="E54" s="59"/>
      <c r="F54" s="59"/>
      <c r="G54" s="59"/>
      <c r="H54" s="59"/>
      <c r="I54" s="59"/>
      <c r="J54" s="41">
        <f t="shared" si="1"/>
        <v>0</v>
      </c>
      <c r="K54" s="59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spans="1:28">
      <c r="A55" s="27">
        <v>46267</v>
      </c>
      <c r="B55" s="30" t="s">
        <v>83</v>
      </c>
      <c r="C55" s="34">
        <f t="shared" si="0"/>
        <v>0</v>
      </c>
      <c r="D55" s="59"/>
      <c r="E55" s="67"/>
      <c r="F55" s="59"/>
      <c r="G55" s="59"/>
      <c r="H55" s="59"/>
      <c r="I55" s="59"/>
      <c r="J55" s="41">
        <f t="shared" si="1"/>
        <v>0</v>
      </c>
      <c r="K55" s="59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spans="1:28">
      <c r="A56" s="27">
        <v>46268</v>
      </c>
      <c r="B56" s="30" t="s">
        <v>91</v>
      </c>
      <c r="C56" s="34">
        <f t="shared" si="0"/>
        <v>0</v>
      </c>
      <c r="D56" s="59"/>
      <c r="E56" s="59"/>
      <c r="F56" s="59"/>
      <c r="G56" s="59"/>
      <c r="H56" s="59"/>
      <c r="I56" s="59"/>
      <c r="J56" s="41">
        <f t="shared" si="1"/>
        <v>0</v>
      </c>
      <c r="K56" s="59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spans="1:28">
      <c r="A57" s="27">
        <v>46269</v>
      </c>
      <c r="B57" s="30" t="s">
        <v>44</v>
      </c>
      <c r="C57" s="34">
        <f t="shared" si="0"/>
        <v>0</v>
      </c>
      <c r="D57" s="59"/>
      <c r="E57" s="59"/>
      <c r="F57" s="59"/>
      <c r="G57" s="59"/>
      <c r="H57" s="59"/>
      <c r="I57" s="59"/>
      <c r="J57" s="41">
        <f t="shared" si="1"/>
        <v>0</v>
      </c>
      <c r="K57" s="59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spans="1:28">
      <c r="A58" s="27">
        <v>46270</v>
      </c>
      <c r="B58" s="30" t="s">
        <v>40</v>
      </c>
      <c r="C58" s="34">
        <f t="shared" si="0"/>
        <v>0</v>
      </c>
      <c r="D58" s="59"/>
      <c r="E58" s="59"/>
      <c r="F58" s="59"/>
      <c r="G58" s="59"/>
      <c r="H58" s="59"/>
      <c r="I58" s="59"/>
      <c r="J58" s="41">
        <f t="shared" si="1"/>
        <v>0</v>
      </c>
      <c r="K58" s="59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>
      <c r="A59" s="27">
        <v>46271</v>
      </c>
      <c r="B59" s="30" t="s">
        <v>58</v>
      </c>
      <c r="C59" s="34">
        <f t="shared" si="0"/>
        <v>0</v>
      </c>
      <c r="D59" s="59"/>
      <c r="E59" s="67"/>
      <c r="F59" s="59"/>
      <c r="G59" s="59"/>
      <c r="H59" s="59"/>
      <c r="I59" s="59"/>
      <c r="J59" s="41">
        <f t="shared" si="1"/>
        <v>0</v>
      </c>
      <c r="K59" s="59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spans="1:28">
      <c r="A60" s="27">
        <v>46272</v>
      </c>
      <c r="B60" s="30" t="s">
        <v>61</v>
      </c>
      <c r="C60" s="34">
        <f t="shared" si="0"/>
        <v>0</v>
      </c>
      <c r="D60" s="59"/>
      <c r="E60" s="59"/>
      <c r="F60" s="59"/>
      <c r="G60" s="59"/>
      <c r="H60" s="59"/>
      <c r="I60" s="59"/>
      <c r="J60" s="41">
        <f t="shared" si="1"/>
        <v>0</v>
      </c>
      <c r="K60" s="59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spans="1:28">
      <c r="A61" s="27">
        <v>46273</v>
      </c>
      <c r="B61" s="30" t="s">
        <v>68</v>
      </c>
      <c r="C61" s="34">
        <f t="shared" si="0"/>
        <v>0</v>
      </c>
      <c r="D61" s="59"/>
      <c r="E61" s="59"/>
      <c r="F61" s="59"/>
      <c r="G61" s="59"/>
      <c r="H61" s="59"/>
      <c r="I61" s="59"/>
      <c r="J61" s="41">
        <f t="shared" si="1"/>
        <v>0</v>
      </c>
      <c r="K61" s="59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 spans="1:28">
      <c r="A62" s="27">
        <v>46274</v>
      </c>
      <c r="B62" s="30" t="s">
        <v>83</v>
      </c>
      <c r="C62" s="34">
        <f t="shared" si="0"/>
        <v>0</v>
      </c>
      <c r="D62" s="59"/>
      <c r="E62" s="59"/>
      <c r="F62" s="59"/>
      <c r="G62" s="59"/>
      <c r="H62" s="59"/>
      <c r="I62" s="59"/>
      <c r="J62" s="41">
        <f t="shared" si="1"/>
        <v>0</v>
      </c>
      <c r="K62" s="59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spans="1:28">
      <c r="A63" s="27">
        <v>46275</v>
      </c>
      <c r="B63" s="30" t="s">
        <v>91</v>
      </c>
      <c r="C63" s="34">
        <f t="shared" si="0"/>
        <v>0</v>
      </c>
      <c r="D63" s="59"/>
      <c r="E63" s="67"/>
      <c r="F63" s="43"/>
      <c r="G63" s="59"/>
      <c r="H63" s="59"/>
      <c r="I63" s="59"/>
      <c r="J63" s="41">
        <f t="shared" si="1"/>
        <v>0</v>
      </c>
      <c r="K63" s="59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spans="1:28">
      <c r="A64" s="27">
        <v>46276</v>
      </c>
      <c r="B64" s="30" t="s">
        <v>44</v>
      </c>
      <c r="C64" s="34">
        <f t="shared" si="0"/>
        <v>0</v>
      </c>
      <c r="D64" s="67"/>
      <c r="E64" s="59"/>
      <c r="F64" s="59"/>
      <c r="G64" s="59"/>
      <c r="H64" s="59"/>
      <c r="I64" s="59"/>
      <c r="J64" s="41">
        <f t="shared" si="1"/>
        <v>0</v>
      </c>
      <c r="K64" s="59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spans="1:28">
      <c r="A65" s="27">
        <v>46277</v>
      </c>
      <c r="B65" s="30" t="s">
        <v>40</v>
      </c>
      <c r="C65" s="34">
        <f t="shared" si="0"/>
        <v>0</v>
      </c>
      <c r="D65" s="59"/>
      <c r="E65" s="67"/>
      <c r="F65" s="59"/>
      <c r="G65" s="59"/>
      <c r="H65" s="59"/>
      <c r="I65" s="59"/>
      <c r="J65" s="41">
        <f t="shared" si="1"/>
        <v>0</v>
      </c>
      <c r="K65" s="59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spans="1:28">
      <c r="A66" s="27">
        <v>46278</v>
      </c>
      <c r="B66" s="30" t="s">
        <v>58</v>
      </c>
      <c r="C66" s="34">
        <f t="shared" si="0"/>
        <v>0</v>
      </c>
      <c r="D66" s="59"/>
      <c r="E66" s="67"/>
      <c r="F66" s="59"/>
      <c r="G66" s="59"/>
      <c r="H66" s="59"/>
      <c r="I66" s="59"/>
      <c r="J66" s="41">
        <f t="shared" si="1"/>
        <v>0</v>
      </c>
      <c r="K66" s="59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 spans="1:28">
      <c r="A67" s="27">
        <v>46279</v>
      </c>
      <c r="B67" s="30" t="s">
        <v>61</v>
      </c>
      <c r="C67" s="34">
        <f t="shared" si="0"/>
        <v>0</v>
      </c>
      <c r="D67" s="59"/>
      <c r="E67" s="59"/>
      <c r="F67" s="59"/>
      <c r="G67" s="59"/>
      <c r="H67" s="59"/>
      <c r="I67" s="59"/>
      <c r="J67" s="41">
        <f t="shared" si="1"/>
        <v>0</v>
      </c>
      <c r="K67" s="59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spans="1:28">
      <c r="A68" s="27">
        <v>46280</v>
      </c>
      <c r="B68" s="30" t="s">
        <v>68</v>
      </c>
      <c r="C68" s="34">
        <f t="shared" si="0"/>
        <v>0</v>
      </c>
      <c r="D68" s="59"/>
      <c r="E68" s="59"/>
      <c r="F68" s="59"/>
      <c r="G68" s="59"/>
      <c r="H68" s="59"/>
      <c r="I68" s="59"/>
      <c r="J68" s="41">
        <f t="shared" si="1"/>
        <v>0</v>
      </c>
      <c r="K68" s="59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 spans="1:28">
      <c r="A69" s="27">
        <v>46281</v>
      </c>
      <c r="B69" s="30" t="s">
        <v>83</v>
      </c>
      <c r="C69" s="34">
        <f t="shared" si="0"/>
        <v>0</v>
      </c>
      <c r="D69" s="59"/>
      <c r="E69" s="59"/>
      <c r="F69" s="59"/>
      <c r="G69" s="59"/>
      <c r="H69" s="59"/>
      <c r="I69" s="59"/>
      <c r="J69" s="41">
        <f t="shared" si="1"/>
        <v>0</v>
      </c>
      <c r="K69" s="59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 spans="1:28">
      <c r="A70" s="27">
        <v>46282</v>
      </c>
      <c r="B70" s="30" t="s">
        <v>91</v>
      </c>
      <c r="C70" s="34">
        <f t="shared" si="0"/>
        <v>0</v>
      </c>
      <c r="D70" s="59"/>
      <c r="E70" s="59"/>
      <c r="F70" s="59"/>
      <c r="G70" s="59"/>
      <c r="H70" s="59"/>
      <c r="I70" s="59"/>
      <c r="J70" s="41">
        <f t="shared" si="1"/>
        <v>0</v>
      </c>
      <c r="K70" s="59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spans="1:28">
      <c r="A71" s="27">
        <v>46283</v>
      </c>
      <c r="B71" s="30" t="s">
        <v>44</v>
      </c>
      <c r="C71" s="34">
        <f t="shared" si="0"/>
        <v>0</v>
      </c>
      <c r="D71" s="59"/>
      <c r="E71" s="59"/>
      <c r="F71" s="59"/>
      <c r="G71" s="59"/>
      <c r="H71" s="59"/>
      <c r="I71" s="59"/>
      <c r="J71" s="41">
        <f t="shared" si="1"/>
        <v>0</v>
      </c>
      <c r="K71" s="59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spans="1:28">
      <c r="A72" s="27">
        <v>46284</v>
      </c>
      <c r="B72" s="30" t="s">
        <v>40</v>
      </c>
      <c r="C72" s="34">
        <f t="shared" si="0"/>
        <v>0</v>
      </c>
      <c r="D72" s="59"/>
      <c r="E72" s="59"/>
      <c r="F72" s="59"/>
      <c r="G72" s="59"/>
      <c r="H72" s="59"/>
      <c r="I72" s="59"/>
      <c r="J72" s="41">
        <f t="shared" si="1"/>
        <v>0</v>
      </c>
      <c r="K72" s="59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spans="1:28">
      <c r="A73" s="27">
        <v>46285</v>
      </c>
      <c r="B73" s="30" t="s">
        <v>58</v>
      </c>
      <c r="C73" s="34">
        <f t="shared" si="0"/>
        <v>0</v>
      </c>
      <c r="D73" s="59"/>
      <c r="E73" s="59"/>
      <c r="F73" s="59"/>
      <c r="G73" s="59"/>
      <c r="H73" s="59"/>
      <c r="I73" s="59"/>
      <c r="J73" s="41">
        <f t="shared" si="1"/>
        <v>0</v>
      </c>
      <c r="K73" s="59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spans="1:28">
      <c r="A74" s="27">
        <v>46286</v>
      </c>
      <c r="B74" s="30" t="s">
        <v>61</v>
      </c>
      <c r="C74" s="34">
        <f t="shared" si="0"/>
        <v>0</v>
      </c>
      <c r="D74" s="59"/>
      <c r="E74" s="59"/>
      <c r="F74" s="59"/>
      <c r="G74" s="59"/>
      <c r="H74" s="59"/>
      <c r="I74" s="59"/>
      <c r="J74" s="41">
        <f t="shared" si="1"/>
        <v>0</v>
      </c>
      <c r="K74" s="59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 spans="1:28">
      <c r="A75" s="27">
        <v>46287</v>
      </c>
      <c r="B75" s="30" t="s">
        <v>68</v>
      </c>
      <c r="C75" s="34">
        <f t="shared" si="0"/>
        <v>0</v>
      </c>
      <c r="D75" s="67"/>
      <c r="E75" s="59"/>
      <c r="F75" s="59"/>
      <c r="G75" s="59"/>
      <c r="H75" s="59"/>
      <c r="I75" s="59"/>
      <c r="J75" s="41">
        <f t="shared" si="1"/>
        <v>0</v>
      </c>
      <c r="K75" s="59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spans="1:28">
      <c r="A76" s="27">
        <v>46288</v>
      </c>
      <c r="B76" s="30" t="s">
        <v>83</v>
      </c>
      <c r="C76" s="34">
        <f t="shared" si="0"/>
        <v>0</v>
      </c>
      <c r="D76" s="67"/>
      <c r="E76" s="59"/>
      <c r="F76" s="59"/>
      <c r="G76" s="59"/>
      <c r="H76" s="59"/>
      <c r="I76" s="59"/>
      <c r="J76" s="41">
        <f t="shared" si="1"/>
        <v>0</v>
      </c>
      <c r="K76" s="59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spans="1:28">
      <c r="A77" s="27">
        <v>46289</v>
      </c>
      <c r="B77" s="30" t="s">
        <v>91</v>
      </c>
      <c r="C77" s="34">
        <f t="shared" si="0"/>
        <v>0</v>
      </c>
      <c r="D77" s="67"/>
      <c r="E77" s="59"/>
      <c r="F77" s="67"/>
      <c r="G77" s="59"/>
      <c r="H77" s="59"/>
      <c r="I77" s="59"/>
      <c r="J77" s="41">
        <f t="shared" si="1"/>
        <v>0</v>
      </c>
      <c r="K77" s="59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spans="1:28">
      <c r="A78" s="27">
        <v>46290</v>
      </c>
      <c r="B78" s="30" t="s">
        <v>44</v>
      </c>
      <c r="C78" s="34">
        <f t="shared" si="0"/>
        <v>0</v>
      </c>
      <c r="D78" s="59"/>
      <c r="E78" s="59"/>
      <c r="F78" s="59"/>
      <c r="G78" s="59"/>
      <c r="H78" s="59"/>
      <c r="I78" s="59"/>
      <c r="J78" s="41">
        <f t="shared" si="1"/>
        <v>0</v>
      </c>
      <c r="K78" s="59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spans="1:28">
      <c r="A79" s="27">
        <v>46291</v>
      </c>
      <c r="B79" s="30" t="s">
        <v>40</v>
      </c>
      <c r="C79" s="34">
        <f t="shared" si="0"/>
        <v>0</v>
      </c>
      <c r="D79" s="59"/>
      <c r="E79" s="59"/>
      <c r="F79" s="59"/>
      <c r="G79" s="59"/>
      <c r="H79" s="59"/>
      <c r="I79" s="59"/>
      <c r="J79" s="41">
        <f t="shared" si="1"/>
        <v>0</v>
      </c>
      <c r="K79" s="59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spans="1:28">
      <c r="A80" s="27">
        <v>46292</v>
      </c>
      <c r="B80" s="30" t="s">
        <v>58</v>
      </c>
      <c r="C80" s="34">
        <f t="shared" si="0"/>
        <v>0</v>
      </c>
      <c r="D80" s="59"/>
      <c r="E80" s="59"/>
      <c r="F80" s="59"/>
      <c r="G80" s="59"/>
      <c r="H80" s="59"/>
      <c r="I80" s="59"/>
      <c r="J80" s="41">
        <f t="shared" si="1"/>
        <v>0</v>
      </c>
      <c r="K80" s="59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 spans="1:28">
      <c r="A81" s="27">
        <v>46293</v>
      </c>
      <c r="B81" s="30" t="s">
        <v>61</v>
      </c>
      <c r="C81" s="34">
        <f t="shared" si="0"/>
        <v>0</v>
      </c>
      <c r="D81" s="59"/>
      <c r="E81" s="59"/>
      <c r="F81" s="59"/>
      <c r="G81" s="59"/>
      <c r="H81" s="59"/>
      <c r="I81" s="59"/>
      <c r="J81" s="41">
        <f t="shared" si="1"/>
        <v>0</v>
      </c>
      <c r="K81" s="59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 spans="1:28">
      <c r="A82" s="27">
        <v>46294</v>
      </c>
      <c r="B82" s="30" t="s">
        <v>68</v>
      </c>
      <c r="C82" s="34">
        <f t="shared" si="0"/>
        <v>0</v>
      </c>
      <c r="D82" s="59"/>
      <c r="E82" s="59"/>
      <c r="F82" s="59"/>
      <c r="G82" s="59"/>
      <c r="H82" s="59"/>
      <c r="I82" s="59"/>
      <c r="J82" s="41">
        <f t="shared" si="1"/>
        <v>0</v>
      </c>
      <c r="K82" s="59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 spans="1:28">
      <c r="A83" s="27">
        <v>46295</v>
      </c>
      <c r="B83" s="30" t="s">
        <v>83</v>
      </c>
      <c r="C83" s="34">
        <f t="shared" si="0"/>
        <v>0</v>
      </c>
      <c r="D83" s="59"/>
      <c r="E83" s="59"/>
      <c r="F83" s="59"/>
      <c r="G83" s="59"/>
      <c r="H83" s="59"/>
      <c r="I83" s="59"/>
      <c r="J83" s="41">
        <f t="shared" si="1"/>
        <v>0</v>
      </c>
      <c r="K83" s="59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</row>
    <row r="84" spans="1:28">
      <c r="A84" s="27">
        <v>46296</v>
      </c>
      <c r="B84" s="30" t="s">
        <v>91</v>
      </c>
      <c r="C84" s="34">
        <f t="shared" si="0"/>
        <v>0</v>
      </c>
      <c r="D84" s="59"/>
      <c r="E84" s="59"/>
      <c r="F84" s="59"/>
      <c r="G84" s="59"/>
      <c r="H84" s="59"/>
      <c r="I84" s="59"/>
      <c r="J84" s="41">
        <f t="shared" si="1"/>
        <v>0</v>
      </c>
      <c r="K84" s="59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</row>
    <row r="85" spans="1:28">
      <c r="A85" s="27">
        <v>46297</v>
      </c>
      <c r="B85" s="30" t="s">
        <v>44</v>
      </c>
      <c r="C85" s="34">
        <f t="shared" si="0"/>
        <v>0</v>
      </c>
      <c r="D85" s="59"/>
      <c r="E85" s="67"/>
      <c r="F85" s="59"/>
      <c r="G85" s="59"/>
      <c r="H85" s="59"/>
      <c r="I85" s="59"/>
      <c r="J85" s="41">
        <f t="shared" si="1"/>
        <v>0</v>
      </c>
      <c r="K85" s="59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</row>
    <row r="86" spans="1:28">
      <c r="A86" s="27">
        <v>46298</v>
      </c>
      <c r="B86" s="30" t="s">
        <v>40</v>
      </c>
      <c r="C86" s="34">
        <f t="shared" si="0"/>
        <v>0</v>
      </c>
      <c r="D86" s="67"/>
      <c r="E86" s="59"/>
      <c r="F86" s="59"/>
      <c r="G86" s="59"/>
      <c r="H86" s="59"/>
      <c r="I86" s="59"/>
      <c r="J86" s="41">
        <f t="shared" si="1"/>
        <v>0</v>
      </c>
      <c r="K86" s="59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</row>
    <row r="87" spans="1:28">
      <c r="A87" s="27">
        <v>46299</v>
      </c>
      <c r="B87" s="30" t="s">
        <v>58</v>
      </c>
      <c r="C87" s="34">
        <f t="shared" si="0"/>
        <v>0</v>
      </c>
      <c r="D87" s="67"/>
      <c r="E87" s="67"/>
      <c r="F87" s="59"/>
      <c r="G87" s="59"/>
      <c r="H87" s="59"/>
      <c r="I87" s="59"/>
      <c r="J87" s="41">
        <f t="shared" si="1"/>
        <v>0</v>
      </c>
      <c r="K87" s="59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</row>
    <row r="88" spans="1:28">
      <c r="A88" s="27">
        <v>46300</v>
      </c>
      <c r="B88" s="30" t="s">
        <v>61</v>
      </c>
      <c r="C88" s="34">
        <f t="shared" si="0"/>
        <v>0</v>
      </c>
      <c r="D88" s="59"/>
      <c r="E88" s="59"/>
      <c r="F88" s="59"/>
      <c r="G88" s="59"/>
      <c r="H88" s="59"/>
      <c r="I88" s="59"/>
      <c r="J88" s="41">
        <f t="shared" si="1"/>
        <v>0</v>
      </c>
      <c r="K88" s="59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</row>
    <row r="89" spans="1:28">
      <c r="A89" s="27">
        <v>46301</v>
      </c>
      <c r="B89" s="30" t="s">
        <v>68</v>
      </c>
      <c r="C89" s="34">
        <f t="shared" si="0"/>
        <v>0</v>
      </c>
      <c r="D89" s="59"/>
      <c r="E89" s="59"/>
      <c r="F89" s="59"/>
      <c r="G89" s="59"/>
      <c r="H89" s="59"/>
      <c r="I89" s="59"/>
      <c r="J89" s="41">
        <f t="shared" si="1"/>
        <v>0</v>
      </c>
      <c r="K89" s="59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</row>
    <row r="90" spans="1:28">
      <c r="A90" s="27">
        <v>46302</v>
      </c>
      <c r="B90" s="30" t="s">
        <v>83</v>
      </c>
      <c r="C90" s="34">
        <f t="shared" si="0"/>
        <v>0</v>
      </c>
      <c r="D90" s="67"/>
      <c r="E90" s="67"/>
      <c r="F90" s="67"/>
      <c r="G90" s="59"/>
      <c r="H90" s="59"/>
      <c r="I90" s="59"/>
      <c r="J90" s="41">
        <f t="shared" si="1"/>
        <v>0</v>
      </c>
      <c r="K90" s="59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</row>
    <row r="91" spans="1:28">
      <c r="A91" s="27">
        <v>46303</v>
      </c>
      <c r="B91" s="30" t="s">
        <v>91</v>
      </c>
      <c r="C91" s="34">
        <f t="shared" si="0"/>
        <v>0</v>
      </c>
      <c r="D91" s="59"/>
      <c r="E91" s="59"/>
      <c r="F91" s="59"/>
      <c r="G91" s="59"/>
      <c r="H91" s="59"/>
      <c r="I91" s="59"/>
      <c r="J91" s="41">
        <f t="shared" si="1"/>
        <v>0</v>
      </c>
      <c r="K91" s="59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</row>
    <row r="92" spans="1:28">
      <c r="A92" s="27">
        <v>46304</v>
      </c>
      <c r="B92" s="30" t="s">
        <v>44</v>
      </c>
      <c r="C92" s="34">
        <f t="shared" si="0"/>
        <v>0</v>
      </c>
      <c r="D92" s="67"/>
      <c r="E92" s="59"/>
      <c r="F92" s="59"/>
      <c r="G92" s="59"/>
      <c r="H92" s="59"/>
      <c r="I92" s="59"/>
      <c r="J92" s="41">
        <f t="shared" si="1"/>
        <v>0</v>
      </c>
      <c r="K92" s="59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</row>
    <row r="93" spans="1:28">
      <c r="A93" s="27">
        <v>46305</v>
      </c>
      <c r="B93" s="30" t="s">
        <v>40</v>
      </c>
      <c r="C93" s="34">
        <f t="shared" si="0"/>
        <v>0</v>
      </c>
      <c r="D93" s="67"/>
      <c r="E93" s="59"/>
      <c r="F93" s="59"/>
      <c r="G93" s="59"/>
      <c r="H93" s="59"/>
      <c r="I93" s="59"/>
      <c r="J93" s="41">
        <f t="shared" si="1"/>
        <v>0</v>
      </c>
      <c r="K93" s="59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</row>
    <row r="94" spans="1:28">
      <c r="A94" s="27">
        <v>46306</v>
      </c>
      <c r="B94" s="30" t="s">
        <v>58</v>
      </c>
      <c r="C94" s="34">
        <f t="shared" si="0"/>
        <v>0</v>
      </c>
      <c r="D94" s="67"/>
      <c r="E94" s="59"/>
      <c r="F94" s="59"/>
      <c r="G94" s="59"/>
      <c r="H94" s="59"/>
      <c r="I94" s="59"/>
      <c r="J94" s="41">
        <f t="shared" si="1"/>
        <v>0</v>
      </c>
      <c r="K94" s="59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</row>
    <row r="95" spans="1:28">
      <c r="A95" s="27">
        <v>46307</v>
      </c>
      <c r="B95" s="30" t="s">
        <v>61</v>
      </c>
      <c r="C95" s="34">
        <f t="shared" si="0"/>
        <v>0</v>
      </c>
      <c r="D95" s="59"/>
      <c r="E95" s="59"/>
      <c r="F95" s="59"/>
      <c r="G95" s="59"/>
      <c r="H95" s="59"/>
      <c r="I95" s="59"/>
      <c r="J95" s="41">
        <f t="shared" si="1"/>
        <v>0</v>
      </c>
      <c r="K95" s="59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</row>
    <row r="96" spans="1:28">
      <c r="A96" s="27">
        <v>46308</v>
      </c>
      <c r="B96" s="30" t="s">
        <v>68</v>
      </c>
      <c r="C96" s="34">
        <f t="shared" si="0"/>
        <v>0</v>
      </c>
      <c r="D96" s="67"/>
      <c r="E96" s="67"/>
      <c r="F96" s="59"/>
      <c r="G96" s="59"/>
      <c r="H96" s="59"/>
      <c r="I96" s="59"/>
      <c r="J96" s="41">
        <f t="shared" si="1"/>
        <v>0</v>
      </c>
      <c r="K96" s="59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</row>
    <row r="97" spans="1:28">
      <c r="A97" s="27">
        <v>46309</v>
      </c>
      <c r="B97" s="30" t="s">
        <v>83</v>
      </c>
      <c r="C97" s="34">
        <f t="shared" si="0"/>
        <v>0</v>
      </c>
      <c r="D97" s="67"/>
      <c r="E97" s="67"/>
      <c r="F97" s="59"/>
      <c r="G97" s="59"/>
      <c r="H97" s="59"/>
      <c r="I97" s="59"/>
      <c r="J97" s="41">
        <f t="shared" si="1"/>
        <v>0</v>
      </c>
      <c r="K97" s="59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</row>
    <row r="98" spans="1:28">
      <c r="A98" s="27">
        <v>46310</v>
      </c>
      <c r="B98" s="30" t="s">
        <v>91</v>
      </c>
      <c r="C98" s="34">
        <f t="shared" si="0"/>
        <v>0</v>
      </c>
      <c r="D98" s="67"/>
      <c r="E98" s="67"/>
      <c r="F98" s="59"/>
      <c r="G98" s="59"/>
      <c r="H98" s="59"/>
      <c r="I98" s="59"/>
      <c r="J98" s="41">
        <f t="shared" si="1"/>
        <v>0</v>
      </c>
      <c r="K98" s="59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</row>
    <row r="99" spans="1:28">
      <c r="A99" s="27">
        <v>46311</v>
      </c>
      <c r="B99" s="30" t="s">
        <v>44</v>
      </c>
      <c r="C99" s="34">
        <f t="shared" si="0"/>
        <v>0</v>
      </c>
      <c r="D99" s="59"/>
      <c r="E99" s="59"/>
      <c r="F99" s="59"/>
      <c r="G99" s="59"/>
      <c r="H99" s="59"/>
      <c r="I99" s="59"/>
      <c r="J99" s="41">
        <f t="shared" si="1"/>
        <v>0</v>
      </c>
      <c r="K99" s="59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</row>
    <row r="100" spans="1:28">
      <c r="A100" s="27">
        <v>46312</v>
      </c>
      <c r="B100" s="30" t="s">
        <v>40</v>
      </c>
      <c r="C100" s="34">
        <f t="shared" si="0"/>
        <v>0</v>
      </c>
      <c r="D100" s="59"/>
      <c r="E100" s="67"/>
      <c r="F100" s="59"/>
      <c r="G100" s="59"/>
      <c r="H100" s="59"/>
      <c r="I100" s="59"/>
      <c r="J100" s="41">
        <f t="shared" si="1"/>
        <v>0</v>
      </c>
      <c r="K100" s="59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</row>
    <row r="101" spans="1:28">
      <c r="A101" s="27">
        <v>46313</v>
      </c>
      <c r="B101" s="30" t="s">
        <v>58</v>
      </c>
      <c r="C101" s="34">
        <f t="shared" si="0"/>
        <v>0</v>
      </c>
      <c r="D101" s="59"/>
      <c r="E101" s="59"/>
      <c r="F101" s="59"/>
      <c r="G101" s="59"/>
      <c r="H101" s="59"/>
      <c r="I101" s="59"/>
      <c r="J101" s="41">
        <f t="shared" si="1"/>
        <v>0</v>
      </c>
      <c r="K101" s="59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</row>
    <row r="102" spans="1:28">
      <c r="A102" s="27">
        <v>46314</v>
      </c>
      <c r="B102" s="30" t="s">
        <v>61</v>
      </c>
      <c r="C102" s="34">
        <f t="shared" si="0"/>
        <v>0</v>
      </c>
      <c r="D102" s="59"/>
      <c r="E102" s="59"/>
      <c r="F102" s="59"/>
      <c r="G102" s="59"/>
      <c r="H102" s="59"/>
      <c r="I102" s="59"/>
      <c r="J102" s="41">
        <f t="shared" si="1"/>
        <v>0</v>
      </c>
      <c r="K102" s="59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</row>
    <row r="103" spans="1:28">
      <c r="A103" s="27">
        <v>46315</v>
      </c>
      <c r="B103" s="30" t="s">
        <v>68</v>
      </c>
      <c r="C103" s="34">
        <f t="shared" si="0"/>
        <v>0</v>
      </c>
      <c r="D103" s="59"/>
      <c r="E103" s="59"/>
      <c r="F103" s="59"/>
      <c r="G103" s="59"/>
      <c r="H103" s="59"/>
      <c r="I103" s="59"/>
      <c r="J103" s="41">
        <f t="shared" si="1"/>
        <v>0</v>
      </c>
      <c r="K103" s="59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</row>
    <row r="104" spans="1:28">
      <c r="A104" s="27">
        <v>46316</v>
      </c>
      <c r="B104" s="30" t="s">
        <v>83</v>
      </c>
      <c r="C104" s="34">
        <f t="shared" si="0"/>
        <v>0</v>
      </c>
      <c r="D104" s="67"/>
      <c r="E104" s="59"/>
      <c r="F104" s="59"/>
      <c r="G104" s="67"/>
      <c r="H104" s="59"/>
      <c r="I104" s="59"/>
      <c r="J104" s="41">
        <f t="shared" si="1"/>
        <v>0</v>
      </c>
      <c r="K104" s="59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</row>
    <row r="105" spans="1:28">
      <c r="A105" s="27">
        <v>46317</v>
      </c>
      <c r="B105" s="30" t="s">
        <v>91</v>
      </c>
      <c r="C105" s="34">
        <f t="shared" si="0"/>
        <v>0</v>
      </c>
      <c r="D105" s="59"/>
      <c r="E105" s="59"/>
      <c r="F105" s="59"/>
      <c r="G105" s="59"/>
      <c r="H105" s="59"/>
      <c r="I105" s="59"/>
      <c r="J105" s="41">
        <f t="shared" si="1"/>
        <v>0</v>
      </c>
      <c r="K105" s="59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spans="1:28">
      <c r="A106" s="27">
        <v>46318</v>
      </c>
      <c r="B106" s="30" t="s">
        <v>44</v>
      </c>
      <c r="C106" s="34">
        <f t="shared" si="0"/>
        <v>0</v>
      </c>
      <c r="D106" s="59"/>
      <c r="E106" s="59"/>
      <c r="F106" s="59"/>
      <c r="G106" s="59"/>
      <c r="H106" s="59"/>
      <c r="I106" s="59"/>
      <c r="J106" s="41">
        <f t="shared" si="1"/>
        <v>0</v>
      </c>
      <c r="K106" s="59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</row>
    <row r="107" spans="1:28">
      <c r="A107" s="27">
        <v>46319</v>
      </c>
      <c r="B107" s="30" t="s">
        <v>40</v>
      </c>
      <c r="C107" s="34">
        <f t="shared" si="0"/>
        <v>0</v>
      </c>
      <c r="D107" s="43"/>
      <c r="E107" s="59"/>
      <c r="F107" s="59"/>
      <c r="G107" s="59"/>
      <c r="H107" s="59"/>
      <c r="I107" s="59"/>
      <c r="J107" s="41">
        <f t="shared" si="1"/>
        <v>0</v>
      </c>
      <c r="K107" s="59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spans="1:28">
      <c r="A108" s="27">
        <v>46320</v>
      </c>
      <c r="B108" s="30" t="s">
        <v>58</v>
      </c>
      <c r="C108" s="34">
        <f t="shared" si="0"/>
        <v>0</v>
      </c>
      <c r="D108" s="59"/>
      <c r="E108" s="59"/>
      <c r="F108" s="59"/>
      <c r="G108" s="59"/>
      <c r="H108" s="59"/>
      <c r="I108" s="59"/>
      <c r="J108" s="41">
        <f t="shared" si="1"/>
        <v>0</v>
      </c>
      <c r="K108" s="59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 spans="1:28">
      <c r="A109" s="27">
        <v>46321</v>
      </c>
      <c r="B109" s="30" t="s">
        <v>61</v>
      </c>
      <c r="C109" s="34">
        <f t="shared" si="0"/>
        <v>0</v>
      </c>
      <c r="D109" s="59"/>
      <c r="E109" s="59"/>
      <c r="F109" s="59"/>
      <c r="G109" s="59"/>
      <c r="H109" s="59"/>
      <c r="I109" s="59"/>
      <c r="J109" s="41">
        <f t="shared" si="1"/>
        <v>0</v>
      </c>
      <c r="K109" s="59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</row>
    <row r="110" spans="1:28">
      <c r="A110" s="27">
        <v>46322</v>
      </c>
      <c r="B110" s="30" t="s">
        <v>68</v>
      </c>
      <c r="C110" s="34">
        <f t="shared" si="0"/>
        <v>0</v>
      </c>
      <c r="D110" s="59"/>
      <c r="E110" s="59"/>
      <c r="F110" s="59"/>
      <c r="G110" s="59"/>
      <c r="H110" s="59"/>
      <c r="I110" s="59"/>
      <c r="J110" s="41">
        <f t="shared" si="1"/>
        <v>0</v>
      </c>
      <c r="K110" s="59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</row>
    <row r="111" spans="1:28">
      <c r="A111" s="27">
        <v>46323</v>
      </c>
      <c r="B111" s="30" t="s">
        <v>83</v>
      </c>
      <c r="C111" s="34">
        <f t="shared" si="0"/>
        <v>0</v>
      </c>
      <c r="D111" s="59"/>
      <c r="E111" s="67"/>
      <c r="F111" s="59"/>
      <c r="G111" s="59"/>
      <c r="H111" s="59"/>
      <c r="I111" s="59"/>
      <c r="J111" s="41">
        <f t="shared" si="1"/>
        <v>0</v>
      </c>
      <c r="K111" s="59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</row>
    <row r="112" spans="1:28">
      <c r="A112" s="27">
        <v>46324</v>
      </c>
      <c r="B112" s="30" t="s">
        <v>91</v>
      </c>
      <c r="C112" s="34">
        <f t="shared" si="0"/>
        <v>0</v>
      </c>
      <c r="D112" s="59"/>
      <c r="E112" s="59"/>
      <c r="F112" s="59"/>
      <c r="G112" s="59"/>
      <c r="H112" s="59"/>
      <c r="I112" s="59"/>
      <c r="J112" s="41">
        <f t="shared" si="1"/>
        <v>0</v>
      </c>
      <c r="K112" s="59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</row>
    <row r="113" spans="1:28">
      <c r="A113" s="27">
        <v>46325</v>
      </c>
      <c r="B113" s="30" t="s">
        <v>44</v>
      </c>
      <c r="C113" s="34">
        <f t="shared" si="0"/>
        <v>0</v>
      </c>
      <c r="D113" s="59"/>
      <c r="E113" s="59"/>
      <c r="F113" s="59"/>
      <c r="G113" s="59"/>
      <c r="H113" s="59"/>
      <c r="I113" s="59"/>
      <c r="J113" s="41">
        <f t="shared" si="1"/>
        <v>0</v>
      </c>
      <c r="K113" s="59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</row>
    <row r="114" spans="1:28">
      <c r="A114" s="27">
        <v>46326</v>
      </c>
      <c r="B114" s="30" t="s">
        <v>40</v>
      </c>
      <c r="C114" s="34">
        <f t="shared" si="0"/>
        <v>0</v>
      </c>
      <c r="D114" s="59"/>
      <c r="E114" s="67"/>
      <c r="F114" s="59"/>
      <c r="G114" s="59"/>
      <c r="H114" s="59"/>
      <c r="I114" s="59"/>
      <c r="J114" s="41">
        <f t="shared" si="1"/>
        <v>0</v>
      </c>
      <c r="K114" s="59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</row>
    <row r="115" spans="1:28">
      <c r="A115" s="27">
        <v>46327</v>
      </c>
      <c r="B115" s="30" t="s">
        <v>58</v>
      </c>
      <c r="C115" s="34">
        <f t="shared" si="0"/>
        <v>0</v>
      </c>
      <c r="D115" s="59"/>
      <c r="E115" s="59"/>
      <c r="F115" s="59"/>
      <c r="G115" s="59"/>
      <c r="H115" s="59"/>
      <c r="I115" s="59"/>
      <c r="J115" s="41">
        <f t="shared" si="1"/>
        <v>0</v>
      </c>
      <c r="K115" s="59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 spans="1:28">
      <c r="A116" s="27">
        <v>46328</v>
      </c>
      <c r="B116" s="30" t="s">
        <v>61</v>
      </c>
      <c r="C116" s="34">
        <f t="shared" si="0"/>
        <v>0</v>
      </c>
      <c r="D116" s="67"/>
      <c r="E116" s="59"/>
      <c r="F116" s="59"/>
      <c r="G116" s="59"/>
      <c r="H116" s="59"/>
      <c r="I116" s="59"/>
      <c r="J116" s="41">
        <f t="shared" si="1"/>
        <v>0</v>
      </c>
      <c r="K116" s="59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</row>
    <row r="117" spans="1:28">
      <c r="A117" s="27">
        <v>46329</v>
      </c>
      <c r="B117" s="30" t="s">
        <v>68</v>
      </c>
      <c r="C117" s="34">
        <f t="shared" si="0"/>
        <v>0</v>
      </c>
      <c r="D117" s="59"/>
      <c r="E117" s="59"/>
      <c r="F117" s="59"/>
      <c r="G117" s="59"/>
      <c r="H117" s="59"/>
      <c r="I117" s="59"/>
      <c r="J117" s="41">
        <f t="shared" si="1"/>
        <v>0</v>
      </c>
      <c r="K117" s="59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</row>
    <row r="118" spans="1:28">
      <c r="A118" s="27">
        <v>46330</v>
      </c>
      <c r="B118" s="30" t="s">
        <v>83</v>
      </c>
      <c r="C118" s="34">
        <f t="shared" si="0"/>
        <v>0</v>
      </c>
      <c r="D118" s="59"/>
      <c r="E118" s="59"/>
      <c r="F118" s="59"/>
      <c r="G118" s="59"/>
      <c r="H118" s="59"/>
      <c r="I118" s="59"/>
      <c r="J118" s="41">
        <f t="shared" si="1"/>
        <v>0</v>
      </c>
      <c r="K118" s="59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</row>
    <row r="119" spans="1:28">
      <c r="A119" s="27">
        <v>46331</v>
      </c>
      <c r="B119" s="30" t="s">
        <v>91</v>
      </c>
      <c r="C119" s="34">
        <f t="shared" si="0"/>
        <v>0</v>
      </c>
      <c r="D119" s="59"/>
      <c r="E119" s="59"/>
      <c r="F119" s="59"/>
      <c r="G119" s="59"/>
      <c r="H119" s="59"/>
      <c r="I119" s="59"/>
      <c r="J119" s="41">
        <f t="shared" si="1"/>
        <v>0</v>
      </c>
      <c r="K119" s="59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</row>
    <row r="120" spans="1:28">
      <c r="A120" s="27">
        <v>46332</v>
      </c>
      <c r="B120" s="30" t="s">
        <v>44</v>
      </c>
      <c r="C120" s="34">
        <f t="shared" si="0"/>
        <v>0</v>
      </c>
      <c r="D120" s="67"/>
      <c r="E120" s="59"/>
      <c r="F120" s="59"/>
      <c r="G120" s="59"/>
      <c r="H120" s="59"/>
      <c r="I120" s="59"/>
      <c r="J120" s="41">
        <f t="shared" si="1"/>
        <v>0</v>
      </c>
      <c r="K120" s="59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</row>
    <row r="121" spans="1:28">
      <c r="A121" s="27">
        <v>46333</v>
      </c>
      <c r="B121" s="30" t="s">
        <v>40</v>
      </c>
      <c r="C121" s="34">
        <f t="shared" si="0"/>
        <v>0</v>
      </c>
      <c r="D121" s="59"/>
      <c r="E121" s="59"/>
      <c r="F121" s="59"/>
      <c r="G121" s="59"/>
      <c r="H121" s="59"/>
      <c r="I121" s="59"/>
      <c r="J121" s="41">
        <f t="shared" si="1"/>
        <v>0</v>
      </c>
      <c r="K121" s="59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</row>
    <row r="122" spans="1:28">
      <c r="A122" s="27">
        <v>46334</v>
      </c>
      <c r="B122" s="30" t="s">
        <v>58</v>
      </c>
      <c r="C122" s="34">
        <f t="shared" si="0"/>
        <v>0</v>
      </c>
      <c r="D122" s="59"/>
      <c r="E122" s="59"/>
      <c r="F122" s="59"/>
      <c r="G122" s="59"/>
      <c r="H122" s="59"/>
      <c r="I122" s="59"/>
      <c r="J122" s="41">
        <f t="shared" si="1"/>
        <v>0</v>
      </c>
      <c r="K122" s="59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 spans="1:28">
      <c r="A123" s="27">
        <v>46335</v>
      </c>
      <c r="B123" s="30" t="s">
        <v>61</v>
      </c>
      <c r="C123" s="34">
        <f t="shared" si="0"/>
        <v>0</v>
      </c>
      <c r="D123" s="59"/>
      <c r="E123" s="59"/>
      <c r="F123" s="59"/>
      <c r="G123" s="59"/>
      <c r="H123" s="59"/>
      <c r="I123" s="59"/>
      <c r="J123" s="41">
        <f t="shared" si="1"/>
        <v>0</v>
      </c>
      <c r="K123" s="59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</row>
    <row r="124" spans="1:28">
      <c r="A124" s="27">
        <v>46336</v>
      </c>
      <c r="B124" s="30" t="s">
        <v>68</v>
      </c>
      <c r="C124" s="34">
        <f t="shared" si="0"/>
        <v>0</v>
      </c>
      <c r="D124" s="59"/>
      <c r="E124" s="59"/>
      <c r="F124" s="59"/>
      <c r="G124" s="59"/>
      <c r="H124" s="59"/>
      <c r="I124" s="59"/>
      <c r="J124" s="41">
        <f t="shared" si="1"/>
        <v>0</v>
      </c>
      <c r="K124" s="59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</row>
    <row r="125" spans="1:28">
      <c r="A125" s="27">
        <v>46337</v>
      </c>
      <c r="B125" s="30" t="s">
        <v>83</v>
      </c>
      <c r="C125" s="34">
        <f t="shared" si="0"/>
        <v>0</v>
      </c>
      <c r="D125" s="59"/>
      <c r="E125" s="59"/>
      <c r="F125" s="59"/>
      <c r="G125" s="59"/>
      <c r="H125" s="59"/>
      <c r="I125" s="59"/>
      <c r="J125" s="41">
        <f t="shared" si="1"/>
        <v>0</v>
      </c>
      <c r="K125" s="59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</row>
    <row r="126" spans="1:28">
      <c r="A126" s="27">
        <v>46338</v>
      </c>
      <c r="B126" s="30" t="s">
        <v>91</v>
      </c>
      <c r="C126" s="34">
        <f t="shared" si="0"/>
        <v>0</v>
      </c>
      <c r="D126" s="59"/>
      <c r="E126" s="67"/>
      <c r="F126" s="67"/>
      <c r="G126" s="59"/>
      <c r="H126" s="59"/>
      <c r="I126" s="59"/>
      <c r="J126" s="41">
        <f t="shared" si="1"/>
        <v>0</v>
      </c>
      <c r="K126" s="59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</row>
    <row r="127" spans="1:28">
      <c r="A127" s="27">
        <v>46339</v>
      </c>
      <c r="B127" s="30" t="s">
        <v>44</v>
      </c>
      <c r="C127" s="34">
        <f t="shared" si="0"/>
        <v>0</v>
      </c>
      <c r="D127" s="59"/>
      <c r="E127" s="59"/>
      <c r="F127" s="59"/>
      <c r="G127" s="59"/>
      <c r="H127" s="59"/>
      <c r="I127" s="59"/>
      <c r="J127" s="41">
        <f t="shared" si="1"/>
        <v>0</v>
      </c>
      <c r="K127" s="59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</row>
    <row r="128" spans="1:28">
      <c r="A128" s="27">
        <v>46340</v>
      </c>
      <c r="B128" s="30" t="s">
        <v>40</v>
      </c>
      <c r="C128" s="34">
        <f t="shared" si="0"/>
        <v>0</v>
      </c>
      <c r="D128" s="59"/>
      <c r="E128" s="67"/>
      <c r="F128" s="59"/>
      <c r="G128" s="59"/>
      <c r="H128" s="59"/>
      <c r="I128" s="59"/>
      <c r="J128" s="41">
        <f t="shared" si="1"/>
        <v>0</v>
      </c>
      <c r="K128" s="59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</row>
    <row r="129" spans="1:28">
      <c r="A129" s="27">
        <v>46341</v>
      </c>
      <c r="B129" s="30" t="s">
        <v>58</v>
      </c>
      <c r="C129" s="34">
        <f t="shared" si="0"/>
        <v>0</v>
      </c>
      <c r="D129" s="67"/>
      <c r="E129" s="59"/>
      <c r="F129" s="59"/>
      <c r="G129" s="59"/>
      <c r="H129" s="59"/>
      <c r="I129" s="59"/>
      <c r="J129" s="41">
        <f t="shared" si="1"/>
        <v>0</v>
      </c>
      <c r="K129" s="59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</row>
    <row r="130" spans="1:28">
      <c r="A130" s="27">
        <v>46342</v>
      </c>
      <c r="B130" s="30" t="s">
        <v>61</v>
      </c>
      <c r="C130" s="34">
        <f t="shared" si="0"/>
        <v>0</v>
      </c>
      <c r="D130" s="59"/>
      <c r="E130" s="59"/>
      <c r="F130" s="59"/>
      <c r="G130" s="59"/>
      <c r="H130" s="59"/>
      <c r="I130" s="59"/>
      <c r="J130" s="41">
        <f t="shared" si="1"/>
        <v>0</v>
      </c>
      <c r="K130" s="59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 spans="1:28">
      <c r="A131" s="27">
        <v>46343</v>
      </c>
      <c r="B131" s="30" t="s">
        <v>68</v>
      </c>
      <c r="C131" s="34">
        <f t="shared" si="0"/>
        <v>0</v>
      </c>
      <c r="D131" s="59"/>
      <c r="E131" s="59"/>
      <c r="F131" s="59"/>
      <c r="G131" s="59"/>
      <c r="H131" s="59"/>
      <c r="I131" s="59"/>
      <c r="J131" s="41">
        <f t="shared" si="1"/>
        <v>0</v>
      </c>
      <c r="K131" s="59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</row>
    <row r="132" spans="1:28">
      <c r="A132" s="27">
        <v>46344</v>
      </c>
      <c r="B132" s="30" t="s">
        <v>83</v>
      </c>
      <c r="C132" s="34">
        <f t="shared" si="0"/>
        <v>0</v>
      </c>
      <c r="D132" s="59"/>
      <c r="E132" s="59"/>
      <c r="F132" s="59"/>
      <c r="G132" s="59"/>
      <c r="H132" s="59"/>
      <c r="I132" s="59"/>
      <c r="J132" s="41">
        <f t="shared" si="1"/>
        <v>0</v>
      </c>
      <c r="K132" s="59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</row>
    <row r="133" spans="1:28">
      <c r="A133" s="27">
        <v>46345</v>
      </c>
      <c r="B133" s="30" t="s">
        <v>91</v>
      </c>
      <c r="C133" s="34">
        <f t="shared" si="0"/>
        <v>0</v>
      </c>
      <c r="D133" s="67"/>
      <c r="E133" s="67"/>
      <c r="F133" s="59"/>
      <c r="G133" s="59"/>
      <c r="H133" s="59"/>
      <c r="I133" s="59"/>
      <c r="J133" s="41">
        <f t="shared" si="1"/>
        <v>0</v>
      </c>
      <c r="K133" s="59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</row>
    <row r="134" spans="1:28">
      <c r="A134" s="27">
        <v>46346</v>
      </c>
      <c r="B134" s="30" t="s">
        <v>44</v>
      </c>
      <c r="C134" s="34">
        <f t="shared" si="0"/>
        <v>0</v>
      </c>
      <c r="D134" s="59"/>
      <c r="E134" s="59"/>
      <c r="F134" s="59"/>
      <c r="G134" s="59"/>
      <c r="H134" s="59"/>
      <c r="I134" s="59"/>
      <c r="J134" s="41">
        <f t="shared" si="1"/>
        <v>0</v>
      </c>
      <c r="K134" s="59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</row>
    <row r="135" spans="1:28">
      <c r="A135" s="27">
        <v>46347</v>
      </c>
      <c r="B135" s="30" t="s">
        <v>40</v>
      </c>
      <c r="C135" s="34">
        <f t="shared" si="0"/>
        <v>0</v>
      </c>
      <c r="D135" s="67"/>
      <c r="E135" s="43"/>
      <c r="F135" s="59"/>
      <c r="G135" s="59"/>
      <c r="H135" s="59"/>
      <c r="I135" s="59"/>
      <c r="J135" s="41">
        <f t="shared" si="1"/>
        <v>0</v>
      </c>
      <c r="K135" s="59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</row>
    <row r="136" spans="1:28">
      <c r="A136" s="27">
        <v>46348</v>
      </c>
      <c r="B136" s="30" t="s">
        <v>58</v>
      </c>
      <c r="C136" s="34">
        <f t="shared" si="0"/>
        <v>0</v>
      </c>
      <c r="D136" s="59"/>
      <c r="E136" s="67"/>
      <c r="F136" s="59"/>
      <c r="G136" s="59"/>
      <c r="H136" s="59"/>
      <c r="I136" s="59"/>
      <c r="J136" s="41">
        <f t="shared" si="1"/>
        <v>0</v>
      </c>
      <c r="K136" s="59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</row>
    <row r="137" spans="1:28">
      <c r="A137" s="27">
        <v>46349</v>
      </c>
      <c r="B137" s="30" t="s">
        <v>61</v>
      </c>
      <c r="C137" s="34">
        <f t="shared" si="0"/>
        <v>0</v>
      </c>
      <c r="D137" s="59"/>
      <c r="E137" s="59"/>
      <c r="F137" s="59"/>
      <c r="G137" s="59"/>
      <c r="H137" s="59"/>
      <c r="I137" s="59"/>
      <c r="J137" s="41">
        <f t="shared" si="1"/>
        <v>0</v>
      </c>
      <c r="K137" s="59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</row>
    <row r="138" spans="1:28">
      <c r="A138" s="27">
        <v>46350</v>
      </c>
      <c r="B138" s="30" t="s">
        <v>68</v>
      </c>
      <c r="C138" s="34">
        <f t="shared" si="0"/>
        <v>0</v>
      </c>
      <c r="D138" s="59"/>
      <c r="E138" s="59"/>
      <c r="F138" s="59"/>
      <c r="G138" s="67"/>
      <c r="H138" s="59"/>
      <c r="I138" s="59"/>
      <c r="J138" s="41">
        <f t="shared" si="1"/>
        <v>0</v>
      </c>
      <c r="K138" s="59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</row>
    <row r="139" spans="1:28">
      <c r="A139" s="27">
        <v>46351</v>
      </c>
      <c r="B139" s="30" t="s">
        <v>83</v>
      </c>
      <c r="C139" s="34">
        <f t="shared" si="0"/>
        <v>0</v>
      </c>
      <c r="D139" s="59"/>
      <c r="E139" s="59"/>
      <c r="F139" s="59"/>
      <c r="G139" s="59"/>
      <c r="H139" s="59"/>
      <c r="I139" s="59"/>
      <c r="J139" s="41">
        <f t="shared" si="1"/>
        <v>0</v>
      </c>
      <c r="K139" s="59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</row>
    <row r="140" spans="1:28">
      <c r="A140" s="27">
        <v>46352</v>
      </c>
      <c r="B140" s="30" t="s">
        <v>91</v>
      </c>
      <c r="C140" s="34">
        <f t="shared" si="0"/>
        <v>0</v>
      </c>
      <c r="D140" s="189"/>
      <c r="E140" s="191"/>
      <c r="F140" s="191"/>
      <c r="G140" s="191"/>
      <c r="H140" s="191"/>
      <c r="I140" s="191"/>
      <c r="J140" s="41">
        <f t="shared" si="1"/>
        <v>0</v>
      </c>
      <c r="K140" s="191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</row>
    <row r="141" spans="1:28">
      <c r="A141" s="193"/>
      <c r="B141" s="194"/>
      <c r="C141" s="195"/>
      <c r="D141" s="196"/>
      <c r="E141" s="197"/>
      <c r="F141" s="197"/>
      <c r="G141" s="197"/>
      <c r="H141" s="197"/>
      <c r="I141" s="197"/>
      <c r="J141" s="198"/>
      <c r="K141" s="197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</row>
    <row r="142" spans="1:28">
      <c r="A142" s="27"/>
      <c r="B142" s="30"/>
      <c r="C142" s="34"/>
      <c r="D142" s="59"/>
      <c r="E142" s="59"/>
      <c r="F142" s="59"/>
      <c r="G142" s="59"/>
      <c r="H142" s="59"/>
      <c r="I142" s="59"/>
      <c r="J142" s="200"/>
      <c r="K142" s="59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</row>
    <row r="143" spans="1:28">
      <c r="A143" s="27"/>
      <c r="B143" s="30"/>
      <c r="C143" s="34"/>
      <c r="D143" s="59"/>
      <c r="E143" s="59"/>
      <c r="F143" s="59"/>
      <c r="G143" s="59"/>
      <c r="H143" s="59"/>
      <c r="I143" s="59"/>
      <c r="J143" s="200"/>
      <c r="K143" s="59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</row>
    <row r="144" spans="1:28">
      <c r="A144" s="27"/>
      <c r="B144" s="30"/>
      <c r="C144" s="34"/>
      <c r="D144" s="59"/>
      <c r="E144" s="59"/>
      <c r="F144" s="59"/>
      <c r="G144" s="59"/>
      <c r="H144" s="59"/>
      <c r="I144" s="59"/>
      <c r="J144" s="200"/>
      <c r="K144" s="59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</row>
    <row r="145" spans="1:28">
      <c r="A145" s="27"/>
      <c r="B145" s="30"/>
      <c r="C145" s="34"/>
      <c r="D145" s="59"/>
      <c r="E145" s="59"/>
      <c r="F145" s="59"/>
      <c r="G145" s="59"/>
      <c r="H145" s="59"/>
      <c r="I145" s="59"/>
      <c r="J145" s="200"/>
      <c r="K145" s="59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</row>
    <row r="146" spans="1:28">
      <c r="A146" s="27"/>
      <c r="B146" s="30"/>
      <c r="C146" s="34"/>
      <c r="D146" s="67"/>
      <c r="E146" s="59"/>
      <c r="F146" s="59"/>
      <c r="G146" s="59"/>
      <c r="H146" s="59"/>
      <c r="I146" s="59"/>
      <c r="J146" s="200"/>
      <c r="K146" s="59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</row>
    <row r="147" spans="1:28">
      <c r="A147" s="27"/>
      <c r="B147" s="30"/>
      <c r="C147" s="34"/>
      <c r="D147" s="59"/>
      <c r="E147" s="59"/>
      <c r="F147" s="59"/>
      <c r="G147" s="59"/>
      <c r="H147" s="59"/>
      <c r="I147" s="59"/>
      <c r="J147" s="200"/>
      <c r="K147" s="59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</row>
    <row r="148" spans="1:28">
      <c r="A148" s="27"/>
      <c r="B148" s="30"/>
      <c r="C148" s="34"/>
      <c r="D148" s="212"/>
      <c r="E148" s="59"/>
      <c r="F148" s="59"/>
      <c r="G148" s="59"/>
      <c r="H148" s="59"/>
      <c r="I148" s="59"/>
      <c r="J148" s="200"/>
      <c r="K148" s="59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</row>
    <row r="149" spans="1:28">
      <c r="A149" s="27"/>
      <c r="B149" s="30"/>
      <c r="C149" s="34"/>
      <c r="D149" s="212"/>
      <c r="E149" s="59"/>
      <c r="F149" s="59"/>
      <c r="G149" s="59"/>
      <c r="H149" s="59"/>
      <c r="I149" s="59"/>
      <c r="J149" s="200"/>
      <c r="K149" s="59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</row>
    <row r="150" spans="1:28">
      <c r="A150" s="27"/>
      <c r="B150" s="30"/>
      <c r="C150" s="34"/>
      <c r="D150" s="59"/>
      <c r="E150" s="59"/>
      <c r="F150" s="59"/>
      <c r="G150" s="59"/>
      <c r="H150" s="59"/>
      <c r="I150" s="59"/>
      <c r="J150" s="200"/>
      <c r="K150" s="59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</row>
    <row r="151" spans="1:28">
      <c r="A151" s="27"/>
      <c r="B151" s="30"/>
      <c r="C151" s="34"/>
      <c r="D151" s="59"/>
      <c r="E151" s="59"/>
      <c r="F151" s="59"/>
      <c r="G151" s="59"/>
      <c r="H151" s="59"/>
      <c r="I151" s="59"/>
      <c r="J151" s="200"/>
      <c r="K151" s="59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</row>
    <row r="152" spans="1:28">
      <c r="A152" s="27"/>
      <c r="B152" s="30"/>
      <c r="C152" s="34"/>
      <c r="D152" s="59"/>
      <c r="E152" s="59"/>
      <c r="F152" s="59"/>
      <c r="G152" s="59"/>
      <c r="H152" s="59"/>
      <c r="I152" s="59"/>
      <c r="J152" s="200"/>
      <c r="K152" s="59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</row>
    <row r="153" spans="1:28">
      <c r="A153" s="27"/>
      <c r="B153" s="30"/>
      <c r="C153" s="34"/>
      <c r="D153" s="59"/>
      <c r="E153" s="59"/>
      <c r="F153" s="59"/>
      <c r="G153" s="59"/>
      <c r="H153" s="59"/>
      <c r="I153" s="59"/>
      <c r="J153" s="200"/>
      <c r="K153" s="59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</row>
    <row r="154" spans="1:28">
      <c r="A154" s="27"/>
      <c r="B154" s="30"/>
      <c r="C154" s="34"/>
      <c r="D154" s="222"/>
      <c r="E154" s="222"/>
      <c r="F154" s="59"/>
      <c r="G154" s="59"/>
      <c r="H154" s="59"/>
      <c r="I154" s="59"/>
      <c r="J154" s="200"/>
      <c r="K154" s="59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</row>
    <row r="155" spans="1:28">
      <c r="A155" s="27"/>
      <c r="B155" s="30"/>
      <c r="C155" s="34"/>
      <c r="D155" s="222"/>
      <c r="E155" s="222"/>
      <c r="F155" s="59"/>
      <c r="G155" s="59"/>
      <c r="H155" s="59"/>
      <c r="I155" s="59"/>
      <c r="J155" s="200"/>
      <c r="K155" s="59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</row>
    <row r="156" spans="1:28">
      <c r="A156" s="27"/>
      <c r="B156" s="30"/>
      <c r="C156" s="34"/>
      <c r="D156" s="59"/>
      <c r="E156" s="67"/>
      <c r="F156" s="59"/>
      <c r="G156" s="59"/>
      <c r="H156" s="59"/>
      <c r="I156" s="59"/>
      <c r="J156" s="200"/>
      <c r="K156" s="59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</row>
    <row r="157" spans="1:28">
      <c r="A157" s="27"/>
      <c r="B157" s="30"/>
      <c r="C157" s="34"/>
      <c r="D157" s="59"/>
      <c r="E157" s="59"/>
      <c r="F157" s="59"/>
      <c r="G157" s="59"/>
      <c r="H157" s="59"/>
      <c r="I157" s="59"/>
      <c r="J157" s="200"/>
      <c r="K157" s="59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</row>
    <row r="158" spans="1:28">
      <c r="A158" s="27"/>
      <c r="B158" s="30"/>
      <c r="C158" s="34"/>
      <c r="D158" s="59"/>
      <c r="E158" s="59"/>
      <c r="F158" s="59"/>
      <c r="G158" s="59"/>
      <c r="H158" s="59"/>
      <c r="I158" s="59"/>
      <c r="J158" s="200"/>
      <c r="K158" s="59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</row>
    <row r="159" spans="1:28">
      <c r="A159" s="27"/>
      <c r="B159" s="30"/>
      <c r="C159" s="34"/>
      <c r="D159" s="59"/>
      <c r="E159" s="59"/>
      <c r="F159" s="59"/>
      <c r="G159" s="59"/>
      <c r="H159" s="59"/>
      <c r="I159" s="59"/>
      <c r="J159" s="200"/>
      <c r="K159" s="59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</row>
    <row r="160" spans="1:28">
      <c r="A160" s="27"/>
      <c r="B160" s="30"/>
      <c r="C160" s="34"/>
      <c r="D160" s="59"/>
      <c r="E160" s="59"/>
      <c r="F160" s="59"/>
      <c r="G160" s="59"/>
      <c r="H160" s="59"/>
      <c r="I160" s="59"/>
      <c r="J160" s="200"/>
      <c r="K160" s="59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</row>
    <row r="161" spans="1:28">
      <c r="A161" s="27"/>
      <c r="B161" s="30"/>
      <c r="C161" s="34"/>
      <c r="D161" s="59"/>
      <c r="E161" s="59"/>
      <c r="F161" s="59"/>
      <c r="G161" s="59"/>
      <c r="H161" s="59"/>
      <c r="I161" s="59"/>
      <c r="J161" s="200"/>
      <c r="K161" s="59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</row>
    <row r="162" spans="1:28">
      <c r="A162" s="27"/>
      <c r="B162" s="30"/>
      <c r="C162" s="34"/>
      <c r="D162" s="59"/>
      <c r="E162" s="59"/>
      <c r="F162" s="59"/>
      <c r="G162" s="59"/>
      <c r="H162" s="59"/>
      <c r="I162" s="59"/>
      <c r="J162" s="200"/>
      <c r="K162" s="59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</row>
    <row r="163" spans="1:28">
      <c r="A163" s="27"/>
      <c r="B163" s="30"/>
      <c r="C163" s="34"/>
      <c r="D163" s="59"/>
      <c r="E163" s="59"/>
      <c r="F163" s="59"/>
      <c r="G163" s="59"/>
      <c r="H163" s="59"/>
      <c r="I163" s="59"/>
      <c r="J163" s="200"/>
      <c r="K163" s="59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</row>
    <row r="164" spans="1:28">
      <c r="A164" s="27"/>
      <c r="B164" s="30"/>
      <c r="C164" s="34"/>
      <c r="D164" s="59"/>
      <c r="E164" s="59"/>
      <c r="F164" s="59"/>
      <c r="G164" s="59"/>
      <c r="H164" s="59"/>
      <c r="I164" s="59"/>
      <c r="J164" s="200"/>
      <c r="K164" s="59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 spans="1:28">
      <c r="A165" s="27"/>
      <c r="B165" s="30"/>
      <c r="C165" s="34"/>
      <c r="D165" s="59"/>
      <c r="E165" s="59"/>
      <c r="F165" s="59"/>
      <c r="G165" s="59"/>
      <c r="H165" s="59"/>
      <c r="I165" s="59"/>
      <c r="J165" s="200"/>
      <c r="K165" s="59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</row>
    <row r="166" spans="1:28">
      <c r="A166" s="27"/>
      <c r="B166" s="30"/>
      <c r="C166" s="34"/>
      <c r="D166" s="59"/>
      <c r="E166" s="59"/>
      <c r="F166" s="59"/>
      <c r="G166" s="59"/>
      <c r="H166" s="59"/>
      <c r="I166" s="59"/>
      <c r="J166" s="200"/>
      <c r="K166" s="59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 spans="1:28">
      <c r="A167" s="27"/>
      <c r="B167" s="30"/>
      <c r="C167" s="34"/>
      <c r="D167" s="59"/>
      <c r="E167" s="59"/>
      <c r="F167" s="59"/>
      <c r="G167" s="59"/>
      <c r="H167" s="59"/>
      <c r="I167" s="59"/>
      <c r="J167" s="200"/>
      <c r="K167" s="59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 spans="1:28">
      <c r="A168" s="27"/>
      <c r="B168" s="30"/>
      <c r="C168" s="34"/>
      <c r="D168" s="59"/>
      <c r="E168" s="59"/>
      <c r="F168" s="59"/>
      <c r="G168" s="59"/>
      <c r="H168" s="59"/>
      <c r="I168" s="59"/>
      <c r="J168" s="200"/>
      <c r="K168" s="59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 spans="1:28">
      <c r="A169" s="27"/>
      <c r="B169" s="30"/>
      <c r="C169" s="34"/>
      <c r="D169" s="59"/>
      <c r="E169" s="59"/>
      <c r="F169" s="59"/>
      <c r="G169" s="59"/>
      <c r="H169" s="59"/>
      <c r="I169" s="59"/>
      <c r="J169" s="200"/>
      <c r="K169" s="59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 spans="1:28">
      <c r="A170" s="27"/>
      <c r="B170" s="30"/>
      <c r="C170" s="34"/>
      <c r="D170" s="59"/>
      <c r="E170" s="59"/>
      <c r="F170" s="59"/>
      <c r="G170" s="59"/>
      <c r="H170" s="59"/>
      <c r="I170" s="59"/>
      <c r="J170" s="200"/>
      <c r="K170" s="59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 spans="1:28">
      <c r="A171" s="27"/>
      <c r="B171" s="30"/>
      <c r="C171" s="34"/>
      <c r="D171" s="59"/>
      <c r="E171" s="59"/>
      <c r="F171" s="59"/>
      <c r="G171" s="59"/>
      <c r="H171" s="59"/>
      <c r="I171" s="59"/>
      <c r="J171" s="200"/>
      <c r="K171" s="59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</row>
    <row r="172" spans="1:28">
      <c r="A172" s="27"/>
      <c r="B172" s="30"/>
      <c r="C172" s="34"/>
      <c r="D172" s="59"/>
      <c r="E172" s="59"/>
      <c r="F172" s="59"/>
      <c r="G172" s="59"/>
      <c r="H172" s="59"/>
      <c r="I172" s="59"/>
      <c r="J172" s="200"/>
      <c r="K172" s="59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 spans="1:28">
      <c r="A173" s="27"/>
      <c r="B173" s="30"/>
      <c r="C173" s="34"/>
      <c r="D173" s="59"/>
      <c r="E173" s="59"/>
      <c r="F173" s="59"/>
      <c r="G173" s="59"/>
      <c r="H173" s="59"/>
      <c r="I173" s="59"/>
      <c r="J173" s="200"/>
      <c r="K173" s="59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 spans="1:28">
      <c r="A174" s="27"/>
      <c r="B174" s="30"/>
      <c r="C174" s="34"/>
      <c r="D174" s="59"/>
      <c r="E174" s="59"/>
      <c r="F174" s="67"/>
      <c r="G174" s="59"/>
      <c r="H174" s="59"/>
      <c r="I174" s="59"/>
      <c r="J174" s="200"/>
      <c r="K174" s="59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 spans="1:28">
      <c r="A175" s="27"/>
      <c r="B175" s="30"/>
      <c r="C175" s="34"/>
      <c r="D175" s="67"/>
      <c r="E175" s="59"/>
      <c r="F175" s="59"/>
      <c r="G175" s="59"/>
      <c r="H175" s="59"/>
      <c r="I175" s="59"/>
      <c r="J175" s="200"/>
      <c r="K175" s="59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 spans="1:28">
      <c r="A176" s="27"/>
      <c r="B176" s="30"/>
      <c r="C176" s="34"/>
      <c r="D176" s="67"/>
      <c r="E176" s="59"/>
      <c r="F176" s="59"/>
      <c r="G176" s="59"/>
      <c r="H176" s="59"/>
      <c r="I176" s="59"/>
      <c r="J176" s="200"/>
      <c r="K176" s="59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 spans="1:28">
      <c r="A177" s="27"/>
      <c r="B177" s="30"/>
      <c r="C177" s="34"/>
      <c r="D177" s="59"/>
      <c r="E177" s="59"/>
      <c r="F177" s="59"/>
      <c r="G177" s="59"/>
      <c r="H177" s="59"/>
      <c r="I177" s="59"/>
      <c r="J177" s="200"/>
      <c r="K177" s="59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 spans="1:28">
      <c r="A178" s="27"/>
      <c r="B178" s="30"/>
      <c r="C178" s="34"/>
      <c r="D178" s="59"/>
      <c r="E178" s="59"/>
      <c r="F178" s="59"/>
      <c r="G178" s="59"/>
      <c r="H178" s="59"/>
      <c r="I178" s="59"/>
      <c r="J178" s="200"/>
      <c r="K178" s="59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 spans="1:28">
      <c r="A179" s="27"/>
      <c r="B179" s="30"/>
      <c r="C179" s="34"/>
      <c r="D179" s="59"/>
      <c r="E179" s="59"/>
      <c r="F179" s="59"/>
      <c r="G179" s="59"/>
      <c r="H179" s="59"/>
      <c r="I179" s="59"/>
      <c r="J179" s="200"/>
      <c r="K179" s="59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 spans="1:28">
      <c r="A180" s="27"/>
      <c r="B180" s="30"/>
      <c r="C180" s="34"/>
      <c r="D180" s="59"/>
      <c r="E180" s="59"/>
      <c r="F180" s="59"/>
      <c r="G180" s="59"/>
      <c r="H180" s="59"/>
      <c r="I180" s="59"/>
      <c r="J180" s="200"/>
      <c r="K180" s="59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 spans="1:28">
      <c r="A181" s="27"/>
      <c r="B181" s="30"/>
      <c r="C181" s="34"/>
      <c r="D181" s="59"/>
      <c r="E181" s="59"/>
      <c r="F181" s="59"/>
      <c r="G181" s="59"/>
      <c r="H181" s="59"/>
      <c r="I181" s="59"/>
      <c r="J181" s="200"/>
      <c r="K181" s="59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 spans="1:28">
      <c r="A182" s="27"/>
      <c r="B182" s="30"/>
      <c r="C182" s="34"/>
      <c r="D182" s="59"/>
      <c r="E182" s="59"/>
      <c r="F182" s="59"/>
      <c r="G182" s="59"/>
      <c r="H182" s="59"/>
      <c r="I182" s="59"/>
      <c r="J182" s="200"/>
      <c r="K182" s="59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 spans="1:28">
      <c r="A183" s="27"/>
      <c r="B183" s="30"/>
      <c r="C183" s="34"/>
      <c r="D183" s="67"/>
      <c r="E183" s="59"/>
      <c r="F183" s="59"/>
      <c r="G183" s="59"/>
      <c r="H183" s="59"/>
      <c r="I183" s="59"/>
      <c r="J183" s="200"/>
      <c r="K183" s="59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 spans="1:28">
      <c r="A184" s="27"/>
      <c r="B184" s="30"/>
      <c r="C184" s="34"/>
      <c r="D184" s="59"/>
      <c r="E184" s="59"/>
      <c r="F184" s="59"/>
      <c r="G184" s="59"/>
      <c r="H184" s="59"/>
      <c r="I184" s="59"/>
      <c r="J184" s="200"/>
      <c r="K184" s="59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 spans="1:28">
      <c r="A185" s="27"/>
      <c r="B185" s="30"/>
      <c r="C185" s="34"/>
      <c r="D185" s="59"/>
      <c r="E185" s="67"/>
      <c r="F185" s="59"/>
      <c r="G185" s="59"/>
      <c r="H185" s="59"/>
      <c r="I185" s="59"/>
      <c r="J185" s="200"/>
      <c r="K185" s="59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 spans="1:28">
      <c r="A186" s="27"/>
      <c r="B186" s="30"/>
      <c r="C186" s="34"/>
      <c r="D186" s="59"/>
      <c r="E186" s="59"/>
      <c r="F186" s="59"/>
      <c r="G186" s="59"/>
      <c r="H186" s="59"/>
      <c r="I186" s="59"/>
      <c r="J186" s="200"/>
      <c r="K186" s="59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 spans="1:28">
      <c r="A187" s="27"/>
      <c r="B187" s="30"/>
      <c r="C187" s="34"/>
      <c r="D187" s="59"/>
      <c r="E187" s="59"/>
      <c r="F187" s="59"/>
      <c r="G187" s="59"/>
      <c r="H187" s="59"/>
      <c r="I187" s="59"/>
      <c r="J187" s="200"/>
      <c r="K187" s="59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 spans="1:28">
      <c r="A188" s="27"/>
      <c r="B188" s="30"/>
      <c r="C188" s="34"/>
      <c r="D188" s="59"/>
      <c r="E188" s="59"/>
      <c r="F188" s="59"/>
      <c r="G188" s="59"/>
      <c r="H188" s="59"/>
      <c r="I188" s="59"/>
      <c r="J188" s="200"/>
      <c r="K188" s="59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 spans="1:28">
      <c r="A189" s="27"/>
      <c r="B189" s="30"/>
      <c r="C189" s="34"/>
      <c r="D189" s="59"/>
      <c r="E189" s="59"/>
      <c r="F189" s="59"/>
      <c r="G189" s="59"/>
      <c r="H189" s="59"/>
      <c r="I189" s="59"/>
      <c r="J189" s="200"/>
      <c r="K189" s="59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 spans="1:28">
      <c r="A190" s="27"/>
      <c r="B190" s="30"/>
      <c r="C190" s="34"/>
      <c r="D190" s="59"/>
      <c r="E190" s="59"/>
      <c r="F190" s="59"/>
      <c r="G190" s="59"/>
      <c r="H190" s="59"/>
      <c r="I190" s="59"/>
      <c r="J190" s="200"/>
      <c r="K190" s="59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 spans="1:28">
      <c r="A191" s="27"/>
      <c r="B191" s="30"/>
      <c r="C191" s="34"/>
      <c r="D191" s="59"/>
      <c r="E191" s="59"/>
      <c r="F191" s="59"/>
      <c r="G191" s="59"/>
      <c r="H191" s="59"/>
      <c r="I191" s="59"/>
      <c r="J191" s="200"/>
      <c r="K191" s="59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 spans="1:28">
      <c r="A192" s="27"/>
      <c r="B192" s="30"/>
      <c r="C192" s="34"/>
      <c r="D192" s="59"/>
      <c r="E192" s="59"/>
      <c r="F192" s="59"/>
      <c r="G192" s="59"/>
      <c r="H192" s="59"/>
      <c r="I192" s="59"/>
      <c r="J192" s="200"/>
      <c r="K192" s="59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 spans="1:28">
      <c r="A193" s="27"/>
      <c r="B193" s="30"/>
      <c r="C193" s="34"/>
      <c r="D193" s="59"/>
      <c r="E193" s="59"/>
      <c r="F193" s="59"/>
      <c r="G193" s="59"/>
      <c r="H193" s="59"/>
      <c r="I193" s="59"/>
      <c r="J193" s="200"/>
      <c r="K193" s="59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 spans="1:28">
      <c r="A194" s="27"/>
      <c r="B194" s="30"/>
      <c r="C194" s="34"/>
      <c r="D194" s="59"/>
      <c r="E194" s="59"/>
      <c r="F194" s="59"/>
      <c r="G194" s="59"/>
      <c r="H194" s="59"/>
      <c r="I194" s="59"/>
      <c r="J194" s="200"/>
      <c r="K194" s="59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 spans="1:28">
      <c r="A195" s="27"/>
      <c r="B195" s="30"/>
      <c r="C195" s="34"/>
      <c r="D195" s="59"/>
      <c r="E195" s="59"/>
      <c r="F195" s="59"/>
      <c r="G195" s="59"/>
      <c r="H195" s="59"/>
      <c r="I195" s="59"/>
      <c r="J195" s="200"/>
      <c r="K195" s="59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 spans="1:28">
      <c r="A196" s="27"/>
      <c r="B196" s="30"/>
      <c r="C196" s="34"/>
      <c r="D196" s="59"/>
      <c r="E196" s="59"/>
      <c r="F196" s="59"/>
      <c r="G196" s="59"/>
      <c r="H196" s="59"/>
      <c r="I196" s="59"/>
      <c r="J196" s="200"/>
      <c r="K196" s="59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 spans="1:28">
      <c r="A197" s="27"/>
      <c r="B197" s="30"/>
      <c r="C197" s="34"/>
      <c r="D197" s="59"/>
      <c r="E197" s="59"/>
      <c r="F197" s="59"/>
      <c r="G197" s="59"/>
      <c r="H197" s="59"/>
      <c r="I197" s="59"/>
      <c r="J197" s="200"/>
      <c r="K197" s="59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</row>
    <row r="198" spans="1:28">
      <c r="A198" s="27"/>
      <c r="B198" s="30"/>
      <c r="C198" s="34"/>
      <c r="D198" s="59"/>
      <c r="E198" s="59"/>
      <c r="F198" s="59"/>
      <c r="G198" s="59"/>
      <c r="H198" s="59"/>
      <c r="I198" s="59"/>
      <c r="J198" s="200"/>
      <c r="K198" s="59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</row>
    <row r="199" spans="1:28">
      <c r="A199" s="27"/>
      <c r="B199" s="30"/>
      <c r="C199" s="34"/>
      <c r="D199" s="59"/>
      <c r="E199" s="59"/>
      <c r="F199" s="59"/>
      <c r="G199" s="59"/>
      <c r="H199" s="59"/>
      <c r="I199" s="59"/>
      <c r="J199" s="200"/>
      <c r="K199" s="59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 spans="1:28">
      <c r="A200" s="27"/>
      <c r="B200" s="30"/>
      <c r="C200" s="34"/>
      <c r="D200" s="59"/>
      <c r="E200" s="59"/>
      <c r="F200" s="59"/>
      <c r="G200" s="59"/>
      <c r="H200" s="59"/>
      <c r="I200" s="59"/>
      <c r="J200" s="200"/>
      <c r="K200" s="59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</row>
    <row r="201" spans="1:28">
      <c r="A201" s="27"/>
      <c r="B201" s="30"/>
      <c r="C201" s="34"/>
      <c r="D201" s="59"/>
      <c r="E201" s="59"/>
      <c r="F201" s="59"/>
      <c r="G201" s="59"/>
      <c r="H201" s="59"/>
      <c r="I201" s="59"/>
      <c r="J201" s="200"/>
      <c r="K201" s="59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 spans="1:28">
      <c r="A202" s="27"/>
      <c r="B202" s="30"/>
      <c r="C202" s="34"/>
      <c r="D202" s="59"/>
      <c r="E202" s="59"/>
      <c r="F202" s="59"/>
      <c r="G202" s="59"/>
      <c r="H202" s="59"/>
      <c r="I202" s="59"/>
      <c r="J202" s="200"/>
      <c r="K202" s="59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</row>
    <row r="203" spans="1:28">
      <c r="A203" s="27"/>
      <c r="B203" s="30"/>
      <c r="C203" s="34"/>
      <c r="D203" s="59"/>
      <c r="E203" s="59"/>
      <c r="F203" s="59"/>
      <c r="G203" s="59"/>
      <c r="H203" s="59"/>
      <c r="I203" s="59"/>
      <c r="J203" s="200"/>
      <c r="K203" s="59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</row>
    <row r="204" spans="1:28">
      <c r="A204" s="27"/>
      <c r="B204" s="30"/>
      <c r="C204" s="34"/>
      <c r="D204" s="59"/>
      <c r="E204" s="59"/>
      <c r="F204" s="59"/>
      <c r="G204" s="59"/>
      <c r="H204" s="59"/>
      <c r="I204" s="59"/>
      <c r="J204" s="200"/>
      <c r="K204" s="59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 spans="1:28">
      <c r="A205" s="27"/>
      <c r="B205" s="30"/>
      <c r="C205" s="34"/>
      <c r="D205" s="59"/>
      <c r="E205" s="59"/>
      <c r="F205" s="59"/>
      <c r="G205" s="59"/>
      <c r="H205" s="59"/>
      <c r="I205" s="59"/>
      <c r="J205" s="200"/>
      <c r="K205" s="59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</row>
    <row r="206" spans="1:28">
      <c r="A206" s="27"/>
      <c r="B206" s="30"/>
      <c r="C206" s="34"/>
      <c r="D206" s="59"/>
      <c r="E206" s="59"/>
      <c r="F206" s="59"/>
      <c r="G206" s="59"/>
      <c r="H206" s="59"/>
      <c r="I206" s="59"/>
      <c r="J206" s="200"/>
      <c r="K206" s="59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spans="1:28">
      <c r="A207" s="27"/>
      <c r="B207" s="30"/>
      <c r="C207" s="34"/>
      <c r="D207" s="59"/>
      <c r="E207" s="59"/>
      <c r="F207" s="59"/>
      <c r="G207" s="59"/>
      <c r="H207" s="59"/>
      <c r="I207" s="59"/>
      <c r="J207" s="200"/>
      <c r="K207" s="59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 spans="1:28">
      <c r="A208" s="27"/>
      <c r="B208" s="30"/>
      <c r="C208" s="34"/>
      <c r="D208" s="59"/>
      <c r="E208" s="59"/>
      <c r="F208" s="59"/>
      <c r="G208" s="59"/>
      <c r="H208" s="59"/>
      <c r="I208" s="59"/>
      <c r="J208" s="200"/>
      <c r="K208" s="59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spans="1:28">
      <c r="A209" s="27"/>
      <c r="B209" s="30"/>
      <c r="C209" s="34"/>
      <c r="D209" s="59"/>
      <c r="E209" s="59"/>
      <c r="F209" s="59"/>
      <c r="G209" s="59"/>
      <c r="H209" s="59"/>
      <c r="I209" s="59"/>
      <c r="J209" s="200"/>
      <c r="K209" s="59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</row>
    <row r="210" spans="1:28">
      <c r="A210" s="27"/>
      <c r="B210" s="30"/>
      <c r="C210" s="34"/>
      <c r="D210" s="59"/>
      <c r="E210" s="59"/>
      <c r="F210" s="59"/>
      <c r="G210" s="59"/>
      <c r="H210" s="59"/>
      <c r="I210" s="59"/>
      <c r="J210" s="200"/>
      <c r="K210" s="59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</row>
    <row r="211" spans="1:28">
      <c r="A211" s="27"/>
      <c r="B211" s="30"/>
      <c r="C211" s="34"/>
      <c r="D211" s="59"/>
      <c r="E211" s="59"/>
      <c r="F211" s="59"/>
      <c r="G211" s="59"/>
      <c r="H211" s="59"/>
      <c r="I211" s="59"/>
      <c r="J211" s="200"/>
      <c r="K211" s="59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</row>
    <row r="212" spans="1:28">
      <c r="A212" s="27"/>
      <c r="B212" s="30"/>
      <c r="C212" s="34"/>
      <c r="D212" s="59"/>
      <c r="E212" s="59"/>
      <c r="F212" s="59"/>
      <c r="G212" s="59"/>
      <c r="H212" s="59"/>
      <c r="I212" s="59"/>
      <c r="J212" s="200"/>
      <c r="K212" s="59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</row>
    <row r="213" spans="1:28">
      <c r="A213" s="27"/>
      <c r="B213" s="30"/>
      <c r="C213" s="34"/>
      <c r="D213" s="59"/>
      <c r="E213" s="59"/>
      <c r="F213" s="59"/>
      <c r="G213" s="59"/>
      <c r="H213" s="59"/>
      <c r="I213" s="59"/>
      <c r="J213" s="200"/>
      <c r="K213" s="59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 spans="1:28">
      <c r="A214" s="27"/>
      <c r="B214" s="30"/>
      <c r="C214" s="34"/>
      <c r="D214" s="59"/>
      <c r="E214" s="59"/>
      <c r="F214" s="59"/>
      <c r="G214" s="59"/>
      <c r="H214" s="59"/>
      <c r="I214" s="59"/>
      <c r="J214" s="200"/>
      <c r="K214" s="59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 spans="1:28">
      <c r="A215" s="27"/>
      <c r="B215" s="30"/>
      <c r="C215" s="34"/>
      <c r="D215" s="59"/>
      <c r="E215" s="59"/>
      <c r="F215" s="59"/>
      <c r="G215" s="59"/>
      <c r="H215" s="59"/>
      <c r="I215" s="59"/>
      <c r="J215" s="200"/>
      <c r="K215" s="59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 spans="1:28">
      <c r="A216" s="27"/>
      <c r="B216" s="30"/>
      <c r="C216" s="34"/>
      <c r="D216" s="59"/>
      <c r="E216" s="59"/>
      <c r="F216" s="59"/>
      <c r="G216" s="59"/>
      <c r="H216" s="59"/>
      <c r="I216" s="59"/>
      <c r="J216" s="200"/>
      <c r="K216" s="59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</row>
    <row r="217" spans="1:28">
      <c r="A217" s="27"/>
      <c r="B217" s="30"/>
      <c r="C217" s="34"/>
      <c r="D217" s="59"/>
      <c r="E217" s="59"/>
      <c r="F217" s="59"/>
      <c r="G217" s="59"/>
      <c r="H217" s="59"/>
      <c r="I217" s="59"/>
      <c r="J217" s="200"/>
      <c r="K217" s="59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</row>
    <row r="218" spans="1:28">
      <c r="A218" s="27"/>
      <c r="B218" s="30"/>
      <c r="C218" s="34"/>
      <c r="D218" s="59"/>
      <c r="E218" s="59"/>
      <c r="F218" s="59"/>
      <c r="G218" s="59"/>
      <c r="H218" s="59"/>
      <c r="I218" s="59"/>
      <c r="J218" s="200"/>
      <c r="K218" s="59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</row>
    <row r="219" spans="1:28">
      <c r="A219" s="27"/>
      <c r="B219" s="30"/>
      <c r="C219" s="34"/>
      <c r="D219" s="59"/>
      <c r="E219" s="59"/>
      <c r="F219" s="59"/>
      <c r="G219" s="59"/>
      <c r="H219" s="59"/>
      <c r="I219" s="59"/>
      <c r="J219" s="200"/>
      <c r="K219" s="59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 spans="1:28">
      <c r="A220" s="27"/>
      <c r="B220" s="30"/>
      <c r="C220" s="34"/>
      <c r="D220" s="59"/>
      <c r="E220" s="59"/>
      <c r="F220" s="59"/>
      <c r="G220" s="59"/>
      <c r="H220" s="59"/>
      <c r="I220" s="59"/>
      <c r="J220" s="200"/>
      <c r="K220" s="59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 spans="1:28">
      <c r="A221" s="27"/>
      <c r="B221" s="30"/>
      <c r="C221" s="34"/>
      <c r="D221" s="59"/>
      <c r="E221" s="59"/>
      <c r="F221" s="59"/>
      <c r="G221" s="59"/>
      <c r="H221" s="59"/>
      <c r="I221" s="59"/>
      <c r="J221" s="200"/>
      <c r="K221" s="59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</row>
    <row r="222" spans="1:28">
      <c r="A222" s="27"/>
      <c r="B222" s="30"/>
      <c r="C222" s="34"/>
      <c r="D222" s="59"/>
      <c r="E222" s="59"/>
      <c r="F222" s="59"/>
      <c r="G222" s="59"/>
      <c r="H222" s="59"/>
      <c r="I222" s="59"/>
      <c r="J222" s="200"/>
      <c r="K222" s="59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</row>
    <row r="223" spans="1:28">
      <c r="A223" s="27"/>
      <c r="B223" s="30"/>
      <c r="C223" s="34"/>
      <c r="D223" s="59"/>
      <c r="E223" s="59"/>
      <c r="F223" s="59"/>
      <c r="G223" s="59"/>
      <c r="H223" s="59"/>
      <c r="I223" s="59"/>
      <c r="J223" s="200"/>
      <c r="K223" s="59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</row>
    <row r="224" spans="1:28">
      <c r="A224" s="27"/>
      <c r="B224" s="30"/>
      <c r="C224" s="34"/>
      <c r="D224" s="59"/>
      <c r="E224" s="59"/>
      <c r="F224" s="59"/>
      <c r="G224" s="59"/>
      <c r="H224" s="59"/>
      <c r="I224" s="59"/>
      <c r="J224" s="200"/>
      <c r="K224" s="59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</row>
    <row r="225" spans="1:28">
      <c r="A225" s="27"/>
      <c r="B225" s="30"/>
      <c r="C225" s="34"/>
      <c r="D225" s="59"/>
      <c r="E225" s="59"/>
      <c r="F225" s="59"/>
      <c r="G225" s="59"/>
      <c r="H225" s="59"/>
      <c r="I225" s="59"/>
      <c r="J225" s="200"/>
      <c r="K225" s="59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</row>
    <row r="226" spans="1:28">
      <c r="A226" s="27"/>
      <c r="B226" s="30"/>
      <c r="C226" s="34"/>
      <c r="D226" s="59"/>
      <c r="E226" s="59"/>
      <c r="F226" s="59"/>
      <c r="G226" s="59"/>
      <c r="H226" s="59"/>
      <c r="I226" s="59"/>
      <c r="J226" s="200"/>
      <c r="K226" s="59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</row>
    <row r="227" spans="1:28">
      <c r="A227" s="27"/>
      <c r="B227" s="30"/>
      <c r="C227" s="34"/>
      <c r="D227" s="59"/>
      <c r="E227" s="59"/>
      <c r="F227" s="59"/>
      <c r="G227" s="59"/>
      <c r="H227" s="59"/>
      <c r="I227" s="59"/>
      <c r="J227" s="200"/>
      <c r="K227" s="59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</row>
    <row r="228" spans="1:28">
      <c r="A228" s="27"/>
      <c r="B228" s="30"/>
      <c r="C228" s="34"/>
      <c r="D228" s="59"/>
      <c r="E228" s="59"/>
      <c r="F228" s="59"/>
      <c r="G228" s="59"/>
      <c r="H228" s="59"/>
      <c r="I228" s="59"/>
      <c r="J228" s="200"/>
      <c r="K228" s="59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</row>
    <row r="229" spans="1:28">
      <c r="A229" s="27"/>
      <c r="B229" s="30"/>
      <c r="C229" s="34"/>
      <c r="D229" s="59"/>
      <c r="E229" s="59"/>
      <c r="F229" s="59"/>
      <c r="G229" s="59"/>
      <c r="H229" s="59"/>
      <c r="I229" s="59"/>
      <c r="J229" s="200"/>
      <c r="K229" s="59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</row>
    <row r="230" spans="1:28">
      <c r="A230" s="27"/>
      <c r="B230" s="30"/>
      <c r="C230" s="34"/>
      <c r="D230" s="59"/>
      <c r="E230" s="59"/>
      <c r="F230" s="59"/>
      <c r="G230" s="59"/>
      <c r="H230" s="59"/>
      <c r="I230" s="59"/>
      <c r="J230" s="200"/>
      <c r="K230" s="59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</row>
    <row r="231" spans="1:28">
      <c r="A231" s="27"/>
      <c r="B231" s="30"/>
      <c r="C231" s="34"/>
      <c r="D231" s="59"/>
      <c r="E231" s="59"/>
      <c r="F231" s="59"/>
      <c r="G231" s="59"/>
      <c r="H231" s="59"/>
      <c r="I231" s="59"/>
      <c r="J231" s="200"/>
      <c r="K231" s="59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</row>
    <row r="232" spans="1:28">
      <c r="A232" s="27"/>
      <c r="B232" s="30"/>
      <c r="C232" s="34"/>
      <c r="D232" s="59"/>
      <c r="E232" s="59"/>
      <c r="F232" s="67"/>
      <c r="G232" s="59"/>
      <c r="H232" s="59"/>
      <c r="I232" s="59"/>
      <c r="J232" s="200"/>
      <c r="K232" s="59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</row>
    <row r="233" spans="1:28">
      <c r="A233" s="27"/>
      <c r="B233" s="30"/>
      <c r="C233" s="34"/>
      <c r="D233" s="59"/>
      <c r="E233" s="59"/>
      <c r="F233" s="59"/>
      <c r="G233" s="59"/>
      <c r="H233" s="59"/>
      <c r="I233" s="59"/>
      <c r="J233" s="200"/>
      <c r="K233" s="59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</row>
    <row r="234" spans="1:28">
      <c r="A234" s="27"/>
      <c r="B234" s="30"/>
      <c r="C234" s="34"/>
      <c r="D234" s="59"/>
      <c r="E234" s="59"/>
      <c r="F234" s="59"/>
      <c r="G234" s="59"/>
      <c r="H234" s="59"/>
      <c r="I234" s="59"/>
      <c r="J234" s="200"/>
      <c r="K234" s="59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</row>
    <row r="235" spans="1:28">
      <c r="A235" s="27"/>
      <c r="B235" s="30"/>
      <c r="C235" s="34"/>
      <c r="D235" s="59"/>
      <c r="E235" s="59"/>
      <c r="F235" s="59"/>
      <c r="G235" s="59"/>
      <c r="H235" s="59"/>
      <c r="I235" s="59"/>
      <c r="J235" s="200"/>
      <c r="K235" s="59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</row>
    <row r="236" spans="1:28">
      <c r="A236" s="27"/>
      <c r="B236" s="30"/>
      <c r="C236" s="34"/>
      <c r="D236" s="59"/>
      <c r="E236" s="59"/>
      <c r="F236" s="59"/>
      <c r="G236" s="59"/>
      <c r="H236" s="59"/>
      <c r="I236" s="59"/>
      <c r="J236" s="200"/>
      <c r="K236" s="59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</row>
    <row r="237" spans="1:28">
      <c r="A237" s="27"/>
      <c r="B237" s="30"/>
      <c r="C237" s="34"/>
      <c r="D237" s="59"/>
      <c r="E237" s="59"/>
      <c r="F237" s="59"/>
      <c r="G237" s="59"/>
      <c r="H237" s="59"/>
      <c r="I237" s="59"/>
      <c r="J237" s="200"/>
      <c r="K237" s="59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</row>
    <row r="238" spans="1:28">
      <c r="A238" s="27"/>
      <c r="B238" s="30"/>
      <c r="C238" s="34"/>
      <c r="D238" s="59"/>
      <c r="E238" s="59"/>
      <c r="F238" s="59"/>
      <c r="G238" s="59"/>
      <c r="H238" s="59"/>
      <c r="I238" s="59"/>
      <c r="J238" s="200"/>
      <c r="K238" s="59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</row>
    <row r="239" spans="1:28">
      <c r="A239" s="27"/>
      <c r="B239" s="30"/>
      <c r="C239" s="34"/>
      <c r="D239" s="59"/>
      <c r="E239" s="59"/>
      <c r="F239" s="59"/>
      <c r="G239" s="59"/>
      <c r="H239" s="59"/>
      <c r="I239" s="59"/>
      <c r="J239" s="200"/>
      <c r="K239" s="59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</row>
    <row r="240" spans="1:28">
      <c r="A240" s="27"/>
      <c r="B240" s="30"/>
      <c r="C240" s="34"/>
      <c r="D240" s="59"/>
      <c r="E240" s="59"/>
      <c r="F240" s="59"/>
      <c r="G240" s="59"/>
      <c r="H240" s="59"/>
      <c r="I240" s="59"/>
      <c r="J240" s="200"/>
      <c r="K240" s="59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</row>
    <row r="241" spans="1:28">
      <c r="A241" s="27"/>
      <c r="B241" s="30"/>
      <c r="C241" s="34"/>
      <c r="D241" s="59"/>
      <c r="E241" s="59"/>
      <c r="F241" s="59"/>
      <c r="G241" s="59"/>
      <c r="H241" s="59"/>
      <c r="I241" s="59"/>
      <c r="J241" s="200"/>
      <c r="K241" s="59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</row>
    <row r="242" spans="1:28">
      <c r="A242" s="27"/>
      <c r="B242" s="30"/>
      <c r="C242" s="34"/>
      <c r="D242" s="30"/>
      <c r="E242" s="30"/>
      <c r="F242" s="30"/>
      <c r="G242" s="30"/>
      <c r="H242" s="30"/>
      <c r="I242" s="30"/>
      <c r="J242" s="41"/>
      <c r="K242" s="30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 spans="1:28">
      <c r="A243" s="27"/>
      <c r="B243" s="30"/>
      <c r="C243" s="34"/>
      <c r="D243" s="30"/>
      <c r="E243" s="30"/>
      <c r="F243" s="30"/>
      <c r="G243" s="30"/>
      <c r="H243" s="30"/>
      <c r="I243" s="30"/>
      <c r="J243" s="41"/>
      <c r="K243" s="30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</row>
    <row r="244" spans="1:28">
      <c r="A244" s="27"/>
      <c r="B244" s="30"/>
      <c r="C244" s="34"/>
      <c r="D244" s="30"/>
      <c r="E244" s="30"/>
      <c r="F244" s="30"/>
      <c r="G244" s="30"/>
      <c r="H244" s="30"/>
      <c r="I244" s="30"/>
      <c r="J244" s="41"/>
      <c r="K244" s="30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 spans="1:28">
      <c r="A245" s="27"/>
      <c r="B245" s="30"/>
      <c r="C245" s="34"/>
      <c r="D245" s="30"/>
      <c r="E245" s="30"/>
      <c r="F245" s="30"/>
      <c r="G245" s="30"/>
      <c r="H245" s="30"/>
      <c r="I245" s="30"/>
      <c r="J245" s="41"/>
      <c r="K245" s="30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</row>
    <row r="246" spans="1:28">
      <c r="A246" s="27"/>
      <c r="B246" s="30"/>
      <c r="C246" s="34"/>
      <c r="D246" s="30"/>
      <c r="E246" s="30"/>
      <c r="F246" s="30"/>
      <c r="G246" s="30"/>
      <c r="H246" s="30"/>
      <c r="I246" s="30"/>
      <c r="J246" s="41"/>
      <c r="K246" s="30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</row>
    <row r="247" spans="1:28">
      <c r="A247" s="27"/>
      <c r="B247" s="30"/>
      <c r="C247" s="34"/>
      <c r="D247" s="30"/>
      <c r="E247" s="30"/>
      <c r="F247" s="30"/>
      <c r="G247" s="30"/>
      <c r="H247" s="30"/>
      <c r="I247" s="30"/>
      <c r="J247" s="41"/>
      <c r="K247" s="30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</row>
    <row r="248" spans="1:28">
      <c r="A248" s="27"/>
      <c r="B248" s="30"/>
      <c r="C248" s="34"/>
      <c r="D248" s="30"/>
      <c r="E248" s="30"/>
      <c r="F248" s="30"/>
      <c r="G248" s="30"/>
      <c r="H248" s="30"/>
      <c r="I248" s="30"/>
      <c r="J248" s="41"/>
      <c r="K248" s="30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</row>
    <row r="249" spans="1:28">
      <c r="A249" s="27"/>
      <c r="B249" s="30"/>
      <c r="C249" s="34"/>
      <c r="D249" s="30"/>
      <c r="E249" s="30"/>
      <c r="F249" s="30"/>
      <c r="G249" s="30"/>
      <c r="H249" s="30"/>
      <c r="I249" s="30"/>
      <c r="J249" s="41"/>
      <c r="K249" s="30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</row>
    <row r="250" spans="1:28">
      <c r="A250" s="27"/>
      <c r="B250" s="30"/>
      <c r="C250" s="34"/>
      <c r="D250" s="30"/>
      <c r="E250" s="30"/>
      <c r="F250" s="30"/>
      <c r="G250" s="30"/>
      <c r="H250" s="30"/>
      <c r="I250" s="30"/>
      <c r="J250" s="41"/>
      <c r="K250" s="30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</row>
    <row r="251" spans="1:28">
      <c r="A251" s="27"/>
      <c r="B251" s="30"/>
      <c r="C251" s="34"/>
      <c r="D251" s="30"/>
      <c r="E251" s="30"/>
      <c r="F251" s="30"/>
      <c r="G251" s="30"/>
      <c r="H251" s="30"/>
      <c r="I251" s="30"/>
      <c r="J251" s="41"/>
      <c r="K251" s="30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</row>
    <row r="252" spans="1:28">
      <c r="A252" s="27"/>
      <c r="B252" s="30"/>
      <c r="C252" s="34"/>
      <c r="D252" s="30"/>
      <c r="E252" s="30"/>
      <c r="F252" s="30"/>
      <c r="G252" s="30"/>
      <c r="H252" s="30"/>
      <c r="I252" s="30"/>
      <c r="J252" s="41"/>
      <c r="K252" s="30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</row>
    <row r="253" spans="1:28">
      <c r="A253" s="27"/>
      <c r="B253" s="30"/>
      <c r="C253" s="34"/>
      <c r="D253" s="30"/>
      <c r="E253" s="30"/>
      <c r="F253" s="30"/>
      <c r="G253" s="30"/>
      <c r="H253" s="30"/>
      <c r="I253" s="30"/>
      <c r="J253" s="41"/>
      <c r="K253" s="30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</row>
    <row r="254" spans="1:28">
      <c r="A254" s="27"/>
      <c r="B254" s="30"/>
      <c r="C254" s="34"/>
      <c r="D254" s="30"/>
      <c r="E254" s="30"/>
      <c r="F254" s="30"/>
      <c r="G254" s="30"/>
      <c r="H254" s="30"/>
      <c r="I254" s="30"/>
      <c r="J254" s="41"/>
      <c r="K254" s="30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</row>
    <row r="255" spans="1:28">
      <c r="A255" s="27"/>
      <c r="B255" s="30"/>
      <c r="C255" s="34"/>
      <c r="D255" s="30"/>
      <c r="E255" s="30"/>
      <c r="F255" s="30"/>
      <c r="G255" s="30"/>
      <c r="H255" s="30"/>
      <c r="I255" s="30"/>
      <c r="J255" s="41"/>
      <c r="K255" s="30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</row>
    <row r="256" spans="1:28">
      <c r="A256" s="27"/>
      <c r="B256" s="30"/>
      <c r="C256" s="34"/>
      <c r="D256" s="30"/>
      <c r="E256" s="30"/>
      <c r="F256" s="30"/>
      <c r="G256" s="30"/>
      <c r="H256" s="30"/>
      <c r="I256" s="30"/>
      <c r="J256" s="41"/>
      <c r="K256" s="30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</row>
    <row r="257" spans="1:28">
      <c r="A257" s="27"/>
      <c r="B257" s="30"/>
      <c r="C257" s="34"/>
      <c r="D257" s="30"/>
      <c r="E257" s="30"/>
      <c r="F257" s="30"/>
      <c r="G257" s="30"/>
      <c r="H257" s="30"/>
      <c r="I257" s="30"/>
      <c r="J257" s="41"/>
      <c r="K257" s="30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</row>
    <row r="258" spans="1:28">
      <c r="A258" s="27"/>
      <c r="B258" s="30"/>
      <c r="C258" s="34"/>
      <c r="D258" s="30"/>
      <c r="E258" s="30"/>
      <c r="F258" s="30"/>
      <c r="G258" s="30"/>
      <c r="H258" s="30"/>
      <c r="I258" s="30"/>
      <c r="J258" s="41"/>
      <c r="K258" s="30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</row>
    <row r="259" spans="1:28">
      <c r="A259" s="27"/>
      <c r="B259" s="30"/>
      <c r="C259" s="34"/>
      <c r="D259" s="30"/>
      <c r="E259" s="30"/>
      <c r="F259" s="30"/>
      <c r="G259" s="30"/>
      <c r="H259" s="30"/>
      <c r="I259" s="30"/>
      <c r="J259" s="41"/>
      <c r="K259" s="30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</row>
    <row r="260" spans="1:28">
      <c r="A260" s="27"/>
      <c r="B260" s="30"/>
      <c r="C260" s="34"/>
      <c r="D260" s="30"/>
      <c r="E260" s="30"/>
      <c r="F260" s="30"/>
      <c r="G260" s="30"/>
      <c r="H260" s="30"/>
      <c r="I260" s="30"/>
      <c r="J260" s="41"/>
      <c r="K260" s="30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</row>
    <row r="261" spans="1:28">
      <c r="A261" s="27"/>
      <c r="B261" s="30"/>
      <c r="C261" s="34"/>
      <c r="D261" s="30"/>
      <c r="E261" s="30"/>
      <c r="F261" s="30"/>
      <c r="G261" s="30"/>
      <c r="H261" s="30"/>
      <c r="I261" s="30"/>
      <c r="J261" s="41"/>
      <c r="K261" s="30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</row>
    <row r="262" spans="1:28">
      <c r="A262" s="27"/>
      <c r="B262" s="30"/>
      <c r="C262" s="34"/>
      <c r="D262" s="30"/>
      <c r="E262" s="30"/>
      <c r="F262" s="30"/>
      <c r="G262" s="30"/>
      <c r="H262" s="30"/>
      <c r="I262" s="30"/>
      <c r="J262" s="41"/>
      <c r="K262" s="30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</row>
    <row r="263" spans="1:28">
      <c r="A263" s="27"/>
      <c r="B263" s="30"/>
      <c r="C263" s="34"/>
      <c r="D263" s="30"/>
      <c r="E263" s="30"/>
      <c r="F263" s="30"/>
      <c r="G263" s="30"/>
      <c r="H263" s="30"/>
      <c r="I263" s="30"/>
      <c r="J263" s="41"/>
      <c r="K263" s="30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</row>
    <row r="264" spans="1:28">
      <c r="A264" s="27"/>
      <c r="B264" s="30"/>
      <c r="C264" s="34"/>
      <c r="D264" s="30"/>
      <c r="E264" s="30"/>
      <c r="F264" s="30"/>
      <c r="G264" s="30"/>
      <c r="H264" s="30"/>
      <c r="I264" s="30"/>
      <c r="J264" s="41"/>
      <c r="K264" s="30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</row>
    <row r="265" spans="1:28">
      <c r="A265" s="27"/>
      <c r="B265" s="30"/>
      <c r="C265" s="34"/>
      <c r="D265" s="30"/>
      <c r="E265" s="30"/>
      <c r="F265" s="30"/>
      <c r="G265" s="30"/>
      <c r="H265" s="30"/>
      <c r="I265" s="30"/>
      <c r="J265" s="41"/>
      <c r="K265" s="30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</row>
    <row r="266" spans="1:28">
      <c r="A266" s="27"/>
      <c r="B266" s="30"/>
      <c r="C266" s="34"/>
      <c r="D266" s="30"/>
      <c r="E266" s="30"/>
      <c r="F266" s="30"/>
      <c r="G266" s="30"/>
      <c r="H266" s="30"/>
      <c r="I266" s="30"/>
      <c r="J266" s="41"/>
      <c r="K266" s="30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</row>
    <row r="267" spans="1:28">
      <c r="A267" s="27"/>
      <c r="B267" s="30"/>
      <c r="C267" s="34"/>
      <c r="D267" s="30"/>
      <c r="E267" s="30"/>
      <c r="F267" s="30"/>
      <c r="G267" s="30"/>
      <c r="H267" s="30"/>
      <c r="I267" s="30"/>
      <c r="J267" s="41"/>
      <c r="K267" s="30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</row>
    <row r="268" spans="1:28">
      <c r="A268" s="27"/>
      <c r="B268" s="30"/>
      <c r="C268" s="34"/>
      <c r="D268" s="30"/>
      <c r="E268" s="30"/>
      <c r="F268" s="30"/>
      <c r="G268" s="30"/>
      <c r="H268" s="30"/>
      <c r="I268" s="30"/>
      <c r="J268" s="41"/>
      <c r="K268" s="30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</row>
    <row r="269" spans="1:28">
      <c r="A269" s="27"/>
      <c r="B269" s="30"/>
      <c r="C269" s="34"/>
      <c r="D269" s="30"/>
      <c r="E269" s="30"/>
      <c r="F269" s="30"/>
      <c r="G269" s="30"/>
      <c r="H269" s="30"/>
      <c r="I269" s="30"/>
      <c r="J269" s="41"/>
      <c r="K269" s="30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</row>
    <row r="270" spans="1:28">
      <c r="A270" s="27"/>
      <c r="B270" s="30"/>
      <c r="C270" s="34"/>
      <c r="D270" s="30"/>
      <c r="E270" s="30"/>
      <c r="F270" s="30"/>
      <c r="G270" s="30"/>
      <c r="H270" s="30"/>
      <c r="I270" s="30"/>
      <c r="J270" s="41"/>
      <c r="K270" s="30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</row>
    <row r="271" spans="1:28">
      <c r="A271" s="27"/>
      <c r="B271" s="30"/>
      <c r="C271" s="34"/>
      <c r="D271" s="30"/>
      <c r="E271" s="30"/>
      <c r="F271" s="30"/>
      <c r="G271" s="30"/>
      <c r="H271" s="30"/>
      <c r="I271" s="30"/>
      <c r="J271" s="41"/>
      <c r="K271" s="30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</row>
    <row r="272" spans="1:28">
      <c r="A272" s="27"/>
      <c r="B272" s="30"/>
      <c r="C272" s="34"/>
      <c r="D272" s="30"/>
      <c r="E272" s="30"/>
      <c r="F272" s="30"/>
      <c r="G272" s="30"/>
      <c r="H272" s="30"/>
      <c r="I272" s="30"/>
      <c r="J272" s="41"/>
      <c r="K272" s="30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</row>
    <row r="273" spans="1:28">
      <c r="A273" s="27"/>
      <c r="B273" s="30"/>
      <c r="C273" s="34"/>
      <c r="D273" s="30"/>
      <c r="E273" s="30"/>
      <c r="F273" s="30"/>
      <c r="G273" s="30"/>
      <c r="H273" s="30"/>
      <c r="I273" s="30"/>
      <c r="J273" s="41"/>
      <c r="K273" s="30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</row>
    <row r="274" spans="1:28">
      <c r="A274" s="27"/>
      <c r="B274" s="30"/>
      <c r="C274" s="34"/>
      <c r="D274" s="30"/>
      <c r="E274" s="30"/>
      <c r="F274" s="30"/>
      <c r="G274" s="30"/>
      <c r="H274" s="30"/>
      <c r="I274" s="30"/>
      <c r="J274" s="41"/>
      <c r="K274" s="30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</row>
    <row r="275" spans="1:28">
      <c r="A275" s="27"/>
      <c r="B275" s="30"/>
      <c r="C275" s="34"/>
      <c r="D275" s="30"/>
      <c r="E275" s="30"/>
      <c r="F275" s="30"/>
      <c r="G275" s="30"/>
      <c r="H275" s="30"/>
      <c r="I275" s="30"/>
      <c r="J275" s="41"/>
      <c r="K275" s="30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</row>
    <row r="276" spans="1:28">
      <c r="A276" s="27"/>
      <c r="B276" s="30"/>
      <c r="C276" s="34"/>
      <c r="D276" s="30"/>
      <c r="E276" s="30"/>
      <c r="F276" s="30"/>
      <c r="G276" s="30"/>
      <c r="H276" s="30"/>
      <c r="I276" s="30"/>
      <c r="J276" s="41"/>
      <c r="K276" s="30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</row>
    <row r="277" spans="1:28">
      <c r="A277" s="27"/>
      <c r="B277" s="30"/>
      <c r="C277" s="34"/>
      <c r="D277" s="30"/>
      <c r="E277" s="30"/>
      <c r="F277" s="30"/>
      <c r="G277" s="30"/>
      <c r="H277" s="30"/>
      <c r="I277" s="30"/>
      <c r="J277" s="41"/>
      <c r="K277" s="30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</row>
    <row r="278" spans="1:28">
      <c r="A278" s="27"/>
      <c r="B278" s="30"/>
      <c r="C278" s="34"/>
      <c r="D278" s="30"/>
      <c r="E278" s="30"/>
      <c r="F278" s="30"/>
      <c r="G278" s="30"/>
      <c r="H278" s="30"/>
      <c r="I278" s="30"/>
      <c r="J278" s="41"/>
      <c r="K278" s="30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</row>
    <row r="279" spans="1:28">
      <c r="A279" s="27"/>
      <c r="B279" s="30"/>
      <c r="C279" s="34"/>
      <c r="D279" s="30"/>
      <c r="E279" s="30"/>
      <c r="F279" s="30"/>
      <c r="G279" s="30"/>
      <c r="H279" s="30"/>
      <c r="I279" s="30"/>
      <c r="J279" s="41"/>
      <c r="K279" s="30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</row>
    <row r="280" spans="1:28">
      <c r="A280" s="27"/>
      <c r="B280" s="30"/>
      <c r="C280" s="34"/>
      <c r="D280" s="30"/>
      <c r="E280" s="30"/>
      <c r="F280" s="30"/>
      <c r="G280" s="30"/>
      <c r="H280" s="30"/>
      <c r="I280" s="30"/>
      <c r="J280" s="41"/>
      <c r="K280" s="30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</row>
    <row r="281" spans="1:28">
      <c r="A281" s="27"/>
      <c r="B281" s="30"/>
      <c r="C281" s="34"/>
      <c r="D281" s="30"/>
      <c r="E281" s="30"/>
      <c r="F281" s="30"/>
      <c r="G281" s="30"/>
      <c r="H281" s="30"/>
      <c r="I281" s="30"/>
      <c r="J281" s="41"/>
      <c r="K281" s="30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 spans="1:28">
      <c r="A282" s="27"/>
      <c r="B282" s="30"/>
      <c r="C282" s="34"/>
      <c r="D282" s="30"/>
      <c r="E282" s="30"/>
      <c r="F282" s="30"/>
      <c r="G282" s="30"/>
      <c r="H282" s="30"/>
      <c r="I282" s="30"/>
      <c r="J282" s="41"/>
      <c r="K282" s="30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</row>
    <row r="283" spans="1:28">
      <c r="A283" s="27"/>
      <c r="B283" s="30"/>
      <c r="C283" s="34"/>
      <c r="D283" s="30"/>
      <c r="E283" s="30"/>
      <c r="F283" s="30"/>
      <c r="G283" s="30"/>
      <c r="H283" s="30"/>
      <c r="I283" s="30"/>
      <c r="J283" s="41"/>
      <c r="K283" s="30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 spans="1:28">
      <c r="A284" s="27"/>
      <c r="B284" s="30"/>
      <c r="C284" s="34"/>
      <c r="D284" s="30"/>
      <c r="E284" s="30"/>
      <c r="F284" s="30"/>
      <c r="G284" s="30"/>
      <c r="H284" s="30"/>
      <c r="I284" s="30"/>
      <c r="J284" s="41"/>
      <c r="K284" s="30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</row>
    <row r="285" spans="1:28">
      <c r="A285" s="27"/>
      <c r="B285" s="30"/>
      <c r="C285" s="34"/>
      <c r="D285" s="30"/>
      <c r="E285" s="30"/>
      <c r="F285" s="30"/>
      <c r="G285" s="30"/>
      <c r="H285" s="30"/>
      <c r="I285" s="30"/>
      <c r="J285" s="41"/>
      <c r="K285" s="30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</row>
    <row r="286" spans="1:28">
      <c r="A286" s="27"/>
      <c r="B286" s="30"/>
      <c r="C286" s="34"/>
      <c r="D286" s="30"/>
      <c r="E286" s="30"/>
      <c r="F286" s="30"/>
      <c r="G286" s="30"/>
      <c r="H286" s="30"/>
      <c r="I286" s="30"/>
      <c r="J286" s="41"/>
      <c r="K286" s="30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</row>
    <row r="287" spans="1:28">
      <c r="A287" s="27"/>
      <c r="B287" s="30"/>
      <c r="C287" s="34"/>
      <c r="D287" s="30"/>
      <c r="E287" s="30"/>
      <c r="F287" s="30"/>
      <c r="G287" s="30"/>
      <c r="H287" s="30"/>
      <c r="I287" s="30"/>
      <c r="J287" s="41"/>
      <c r="K287" s="30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</row>
    <row r="288" spans="1:28">
      <c r="A288" s="27"/>
      <c r="B288" s="30"/>
      <c r="C288" s="34"/>
      <c r="D288" s="50"/>
      <c r="E288" s="30"/>
      <c r="F288" s="30"/>
      <c r="G288" s="30"/>
      <c r="H288" s="30"/>
      <c r="I288" s="30"/>
      <c r="J288" s="41"/>
      <c r="K288" s="30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 spans="1:28">
      <c r="A289" s="27"/>
      <c r="B289" s="30"/>
      <c r="C289" s="34"/>
      <c r="D289" s="67"/>
      <c r="E289" s="30"/>
      <c r="F289" s="30"/>
      <c r="G289" s="30"/>
      <c r="H289" s="30"/>
      <c r="I289" s="30"/>
      <c r="J289" s="41"/>
      <c r="K289" s="30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</row>
    <row r="290" spans="1:28">
      <c r="A290" s="27"/>
      <c r="B290" s="30"/>
      <c r="C290" s="34"/>
      <c r="D290" s="30"/>
      <c r="E290" s="67"/>
      <c r="F290" s="30"/>
      <c r="G290" s="30"/>
      <c r="H290" s="30"/>
      <c r="I290" s="30"/>
      <c r="J290" s="41"/>
      <c r="K290" s="30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 spans="1:28">
      <c r="A291" s="27"/>
      <c r="B291" s="30"/>
      <c r="C291" s="34"/>
      <c r="D291" s="30"/>
      <c r="E291" s="30"/>
      <c r="F291" s="30"/>
      <c r="G291" s="30"/>
      <c r="H291" s="30"/>
      <c r="I291" s="30"/>
      <c r="J291" s="41"/>
      <c r="K291" s="30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</row>
    <row r="292" spans="1:28">
      <c r="A292" s="27"/>
      <c r="B292" s="30"/>
      <c r="C292" s="34"/>
      <c r="D292" s="30"/>
      <c r="E292" s="30"/>
      <c r="F292" s="30"/>
      <c r="G292" s="30"/>
      <c r="H292" s="30"/>
      <c r="I292" s="30"/>
      <c r="J292" s="41"/>
      <c r="K292" s="30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</row>
    <row r="293" spans="1:28">
      <c r="A293" s="27"/>
      <c r="B293" s="30"/>
      <c r="C293" s="34"/>
      <c r="D293" s="30"/>
      <c r="E293" s="30"/>
      <c r="F293" s="30"/>
      <c r="G293" s="30"/>
      <c r="H293" s="30"/>
      <c r="I293" s="30"/>
      <c r="J293" s="41"/>
      <c r="K293" s="30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 spans="1:28">
      <c r="A294" s="27"/>
      <c r="B294" s="30"/>
      <c r="C294" s="34"/>
      <c r="D294" s="30"/>
      <c r="E294" s="30"/>
      <c r="F294" s="30"/>
      <c r="G294" s="30"/>
      <c r="H294" s="30"/>
      <c r="I294" s="30"/>
      <c r="J294" s="41"/>
      <c r="K294" s="30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</row>
    <row r="295" spans="1:28">
      <c r="A295" s="27"/>
      <c r="B295" s="30"/>
      <c r="C295" s="34"/>
      <c r="D295" s="30"/>
      <c r="E295" s="30"/>
      <c r="F295" s="30"/>
      <c r="G295" s="30"/>
      <c r="H295" s="30"/>
      <c r="I295" s="30"/>
      <c r="J295" s="41"/>
      <c r="K295" s="30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 spans="1:28">
      <c r="A296" s="27"/>
      <c r="B296" s="30"/>
      <c r="C296" s="34"/>
      <c r="D296" s="30"/>
      <c r="E296" s="30"/>
      <c r="F296" s="30"/>
      <c r="G296" s="30"/>
      <c r="H296" s="30"/>
      <c r="I296" s="30"/>
      <c r="J296" s="41"/>
      <c r="K296" s="30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</row>
    <row r="297" spans="1:28">
      <c r="A297" s="27"/>
      <c r="B297" s="30"/>
      <c r="C297" s="34"/>
      <c r="D297" s="30"/>
      <c r="E297" s="30"/>
      <c r="F297" s="30"/>
      <c r="G297" s="30"/>
      <c r="H297" s="30"/>
      <c r="I297" s="30"/>
      <c r="J297" s="41"/>
      <c r="K297" s="30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 spans="1:28">
      <c r="A298" s="27"/>
      <c r="B298" s="30"/>
      <c r="C298" s="34"/>
      <c r="D298" s="30"/>
      <c r="E298" s="30"/>
      <c r="F298" s="30"/>
      <c r="G298" s="30"/>
      <c r="H298" s="30"/>
      <c r="I298" s="30"/>
      <c r="J298" s="41"/>
      <c r="K298" s="30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</row>
    <row r="299" spans="1:28">
      <c r="A299" s="27"/>
      <c r="B299" s="30"/>
      <c r="C299" s="34"/>
      <c r="D299" s="30"/>
      <c r="E299" s="30"/>
      <c r="F299" s="30"/>
      <c r="G299" s="30"/>
      <c r="H299" s="30"/>
      <c r="I299" s="30"/>
      <c r="J299" s="41"/>
      <c r="K299" s="30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 spans="1:28">
      <c r="A300" s="27"/>
      <c r="B300" s="30"/>
      <c r="C300" s="34"/>
      <c r="D300" s="30"/>
      <c r="E300" s="30"/>
      <c r="F300" s="30"/>
      <c r="G300" s="30"/>
      <c r="H300" s="30"/>
      <c r="I300" s="30"/>
      <c r="J300" s="41"/>
      <c r="K300" s="30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 spans="1:28">
      <c r="A301" s="27"/>
      <c r="B301" s="30"/>
      <c r="C301" s="34"/>
      <c r="D301" s="30"/>
      <c r="E301" s="30"/>
      <c r="F301" s="30"/>
      <c r="G301" s="30"/>
      <c r="H301" s="30"/>
      <c r="I301" s="30"/>
      <c r="J301" s="41"/>
      <c r="K301" s="30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 spans="1:28">
      <c r="A302" s="27"/>
      <c r="B302" s="30"/>
      <c r="C302" s="34"/>
      <c r="D302" s="239"/>
      <c r="E302" s="30"/>
      <c r="F302" s="30"/>
      <c r="G302" s="30"/>
      <c r="H302" s="30"/>
      <c r="I302" s="30"/>
      <c r="J302" s="41"/>
      <c r="K302" s="30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</row>
    <row r="303" spans="1:28">
      <c r="A303" s="27"/>
      <c r="B303" s="30"/>
      <c r="C303" s="34"/>
      <c r="D303" s="30"/>
      <c r="E303" s="30"/>
      <c r="F303" s="67"/>
      <c r="G303" s="30"/>
      <c r="H303" s="30"/>
      <c r="I303" s="30"/>
      <c r="J303" s="41"/>
      <c r="K303" s="30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 spans="1:28">
      <c r="A304" s="27"/>
      <c r="B304" s="30"/>
      <c r="C304" s="34"/>
      <c r="D304" s="30"/>
      <c r="E304" s="30"/>
      <c r="F304" s="30"/>
      <c r="G304" s="30"/>
      <c r="H304" s="30"/>
      <c r="I304" s="30"/>
      <c r="J304" s="41"/>
      <c r="K304" s="30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</row>
    <row r="305" spans="1:28">
      <c r="A305" s="27"/>
      <c r="B305" s="30"/>
      <c r="C305" s="34"/>
      <c r="D305" s="30"/>
      <c r="E305" s="30"/>
      <c r="F305" s="30"/>
      <c r="G305" s="30"/>
      <c r="H305" s="30"/>
      <c r="I305" s="30"/>
      <c r="J305" s="41"/>
      <c r="K305" s="30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 spans="1:28">
      <c r="A306" s="27"/>
      <c r="B306" s="30"/>
      <c r="C306" s="34"/>
      <c r="D306" s="67"/>
      <c r="E306" s="30"/>
      <c r="F306" s="30"/>
      <c r="G306" s="30"/>
      <c r="H306" s="30"/>
      <c r="I306" s="30"/>
      <c r="J306" s="41"/>
      <c r="K306" s="30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</row>
    <row r="307" spans="1:28">
      <c r="A307" s="27"/>
      <c r="B307" s="30"/>
      <c r="C307" s="34"/>
      <c r="D307" s="67"/>
      <c r="E307" s="67"/>
      <c r="F307" s="30"/>
      <c r="G307" s="30"/>
      <c r="H307" s="30"/>
      <c r="I307" s="30"/>
      <c r="J307" s="41"/>
      <c r="K307" s="30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 spans="1:28">
      <c r="A308" s="27"/>
      <c r="B308" s="30"/>
      <c r="C308" s="34"/>
      <c r="D308" s="67"/>
      <c r="E308" s="67"/>
      <c r="F308" s="50"/>
      <c r="G308" s="30"/>
      <c r="H308" s="30"/>
      <c r="I308" s="30"/>
      <c r="J308" s="41"/>
      <c r="K308" s="30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</row>
    <row r="309" spans="1:28">
      <c r="A309" s="27"/>
      <c r="B309" s="30"/>
      <c r="C309" s="34"/>
      <c r="D309" s="67"/>
      <c r="E309" s="30"/>
      <c r="F309" s="30"/>
      <c r="G309" s="30"/>
      <c r="H309" s="30"/>
      <c r="I309" s="30"/>
      <c r="J309" s="41"/>
      <c r="K309" s="30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</row>
    <row r="310" spans="1:28">
      <c r="A310" s="27"/>
      <c r="B310" s="30"/>
      <c r="C310" s="34"/>
      <c r="D310" s="67"/>
      <c r="E310" s="67"/>
      <c r="F310" s="30"/>
      <c r="G310" s="30"/>
      <c r="H310" s="30"/>
      <c r="I310" s="30"/>
      <c r="J310" s="41"/>
      <c r="K310" s="30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</row>
    <row r="311" spans="1:28">
      <c r="A311" s="27"/>
      <c r="B311" s="30"/>
      <c r="C311" s="34"/>
      <c r="D311" s="67"/>
      <c r="E311" s="30"/>
      <c r="F311" s="30"/>
      <c r="G311" s="30"/>
      <c r="H311" s="30"/>
      <c r="I311" s="30"/>
      <c r="J311" s="41"/>
      <c r="K311" s="30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 spans="1:28">
      <c r="A312" s="27"/>
      <c r="B312" s="30"/>
      <c r="C312" s="34"/>
      <c r="D312" s="67"/>
      <c r="E312" s="30"/>
      <c r="F312" s="30"/>
      <c r="G312" s="30"/>
      <c r="H312" s="30"/>
      <c r="I312" s="30"/>
      <c r="J312" s="41"/>
      <c r="K312" s="30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</row>
    <row r="313" spans="1:28">
      <c r="A313" s="27"/>
      <c r="B313" s="30"/>
      <c r="C313" s="34"/>
      <c r="D313" s="67"/>
      <c r="E313" s="30"/>
      <c r="F313" s="30"/>
      <c r="G313" s="30"/>
      <c r="H313" s="30"/>
      <c r="I313" s="30"/>
      <c r="J313" s="41"/>
      <c r="K313" s="30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 spans="1:28">
      <c r="A314" s="27"/>
      <c r="B314" s="30"/>
      <c r="C314" s="34"/>
      <c r="D314" s="67"/>
      <c r="E314" s="30"/>
      <c r="F314" s="30"/>
      <c r="G314" s="30"/>
      <c r="H314" s="30"/>
      <c r="I314" s="30"/>
      <c r="J314" s="41"/>
      <c r="K314" s="30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</row>
    <row r="315" spans="1:28">
      <c r="A315" s="27"/>
      <c r="B315" s="30"/>
      <c r="C315" s="34"/>
      <c r="D315" s="67"/>
      <c r="E315" s="30"/>
      <c r="F315" s="30"/>
      <c r="G315" s="30"/>
      <c r="H315" s="30"/>
      <c r="I315" s="30"/>
      <c r="J315" s="41"/>
      <c r="K315" s="30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</row>
    <row r="316" spans="1:28">
      <c r="A316" s="27"/>
      <c r="B316" s="30"/>
      <c r="C316" s="34"/>
      <c r="D316" s="67"/>
      <c r="E316" s="30"/>
      <c r="F316" s="30"/>
      <c r="G316" s="30"/>
      <c r="H316" s="30"/>
      <c r="I316" s="30"/>
      <c r="J316" s="41"/>
      <c r="K316" s="30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 spans="1:28">
      <c r="A317" s="27"/>
      <c r="B317" s="30"/>
      <c r="C317" s="34"/>
      <c r="D317" s="67"/>
      <c r="E317" s="30"/>
      <c r="F317" s="30"/>
      <c r="G317" s="30"/>
      <c r="H317" s="30"/>
      <c r="I317" s="30"/>
      <c r="J317" s="41"/>
      <c r="K317" s="30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</row>
    <row r="318" spans="1:28">
      <c r="A318" s="27"/>
      <c r="B318" s="30"/>
      <c r="C318" s="34"/>
      <c r="D318" s="240"/>
      <c r="E318" s="30"/>
      <c r="F318" s="30"/>
      <c r="G318" s="30"/>
      <c r="H318" s="30"/>
      <c r="I318" s="30"/>
      <c r="J318" s="41"/>
      <c r="K318" s="30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 spans="1:28">
      <c r="A319" s="27"/>
      <c r="B319" s="30"/>
      <c r="C319" s="34"/>
      <c r="D319" s="67"/>
      <c r="E319" s="30"/>
      <c r="F319" s="30"/>
      <c r="G319" s="30"/>
      <c r="H319" s="30"/>
      <c r="I319" s="30"/>
      <c r="J319" s="41"/>
      <c r="K319" s="30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</row>
    <row r="320" spans="1:28">
      <c r="A320" s="27"/>
      <c r="B320" s="30"/>
      <c r="C320" s="34"/>
      <c r="D320" s="67"/>
      <c r="E320" s="50"/>
      <c r="F320" s="30"/>
      <c r="G320" s="30"/>
      <c r="H320" s="30"/>
      <c r="I320" s="30"/>
      <c r="J320" s="41"/>
      <c r="K320" s="30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</row>
    <row r="321" spans="1:28">
      <c r="A321" s="27"/>
      <c r="B321" s="30"/>
      <c r="C321" s="34"/>
      <c r="D321" s="67"/>
      <c r="E321" s="50"/>
      <c r="F321" s="30"/>
      <c r="G321" s="30"/>
      <c r="H321" s="30"/>
      <c r="I321" s="30"/>
      <c r="J321" s="41"/>
      <c r="K321" s="30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 spans="1:28">
      <c r="A322" s="27"/>
      <c r="B322" s="30"/>
      <c r="C322" s="34"/>
      <c r="D322" s="67"/>
      <c r="E322" s="30"/>
      <c r="F322" s="30"/>
      <c r="G322" s="30"/>
      <c r="H322" s="30"/>
      <c r="I322" s="30"/>
      <c r="J322" s="41"/>
      <c r="K322" s="30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</row>
    <row r="323" spans="1:28">
      <c r="A323" s="27"/>
      <c r="B323" s="30"/>
      <c r="C323" s="34"/>
      <c r="D323" s="67"/>
      <c r="E323" s="30"/>
      <c r="F323" s="30"/>
      <c r="G323" s="30"/>
      <c r="H323" s="30"/>
      <c r="I323" s="30"/>
      <c r="J323" s="41"/>
      <c r="K323" s="30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</row>
    <row r="324" spans="1:28">
      <c r="A324" s="27"/>
      <c r="B324" s="30"/>
      <c r="C324" s="34"/>
      <c r="D324" s="30"/>
      <c r="E324" s="30"/>
      <c r="F324" s="30"/>
      <c r="G324" s="30"/>
      <c r="H324" s="30"/>
      <c r="I324" s="30"/>
      <c r="J324" s="41"/>
      <c r="K324" s="30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</row>
    <row r="325" spans="1:28">
      <c r="A325" s="27"/>
      <c r="B325" s="30"/>
      <c r="C325" s="34"/>
      <c r="D325" s="241"/>
      <c r="E325" s="30"/>
      <c r="F325" s="30"/>
      <c r="G325" s="30"/>
      <c r="H325" s="30"/>
      <c r="I325" s="30"/>
      <c r="J325" s="41"/>
      <c r="K325" s="30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</row>
    <row r="326" spans="1:28">
      <c r="A326" s="27"/>
      <c r="B326" s="30"/>
      <c r="C326" s="34"/>
      <c r="D326" s="30"/>
      <c r="E326" s="30"/>
      <c r="F326" s="30"/>
      <c r="G326" s="30"/>
      <c r="H326" s="30"/>
      <c r="I326" s="30"/>
      <c r="J326" s="41"/>
      <c r="K326" s="30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</row>
    <row r="327" spans="1:28">
      <c r="A327" s="27"/>
      <c r="B327" s="30"/>
      <c r="C327" s="34"/>
      <c r="D327" s="241"/>
      <c r="E327" s="30"/>
      <c r="F327" s="30"/>
      <c r="G327" s="30"/>
      <c r="H327" s="30"/>
      <c r="I327" s="30"/>
      <c r="J327" s="41"/>
      <c r="K327" s="30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</row>
    <row r="328" spans="1:28">
      <c r="A328" s="27"/>
      <c r="B328" s="30"/>
      <c r="C328" s="34"/>
      <c r="D328" s="30"/>
      <c r="E328" s="30"/>
      <c r="F328" s="30"/>
      <c r="G328" s="30"/>
      <c r="H328" s="30"/>
      <c r="I328" s="30"/>
      <c r="J328" s="41"/>
      <c r="K328" s="30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</row>
    <row r="329" spans="1:28">
      <c r="A329" s="27"/>
      <c r="B329" s="30"/>
      <c r="C329" s="34"/>
      <c r="D329" s="30"/>
      <c r="E329" s="30"/>
      <c r="F329" s="30"/>
      <c r="G329" s="30"/>
      <c r="H329" s="30"/>
      <c r="I329" s="30"/>
      <c r="J329" s="41"/>
      <c r="K329" s="30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</row>
    <row r="330" spans="1:28">
      <c r="A330" s="27"/>
      <c r="B330" s="30"/>
      <c r="C330" s="34"/>
      <c r="D330" s="43"/>
      <c r="E330" s="30"/>
      <c r="F330" s="30"/>
      <c r="G330" s="30"/>
      <c r="H330" s="30"/>
      <c r="I330" s="30"/>
      <c r="J330" s="41"/>
      <c r="K330" s="30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</row>
    <row r="331" spans="1:28">
      <c r="A331" s="27"/>
      <c r="B331" s="30"/>
      <c r="C331" s="34"/>
      <c r="D331" s="30"/>
      <c r="E331" s="30"/>
      <c r="F331" s="30"/>
      <c r="G331" s="30"/>
      <c r="H331" s="30"/>
      <c r="I331" s="30"/>
      <c r="J331" s="41"/>
      <c r="K331" s="30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</row>
    <row r="332" spans="1:28">
      <c r="A332" s="43"/>
      <c r="B332" s="43"/>
      <c r="C332" s="242"/>
      <c r="D332" s="43"/>
      <c r="E332" s="43"/>
      <c r="F332" s="43"/>
      <c r="G332" s="43"/>
      <c r="H332" s="43"/>
      <c r="I332" s="43"/>
      <c r="J332" s="242"/>
      <c r="K332" s="43"/>
      <c r="L332" s="43"/>
      <c r="M332" s="43"/>
      <c r="N332" s="30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</row>
    <row r="333" spans="1:28">
      <c r="A333" s="43"/>
      <c r="B333" s="43"/>
      <c r="C333" s="242"/>
      <c r="D333" s="43"/>
      <c r="E333" s="43"/>
      <c r="F333" s="43"/>
      <c r="G333" s="43"/>
      <c r="H333" s="43"/>
      <c r="I333" s="43"/>
      <c r="J333" s="242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</row>
    <row r="334" spans="1:28">
      <c r="A334" s="43"/>
      <c r="B334" s="43"/>
      <c r="C334" s="242"/>
      <c r="D334" s="43"/>
      <c r="E334" s="43"/>
      <c r="F334" s="43"/>
      <c r="G334" s="43"/>
      <c r="H334" s="43"/>
      <c r="I334" s="43"/>
      <c r="J334" s="242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</row>
    <row r="335" spans="1:28">
      <c r="A335" s="43"/>
      <c r="B335" s="43"/>
      <c r="C335" s="242"/>
      <c r="D335" s="43"/>
      <c r="E335" s="43"/>
      <c r="F335" s="43"/>
      <c r="G335" s="43"/>
      <c r="H335" s="43"/>
      <c r="I335" s="43"/>
      <c r="J335" s="242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</row>
    <row r="336" spans="1:28">
      <c r="A336" s="43"/>
      <c r="B336" s="43"/>
      <c r="C336" s="242"/>
      <c r="D336" s="43"/>
      <c r="E336" s="43"/>
      <c r="F336" s="43"/>
      <c r="G336" s="43"/>
      <c r="H336" s="43"/>
      <c r="I336" s="43"/>
      <c r="J336" s="242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</row>
    <row r="337" spans="1:28">
      <c r="A337" s="27">
        <v>46219</v>
      </c>
      <c r="B337" s="30" t="s">
        <v>91</v>
      </c>
      <c r="C337" s="243"/>
      <c r="D337" s="43"/>
      <c r="E337" s="43"/>
      <c r="F337" s="43"/>
      <c r="G337" s="43"/>
      <c r="H337" s="43"/>
      <c r="I337" s="43"/>
      <c r="J337" s="242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</row>
    <row r="338" spans="1:28">
      <c r="A338" s="43"/>
      <c r="B338" s="30" t="s">
        <v>44</v>
      </c>
      <c r="C338" s="243"/>
      <c r="D338" s="43"/>
      <c r="E338" s="43"/>
      <c r="F338" s="43"/>
      <c r="G338" s="43"/>
      <c r="H338" s="43"/>
      <c r="I338" s="43"/>
      <c r="J338" s="242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</row>
    <row r="339" spans="1:28">
      <c r="A339" s="43"/>
      <c r="B339" s="30" t="s">
        <v>40</v>
      </c>
      <c r="C339" s="243"/>
      <c r="D339" s="43"/>
      <c r="E339" s="43"/>
      <c r="F339" s="43"/>
      <c r="G339" s="43"/>
      <c r="H339" s="43"/>
      <c r="I339" s="43"/>
      <c r="J339" s="242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</row>
    <row r="340" spans="1:28">
      <c r="A340" s="43"/>
      <c r="B340" s="30" t="s">
        <v>58</v>
      </c>
      <c r="C340" s="243"/>
      <c r="D340" s="43"/>
      <c r="E340" s="43"/>
      <c r="F340" s="43"/>
      <c r="G340" s="43"/>
      <c r="H340" s="43"/>
      <c r="I340" s="43"/>
      <c r="J340" s="242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</row>
    <row r="341" spans="1:28">
      <c r="A341" s="43"/>
      <c r="B341" s="43"/>
      <c r="C341" s="243"/>
      <c r="D341" s="43"/>
      <c r="E341" s="43"/>
      <c r="F341" s="43"/>
      <c r="G341" s="43"/>
      <c r="H341" s="43"/>
      <c r="I341" s="43"/>
      <c r="J341" s="242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</row>
    <row r="342" spans="1:28">
      <c r="A342" s="43"/>
      <c r="B342" s="43"/>
      <c r="C342" s="243"/>
      <c r="D342" s="43"/>
      <c r="E342" s="43"/>
      <c r="F342" s="43"/>
      <c r="G342" s="43"/>
      <c r="H342" s="43"/>
      <c r="I342" s="43"/>
      <c r="J342" s="242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</row>
    <row r="343" spans="1:28">
      <c r="A343" s="43"/>
      <c r="B343" s="43"/>
      <c r="C343" s="243"/>
      <c r="D343" s="43"/>
      <c r="E343" s="43"/>
      <c r="F343" s="43"/>
      <c r="G343" s="43"/>
      <c r="H343" s="43"/>
      <c r="I343" s="43"/>
      <c r="J343" s="242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</row>
    <row r="344" spans="1:28">
      <c r="A344" s="43"/>
      <c r="B344" s="43"/>
      <c r="C344" s="243"/>
      <c r="D344" s="43"/>
      <c r="E344" s="43"/>
      <c r="F344" s="43"/>
      <c r="G344" s="43"/>
      <c r="H344" s="43"/>
      <c r="I344" s="43"/>
      <c r="J344" s="242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</row>
    <row r="345" spans="1:28">
      <c r="A345" s="43"/>
      <c r="B345" s="43"/>
      <c r="C345" s="243"/>
      <c r="D345" s="43"/>
      <c r="E345" s="43"/>
      <c r="F345" s="43"/>
      <c r="G345" s="43"/>
      <c r="H345" s="43"/>
      <c r="I345" s="43"/>
      <c r="J345" s="242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</row>
    <row r="346" spans="1:28">
      <c r="A346" s="43"/>
      <c r="B346" s="43"/>
      <c r="C346" s="243"/>
      <c r="D346" s="43"/>
      <c r="E346" s="43"/>
      <c r="F346" s="43"/>
      <c r="G346" s="43"/>
      <c r="H346" s="43"/>
      <c r="I346" s="43"/>
      <c r="J346" s="242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</row>
    <row r="347" spans="1:28">
      <c r="A347" s="43"/>
      <c r="B347" s="43"/>
      <c r="C347" s="243"/>
      <c r="D347" s="43"/>
      <c r="E347" s="43"/>
      <c r="F347" s="43"/>
      <c r="G347" s="43"/>
      <c r="H347" s="43"/>
      <c r="I347" s="43"/>
      <c r="J347" s="242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</row>
    <row r="348" spans="1:28">
      <c r="A348" s="43"/>
      <c r="B348" s="43"/>
      <c r="C348" s="243"/>
      <c r="D348" s="43"/>
      <c r="E348" s="43"/>
      <c r="F348" s="43"/>
      <c r="G348" s="43"/>
      <c r="H348" s="43"/>
      <c r="I348" s="43"/>
      <c r="J348" s="242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</row>
    <row r="349" spans="1:28">
      <c r="A349" s="43"/>
      <c r="B349" s="43"/>
      <c r="C349" s="243"/>
      <c r="D349" s="43"/>
      <c r="E349" s="43"/>
      <c r="F349" s="43"/>
      <c r="G349" s="43"/>
      <c r="H349" s="43"/>
      <c r="I349" s="43"/>
      <c r="J349" s="242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</row>
    <row r="350" spans="1:28">
      <c r="A350" s="43"/>
      <c r="B350" s="43"/>
      <c r="C350" s="243"/>
      <c r="D350" s="43"/>
      <c r="E350" s="43"/>
      <c r="F350" s="43"/>
      <c r="G350" s="43"/>
      <c r="H350" s="43"/>
      <c r="I350" s="43"/>
      <c r="J350" s="242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</row>
    <row r="351" spans="1:28">
      <c r="A351" s="43"/>
      <c r="B351" s="43"/>
      <c r="C351" s="243"/>
      <c r="D351" s="43"/>
      <c r="E351" s="43"/>
      <c r="F351" s="43"/>
      <c r="G351" s="43"/>
      <c r="H351" s="43"/>
      <c r="I351" s="43"/>
      <c r="J351" s="242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</row>
    <row r="352" spans="1:28">
      <c r="A352" s="43"/>
      <c r="B352" s="43"/>
      <c r="C352" s="243"/>
      <c r="D352" s="43"/>
      <c r="E352" s="43"/>
      <c r="F352" s="43"/>
      <c r="G352" s="43"/>
      <c r="H352" s="43"/>
      <c r="I352" s="43"/>
      <c r="J352" s="242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</row>
    <row r="353" spans="1:28">
      <c r="A353" s="43"/>
      <c r="B353" s="43"/>
      <c r="C353" s="243"/>
      <c r="D353" s="43"/>
      <c r="E353" s="43"/>
      <c r="F353" s="43"/>
      <c r="G353" s="43"/>
      <c r="H353" s="43"/>
      <c r="I353" s="43"/>
      <c r="J353" s="242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 spans="1:28">
      <c r="A354" s="43"/>
      <c r="B354" s="43"/>
      <c r="C354" s="243"/>
      <c r="D354" s="43"/>
      <c r="E354" s="43"/>
      <c r="F354" s="43"/>
      <c r="G354" s="43"/>
      <c r="H354" s="43"/>
      <c r="I354" s="43"/>
      <c r="J354" s="242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 spans="1:28">
      <c r="A355" s="43"/>
      <c r="B355" s="43"/>
      <c r="C355" s="243"/>
      <c r="D355" s="43"/>
      <c r="E355" s="43"/>
      <c r="F355" s="43"/>
      <c r="G355" s="43"/>
      <c r="H355" s="43"/>
      <c r="I355" s="43"/>
      <c r="J355" s="242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</row>
    <row r="356" spans="1:28">
      <c r="A356" s="43"/>
      <c r="B356" s="43"/>
      <c r="C356" s="243"/>
      <c r="D356" s="43"/>
      <c r="E356" s="43"/>
      <c r="F356" s="43"/>
      <c r="G356" s="43"/>
      <c r="H356" s="43"/>
      <c r="I356" s="43"/>
      <c r="J356" s="242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 spans="1:28">
      <c r="A357" s="43"/>
      <c r="B357" s="43"/>
      <c r="C357" s="243"/>
      <c r="D357" s="43"/>
      <c r="E357" s="43"/>
      <c r="F357" s="43"/>
      <c r="G357" s="43"/>
      <c r="H357" s="43"/>
      <c r="I357" s="43"/>
      <c r="J357" s="242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</row>
    <row r="358" spans="1:28">
      <c r="A358" s="43"/>
      <c r="B358" s="43"/>
      <c r="C358" s="243"/>
      <c r="D358" s="43"/>
      <c r="E358" s="43"/>
      <c r="F358" s="43"/>
      <c r="G358" s="43"/>
      <c r="H358" s="43"/>
      <c r="I358" s="43"/>
      <c r="J358" s="242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</row>
    <row r="359" spans="1:28">
      <c r="A359" s="43"/>
      <c r="B359" s="43"/>
      <c r="C359" s="243"/>
      <c r="D359" s="43"/>
      <c r="E359" s="43"/>
      <c r="F359" s="43"/>
      <c r="G359" s="43"/>
      <c r="H359" s="43"/>
      <c r="I359" s="43"/>
      <c r="J359" s="242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</row>
    <row r="360" spans="1:28">
      <c r="A360" s="43"/>
      <c r="B360" s="43"/>
      <c r="C360" s="243"/>
      <c r="D360" s="43"/>
      <c r="E360" s="43"/>
      <c r="F360" s="43"/>
      <c r="G360" s="43"/>
      <c r="H360" s="43"/>
      <c r="I360" s="43"/>
      <c r="J360" s="242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</row>
    <row r="361" spans="1:28">
      <c r="A361" s="43"/>
      <c r="B361" s="43"/>
      <c r="C361" s="243"/>
      <c r="D361" s="43"/>
      <c r="E361" s="43"/>
      <c r="F361" s="43"/>
      <c r="G361" s="43"/>
      <c r="H361" s="43"/>
      <c r="I361" s="43"/>
      <c r="J361" s="242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</row>
    <row r="362" spans="1:28">
      <c r="A362" s="43"/>
      <c r="B362" s="43"/>
      <c r="C362" s="243"/>
      <c r="D362" s="43"/>
      <c r="E362" s="43"/>
      <c r="F362" s="43"/>
      <c r="G362" s="43"/>
      <c r="H362" s="43"/>
      <c r="I362" s="43"/>
      <c r="J362" s="242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</row>
    <row r="363" spans="1:28">
      <c r="A363" s="43"/>
      <c r="B363" s="43"/>
      <c r="C363" s="243"/>
      <c r="D363" s="43"/>
      <c r="E363" s="43"/>
      <c r="F363" s="43"/>
      <c r="G363" s="43"/>
      <c r="H363" s="43"/>
      <c r="I363" s="43"/>
      <c r="J363" s="242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</row>
    <row r="364" spans="1:28">
      <c r="A364" s="43"/>
      <c r="B364" s="43"/>
      <c r="C364" s="243"/>
      <c r="D364" s="43"/>
      <c r="E364" s="43"/>
      <c r="F364" s="43"/>
      <c r="G364" s="43"/>
      <c r="H364" s="43"/>
      <c r="I364" s="43"/>
      <c r="J364" s="242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</row>
    <row r="365" spans="1:28">
      <c r="A365" s="43"/>
      <c r="B365" s="43"/>
      <c r="C365" s="243"/>
      <c r="D365" s="43"/>
      <c r="E365" s="43"/>
      <c r="F365" s="43"/>
      <c r="G365" s="43"/>
      <c r="H365" s="43"/>
      <c r="I365" s="43"/>
      <c r="J365" s="242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</row>
    <row r="366" spans="1:28">
      <c r="A366" s="43"/>
      <c r="B366" s="43"/>
      <c r="C366" s="243"/>
      <c r="D366" s="43"/>
      <c r="E366" s="43"/>
      <c r="F366" s="43"/>
      <c r="G366" s="43"/>
      <c r="H366" s="43"/>
      <c r="I366" s="43"/>
      <c r="J366" s="242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 spans="1:28">
      <c r="A367" s="43"/>
      <c r="B367" s="43"/>
      <c r="C367" s="243"/>
      <c r="D367" s="43"/>
      <c r="E367" s="43"/>
      <c r="F367" s="43"/>
      <c r="G367" s="43"/>
      <c r="H367" s="43"/>
      <c r="I367" s="43"/>
      <c r="J367" s="242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</row>
    <row r="368" spans="1:28">
      <c r="A368" s="43"/>
      <c r="B368" s="43"/>
      <c r="C368" s="243"/>
      <c r="D368" s="43"/>
      <c r="E368" s="43"/>
      <c r="F368" s="43"/>
      <c r="G368" s="43"/>
      <c r="H368" s="43"/>
      <c r="I368" s="43"/>
      <c r="J368" s="242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</row>
    <row r="369" spans="1:28">
      <c r="A369" s="43"/>
      <c r="B369" s="43"/>
      <c r="C369" s="243"/>
      <c r="D369" s="43"/>
      <c r="E369" s="43"/>
      <c r="F369" s="43"/>
      <c r="G369" s="43"/>
      <c r="H369" s="43"/>
      <c r="I369" s="43"/>
      <c r="J369" s="242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</row>
    <row r="370" spans="1:28">
      <c r="A370" s="43"/>
      <c r="B370" s="43"/>
      <c r="C370" s="243"/>
      <c r="D370" s="43"/>
      <c r="E370" s="43"/>
      <c r="F370" s="43"/>
      <c r="G370" s="43"/>
      <c r="H370" s="43"/>
      <c r="I370" s="43"/>
      <c r="J370" s="242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 spans="1:28">
      <c r="A371" s="43"/>
      <c r="B371" s="43"/>
      <c r="C371" s="243"/>
      <c r="D371" s="43"/>
      <c r="E371" s="43"/>
      <c r="F371" s="43"/>
      <c r="G371" s="43"/>
      <c r="H371" s="43"/>
      <c r="I371" s="43"/>
      <c r="J371" s="242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 spans="1:28">
      <c r="A372" s="43"/>
      <c r="B372" s="43"/>
      <c r="C372" s="243"/>
      <c r="D372" s="43"/>
      <c r="E372" s="43"/>
      <c r="F372" s="43"/>
      <c r="G372" s="43"/>
      <c r="H372" s="43"/>
      <c r="I372" s="43"/>
      <c r="J372" s="242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</row>
    <row r="373" spans="1:28">
      <c r="A373" s="43"/>
      <c r="B373" s="43"/>
      <c r="C373" s="243"/>
      <c r="D373" s="43"/>
      <c r="E373" s="43"/>
      <c r="F373" s="43"/>
      <c r="G373" s="43"/>
      <c r="H373" s="43"/>
      <c r="I373" s="43"/>
      <c r="J373" s="242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 spans="1:28">
      <c r="A374" s="43"/>
      <c r="B374" s="43"/>
      <c r="C374" s="243"/>
      <c r="D374" s="43"/>
      <c r="E374" s="43"/>
      <c r="F374" s="43"/>
      <c r="G374" s="43"/>
      <c r="H374" s="43"/>
      <c r="I374" s="43"/>
      <c r="J374" s="242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</row>
    <row r="375" spans="1:28">
      <c r="A375" s="43"/>
      <c r="B375" s="43"/>
      <c r="C375" s="243"/>
      <c r="D375" s="43"/>
      <c r="E375" s="43"/>
      <c r="F375" s="43"/>
      <c r="G375" s="43"/>
      <c r="H375" s="43"/>
      <c r="I375" s="43"/>
      <c r="J375" s="242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 spans="1:28">
      <c r="A376" s="43"/>
      <c r="B376" s="43"/>
      <c r="C376" s="243"/>
      <c r="D376" s="43"/>
      <c r="E376" s="43"/>
      <c r="F376" s="43"/>
      <c r="G376" s="43"/>
      <c r="H376" s="43"/>
      <c r="I376" s="43"/>
      <c r="J376" s="242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 spans="1:28">
      <c r="A377" s="43"/>
      <c r="B377" s="43"/>
      <c r="C377" s="243"/>
      <c r="D377" s="43"/>
      <c r="E377" s="43"/>
      <c r="F377" s="43"/>
      <c r="G377" s="43"/>
      <c r="H377" s="43"/>
      <c r="I377" s="43"/>
      <c r="J377" s="242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 spans="1:28">
      <c r="A378" s="43"/>
      <c r="B378" s="43"/>
      <c r="C378" s="243"/>
      <c r="D378" s="43"/>
      <c r="E378" s="43"/>
      <c r="F378" s="43"/>
      <c r="G378" s="43"/>
      <c r="H378" s="43"/>
      <c r="I378" s="43"/>
      <c r="J378" s="242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 spans="1:28">
      <c r="A379" s="43"/>
      <c r="B379" s="43"/>
      <c r="C379" s="243"/>
      <c r="D379" s="43"/>
      <c r="E379" s="43"/>
      <c r="F379" s="43"/>
      <c r="G379" s="43"/>
      <c r="H379" s="43"/>
      <c r="I379" s="43"/>
      <c r="J379" s="242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 spans="1:28">
      <c r="A380" s="43"/>
      <c r="B380" s="43"/>
      <c r="C380" s="243"/>
      <c r="D380" s="43"/>
      <c r="E380" s="43"/>
      <c r="F380" s="43"/>
      <c r="G380" s="43"/>
      <c r="H380" s="43"/>
      <c r="I380" s="43"/>
      <c r="J380" s="242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 spans="1:28">
      <c r="A381" s="43"/>
      <c r="B381" s="43"/>
      <c r="C381" s="243"/>
      <c r="D381" s="43"/>
      <c r="E381" s="43"/>
      <c r="F381" s="43"/>
      <c r="G381" s="43"/>
      <c r="H381" s="43"/>
      <c r="I381" s="43"/>
      <c r="J381" s="242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 spans="1:28">
      <c r="A382" s="43"/>
      <c r="B382" s="43"/>
      <c r="C382" s="243"/>
      <c r="D382" s="43"/>
      <c r="E382" s="43"/>
      <c r="F382" s="43"/>
      <c r="G382" s="43"/>
      <c r="H382" s="43"/>
      <c r="I382" s="43"/>
      <c r="J382" s="242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</row>
    <row r="383" spans="1:28">
      <c r="A383" s="43"/>
      <c r="B383" s="43"/>
      <c r="C383" s="243"/>
      <c r="D383" s="43"/>
      <c r="E383" s="43"/>
      <c r="F383" s="43"/>
      <c r="G383" s="43"/>
      <c r="H383" s="43"/>
      <c r="I383" s="43"/>
      <c r="J383" s="242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 spans="1:28">
      <c r="A384" s="43"/>
      <c r="B384" s="43"/>
      <c r="C384" s="243"/>
      <c r="D384" s="43"/>
      <c r="E384" s="43"/>
      <c r="F384" s="43"/>
      <c r="G384" s="43"/>
      <c r="H384" s="43"/>
      <c r="I384" s="43"/>
      <c r="J384" s="242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 spans="1:28">
      <c r="A385" s="43"/>
      <c r="B385" s="43"/>
      <c r="C385" s="243"/>
      <c r="D385" s="43"/>
      <c r="E385" s="43"/>
      <c r="F385" s="43"/>
      <c r="G385" s="43"/>
      <c r="H385" s="43"/>
      <c r="I385" s="43"/>
      <c r="J385" s="242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 spans="1:28">
      <c r="A386" s="43"/>
      <c r="B386" s="43"/>
      <c r="C386" s="243"/>
      <c r="D386" s="43"/>
      <c r="E386" s="43"/>
      <c r="F386" s="43"/>
      <c r="G386" s="43"/>
      <c r="H386" s="43"/>
      <c r="I386" s="43"/>
      <c r="J386" s="242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 spans="1:28">
      <c r="A387" s="43"/>
      <c r="B387" s="43"/>
      <c r="C387" s="243"/>
      <c r="D387" s="43"/>
      <c r="E387" s="43"/>
      <c r="F387" s="43"/>
      <c r="G387" s="43"/>
      <c r="H387" s="43"/>
      <c r="I387" s="43"/>
      <c r="J387" s="242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 spans="1:28">
      <c r="A388" s="43"/>
      <c r="B388" s="43"/>
      <c r="C388" s="243"/>
      <c r="D388" s="43"/>
      <c r="E388" s="43"/>
      <c r="F388" s="43"/>
      <c r="G388" s="43"/>
      <c r="H388" s="43"/>
      <c r="I388" s="43"/>
      <c r="J388" s="242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 spans="1:28">
      <c r="A389" s="43"/>
      <c r="B389" s="43"/>
      <c r="C389" s="243"/>
      <c r="D389" s="43"/>
      <c r="E389" s="43"/>
      <c r="F389" s="43"/>
      <c r="G389" s="43"/>
      <c r="H389" s="43"/>
      <c r="I389" s="43"/>
      <c r="J389" s="242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 spans="1:28">
      <c r="A390" s="43"/>
      <c r="B390" s="43"/>
      <c r="C390" s="243"/>
      <c r="D390" s="43"/>
      <c r="E390" s="43"/>
      <c r="F390" s="43"/>
      <c r="G390" s="43"/>
      <c r="H390" s="43"/>
      <c r="I390" s="43"/>
      <c r="J390" s="242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 spans="1:28">
      <c r="A391" s="43"/>
      <c r="B391" s="43"/>
      <c r="C391" s="243"/>
      <c r="D391" s="43"/>
      <c r="E391" s="43"/>
      <c r="F391" s="43"/>
      <c r="G391" s="43"/>
      <c r="H391" s="43"/>
      <c r="I391" s="43"/>
      <c r="J391" s="242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</row>
    <row r="392" spans="1:28">
      <c r="A392" s="43"/>
      <c r="B392" s="43"/>
      <c r="C392" s="243"/>
      <c r="D392" s="43"/>
      <c r="E392" s="43"/>
      <c r="F392" s="43"/>
      <c r="G392" s="43"/>
      <c r="H392" s="43"/>
      <c r="I392" s="43"/>
      <c r="J392" s="242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</row>
    <row r="393" spans="1:28">
      <c r="A393" s="43"/>
      <c r="B393" s="43"/>
      <c r="C393" s="243"/>
      <c r="D393" s="43"/>
      <c r="E393" s="43"/>
      <c r="F393" s="43"/>
      <c r="G393" s="43"/>
      <c r="H393" s="43"/>
      <c r="I393" s="43"/>
      <c r="J393" s="242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</row>
    <row r="394" spans="1:28">
      <c r="A394" s="43"/>
      <c r="B394" s="43"/>
      <c r="C394" s="243"/>
      <c r="D394" s="43"/>
      <c r="E394" s="43"/>
      <c r="F394" s="43"/>
      <c r="G394" s="43"/>
      <c r="H394" s="43"/>
      <c r="I394" s="43"/>
      <c r="J394" s="242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</row>
    <row r="395" spans="1:28">
      <c r="A395" s="43"/>
      <c r="B395" s="43"/>
      <c r="C395" s="243"/>
      <c r="D395" s="43"/>
      <c r="E395" s="43"/>
      <c r="F395" s="43"/>
      <c r="G395" s="43"/>
      <c r="H395" s="43"/>
      <c r="I395" s="43"/>
      <c r="J395" s="242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</row>
    <row r="396" spans="1:28">
      <c r="A396" s="43"/>
      <c r="B396" s="43"/>
      <c r="C396" s="243"/>
      <c r="D396" s="43"/>
      <c r="E396" s="43"/>
      <c r="F396" s="43"/>
      <c r="G396" s="43"/>
      <c r="H396" s="43"/>
      <c r="I396" s="43"/>
      <c r="J396" s="242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</row>
    <row r="397" spans="1:28">
      <c r="A397" s="43"/>
      <c r="B397" s="43"/>
      <c r="C397" s="243"/>
      <c r="D397" s="43"/>
      <c r="E397" s="43"/>
      <c r="F397" s="43"/>
      <c r="G397" s="43"/>
      <c r="H397" s="43"/>
      <c r="I397" s="43"/>
      <c r="J397" s="242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</row>
    <row r="398" spans="1:28">
      <c r="A398" s="43"/>
      <c r="B398" s="43"/>
      <c r="C398" s="243"/>
      <c r="D398" s="43"/>
      <c r="E398" s="43"/>
      <c r="F398" s="43"/>
      <c r="G398" s="43"/>
      <c r="H398" s="43"/>
      <c r="I398" s="43"/>
      <c r="J398" s="242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 spans="1:28">
      <c r="A399" s="43"/>
      <c r="B399" s="43"/>
      <c r="C399" s="243"/>
      <c r="D399" s="43"/>
      <c r="E399" s="43"/>
      <c r="F399" s="43"/>
      <c r="G399" s="43"/>
      <c r="H399" s="43"/>
      <c r="I399" s="43"/>
      <c r="J399" s="242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</row>
    <row r="400" spans="1:28">
      <c r="A400" s="43"/>
      <c r="B400" s="43"/>
      <c r="C400" s="243"/>
      <c r="D400" s="43"/>
      <c r="E400" s="43"/>
      <c r="F400" s="43"/>
      <c r="G400" s="43"/>
      <c r="H400" s="43"/>
      <c r="I400" s="43"/>
      <c r="J400" s="242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 spans="1:28">
      <c r="A401" s="43"/>
      <c r="B401" s="43"/>
      <c r="C401" s="243"/>
      <c r="D401" s="43"/>
      <c r="E401" s="43"/>
      <c r="F401" s="43"/>
      <c r="G401" s="43"/>
      <c r="H401" s="43"/>
      <c r="I401" s="43"/>
      <c r="J401" s="242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</row>
    <row r="402" spans="1:28">
      <c r="A402" s="43"/>
      <c r="B402" s="43"/>
      <c r="C402" s="243"/>
      <c r="D402" s="43"/>
      <c r="E402" s="43"/>
      <c r="F402" s="43"/>
      <c r="G402" s="43"/>
      <c r="H402" s="43"/>
      <c r="I402" s="43"/>
      <c r="J402" s="242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</row>
    <row r="403" spans="1:28">
      <c r="A403" s="43"/>
      <c r="B403" s="43"/>
      <c r="C403" s="243"/>
      <c r="D403" s="43"/>
      <c r="E403" s="43"/>
      <c r="F403" s="43"/>
      <c r="G403" s="43"/>
      <c r="H403" s="43"/>
      <c r="I403" s="43"/>
      <c r="J403" s="242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</row>
    <row r="404" spans="1:28">
      <c r="A404" s="43"/>
      <c r="B404" s="43"/>
      <c r="C404" s="243"/>
      <c r="D404" s="43"/>
      <c r="E404" s="43"/>
      <c r="F404" s="43"/>
      <c r="G404" s="43"/>
      <c r="H404" s="43"/>
      <c r="I404" s="43"/>
      <c r="J404" s="242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</row>
    <row r="405" spans="1:28">
      <c r="A405" s="43"/>
      <c r="B405" s="43"/>
      <c r="C405" s="243"/>
      <c r="D405" s="43"/>
      <c r="E405" s="43"/>
      <c r="F405" s="43"/>
      <c r="G405" s="43"/>
      <c r="H405" s="43"/>
      <c r="I405" s="43"/>
      <c r="J405" s="242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</row>
    <row r="406" spans="1:28">
      <c r="A406" s="43"/>
      <c r="B406" s="43"/>
      <c r="C406" s="243"/>
      <c r="D406" s="43"/>
      <c r="E406" s="43"/>
      <c r="F406" s="43"/>
      <c r="G406" s="43"/>
      <c r="H406" s="43"/>
      <c r="I406" s="43"/>
      <c r="J406" s="242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</row>
    <row r="407" spans="1:28">
      <c r="A407" s="43"/>
      <c r="B407" s="43"/>
      <c r="C407" s="243"/>
      <c r="D407" s="43"/>
      <c r="E407" s="43"/>
      <c r="F407" s="43"/>
      <c r="G407" s="43"/>
      <c r="H407" s="43"/>
      <c r="I407" s="43"/>
      <c r="J407" s="242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</row>
    <row r="408" spans="1:28">
      <c r="A408" s="43"/>
      <c r="B408" s="43"/>
      <c r="C408" s="243"/>
      <c r="D408" s="43"/>
      <c r="E408" s="43"/>
      <c r="F408" s="43"/>
      <c r="G408" s="43"/>
      <c r="H408" s="43"/>
      <c r="I408" s="43"/>
      <c r="J408" s="242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</row>
    <row r="409" spans="1:28">
      <c r="A409" s="43"/>
      <c r="B409" s="43"/>
      <c r="C409" s="243"/>
      <c r="D409" s="43"/>
      <c r="E409" s="43"/>
      <c r="F409" s="43"/>
      <c r="G409" s="43"/>
      <c r="H409" s="43"/>
      <c r="I409" s="43"/>
      <c r="J409" s="242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</row>
    <row r="410" spans="1:28">
      <c r="A410" s="43"/>
      <c r="B410" s="43"/>
      <c r="C410" s="243"/>
      <c r="D410" s="43"/>
      <c r="E410" s="43"/>
      <c r="F410" s="43"/>
      <c r="G410" s="43"/>
      <c r="H410" s="43"/>
      <c r="I410" s="43"/>
      <c r="J410" s="242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</row>
    <row r="411" spans="1:28">
      <c r="A411" s="43"/>
      <c r="B411" s="43"/>
      <c r="C411" s="243"/>
      <c r="D411" s="43"/>
      <c r="E411" s="43"/>
      <c r="F411" s="43"/>
      <c r="G411" s="43"/>
      <c r="H411" s="43"/>
      <c r="I411" s="43"/>
      <c r="J411" s="242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</row>
    <row r="412" spans="1:28">
      <c r="A412" s="43"/>
      <c r="B412" s="43"/>
      <c r="C412" s="243"/>
      <c r="D412" s="43"/>
      <c r="E412" s="43"/>
      <c r="F412" s="43"/>
      <c r="G412" s="43"/>
      <c r="H412" s="43"/>
      <c r="I412" s="43"/>
      <c r="J412" s="242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</row>
    <row r="413" spans="1:28">
      <c r="A413" s="43"/>
      <c r="B413" s="43"/>
      <c r="C413" s="243"/>
      <c r="D413" s="43"/>
      <c r="E413" s="43"/>
      <c r="F413" s="43"/>
      <c r="G413" s="43"/>
      <c r="H413" s="43"/>
      <c r="I413" s="43"/>
      <c r="J413" s="242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</row>
    <row r="414" spans="1:28">
      <c r="A414" s="43"/>
      <c r="B414" s="43"/>
      <c r="C414" s="243"/>
      <c r="D414" s="43"/>
      <c r="E414" s="43"/>
      <c r="F414" s="43"/>
      <c r="G414" s="43"/>
      <c r="H414" s="43"/>
      <c r="I414" s="43"/>
      <c r="J414" s="242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</row>
    <row r="415" spans="1:28">
      <c r="A415" s="43"/>
      <c r="B415" s="43"/>
      <c r="C415" s="243"/>
      <c r="D415" s="43"/>
      <c r="E415" s="43"/>
      <c r="F415" s="43"/>
      <c r="G415" s="43"/>
      <c r="H415" s="43"/>
      <c r="I415" s="43"/>
      <c r="J415" s="242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</row>
    <row r="416" spans="1:28">
      <c r="A416" s="43"/>
      <c r="B416" s="43"/>
      <c r="C416" s="243"/>
      <c r="D416" s="43"/>
      <c r="E416" s="43"/>
      <c r="F416" s="43"/>
      <c r="G416" s="43"/>
      <c r="H416" s="43"/>
      <c r="I416" s="43"/>
      <c r="J416" s="242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</row>
    <row r="417" spans="1:28">
      <c r="A417" s="43"/>
      <c r="B417" s="43"/>
      <c r="C417" s="243"/>
      <c r="D417" s="43"/>
      <c r="E417" s="43"/>
      <c r="F417" s="43"/>
      <c r="G417" s="43"/>
      <c r="H417" s="43"/>
      <c r="I417" s="43"/>
      <c r="J417" s="242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</row>
    <row r="418" spans="1:28">
      <c r="A418" s="43"/>
      <c r="B418" s="43"/>
      <c r="C418" s="243"/>
      <c r="D418" s="43"/>
      <c r="E418" s="43"/>
      <c r="F418" s="43"/>
      <c r="G418" s="43"/>
      <c r="H418" s="43"/>
      <c r="I418" s="43"/>
      <c r="J418" s="242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</row>
    <row r="419" spans="1:28">
      <c r="A419" s="43"/>
      <c r="B419" s="43"/>
      <c r="C419" s="243"/>
      <c r="D419" s="43"/>
      <c r="E419" s="43"/>
      <c r="F419" s="43"/>
      <c r="G419" s="43"/>
      <c r="H419" s="43"/>
      <c r="I419" s="43"/>
      <c r="J419" s="242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 spans="1:28">
      <c r="A420" s="43"/>
      <c r="B420" s="43"/>
      <c r="C420" s="243"/>
      <c r="D420" s="43"/>
      <c r="E420" s="43"/>
      <c r="F420" s="43"/>
      <c r="G420" s="43"/>
      <c r="H420" s="43"/>
      <c r="I420" s="43"/>
      <c r="J420" s="242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 spans="1:28">
      <c r="A421" s="43"/>
      <c r="B421" s="43"/>
      <c r="C421" s="243"/>
      <c r="D421" s="43"/>
      <c r="E421" s="43"/>
      <c r="F421" s="43"/>
      <c r="G421" s="43"/>
      <c r="H421" s="43"/>
      <c r="I421" s="43"/>
      <c r="J421" s="242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 spans="1:28">
      <c r="A422" s="43"/>
      <c r="B422" s="43"/>
      <c r="C422" s="243"/>
      <c r="D422" s="43"/>
      <c r="E422" s="43"/>
      <c r="F422" s="43"/>
      <c r="G422" s="43"/>
      <c r="H422" s="43"/>
      <c r="I422" s="43"/>
      <c r="J422" s="242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</row>
    <row r="423" spans="1:28">
      <c r="A423" s="43"/>
      <c r="B423" s="43"/>
      <c r="C423" s="243"/>
      <c r="D423" s="43"/>
      <c r="E423" s="43"/>
      <c r="F423" s="43"/>
      <c r="G423" s="43"/>
      <c r="H423" s="43"/>
      <c r="I423" s="43"/>
      <c r="J423" s="242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</row>
    <row r="424" spans="1:28">
      <c r="A424" s="43"/>
      <c r="B424" s="43"/>
      <c r="C424" s="243"/>
      <c r="D424" s="43"/>
      <c r="E424" s="43"/>
      <c r="F424" s="43"/>
      <c r="G424" s="43"/>
      <c r="H424" s="43"/>
      <c r="I424" s="43"/>
      <c r="J424" s="242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 spans="1:28">
      <c r="A425" s="43"/>
      <c r="B425" s="43"/>
      <c r="C425" s="243"/>
      <c r="D425" s="43"/>
      <c r="E425" s="43"/>
      <c r="F425" s="43"/>
      <c r="G425" s="43"/>
      <c r="H425" s="43"/>
      <c r="I425" s="43"/>
      <c r="J425" s="242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</row>
    <row r="426" spans="1:28">
      <c r="A426" s="43"/>
      <c r="B426" s="43"/>
      <c r="C426" s="243"/>
      <c r="D426" s="43"/>
      <c r="E426" s="43"/>
      <c r="F426" s="43"/>
      <c r="G426" s="43"/>
      <c r="H426" s="43"/>
      <c r="I426" s="43"/>
      <c r="J426" s="242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</row>
    <row r="427" spans="1:28">
      <c r="A427" s="43"/>
      <c r="B427" s="43"/>
      <c r="C427" s="243"/>
      <c r="D427" s="43"/>
      <c r="E427" s="43"/>
      <c r="F427" s="43"/>
      <c r="G427" s="43"/>
      <c r="H427" s="43"/>
      <c r="I427" s="43"/>
      <c r="J427" s="242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</row>
    <row r="428" spans="1:28">
      <c r="A428" s="43"/>
      <c r="B428" s="43"/>
      <c r="C428" s="243"/>
      <c r="D428" s="43"/>
      <c r="E428" s="43"/>
      <c r="F428" s="43"/>
      <c r="G428" s="43"/>
      <c r="H428" s="43"/>
      <c r="I428" s="43"/>
      <c r="J428" s="242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</row>
    <row r="429" spans="1:28">
      <c r="A429" s="43"/>
      <c r="B429" s="43"/>
      <c r="C429" s="243"/>
      <c r="D429" s="43"/>
      <c r="E429" s="43"/>
      <c r="F429" s="43"/>
      <c r="G429" s="43"/>
      <c r="H429" s="43"/>
      <c r="I429" s="43"/>
      <c r="J429" s="242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 spans="1:28">
      <c r="A430" s="43"/>
      <c r="B430" s="43"/>
      <c r="C430" s="243"/>
      <c r="D430" s="43"/>
      <c r="E430" s="43"/>
      <c r="F430" s="43"/>
      <c r="G430" s="43"/>
      <c r="H430" s="43"/>
      <c r="I430" s="43"/>
      <c r="J430" s="242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 spans="1:28">
      <c r="A431" s="43"/>
      <c r="B431" s="43"/>
      <c r="C431" s="243"/>
      <c r="D431" s="43"/>
      <c r="E431" s="43"/>
      <c r="F431" s="43"/>
      <c r="G431" s="43"/>
      <c r="H431" s="43"/>
      <c r="I431" s="43"/>
      <c r="J431" s="242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</row>
    <row r="432" spans="1:28">
      <c r="A432" s="43"/>
      <c r="B432" s="43"/>
      <c r="C432" s="243"/>
      <c r="D432" s="43"/>
      <c r="E432" s="43"/>
      <c r="F432" s="43"/>
      <c r="G432" s="43"/>
      <c r="H432" s="43"/>
      <c r="I432" s="43"/>
      <c r="J432" s="242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</row>
    <row r="433" spans="1:28">
      <c r="A433" s="43"/>
      <c r="B433" s="43"/>
      <c r="C433" s="243"/>
      <c r="D433" s="43"/>
      <c r="E433" s="43"/>
      <c r="F433" s="43"/>
      <c r="G433" s="43"/>
      <c r="H433" s="43"/>
      <c r="I433" s="43"/>
      <c r="J433" s="242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 spans="1:28">
      <c r="A434" s="43"/>
      <c r="B434" s="43"/>
      <c r="C434" s="243"/>
      <c r="D434" s="43"/>
      <c r="E434" s="43"/>
      <c r="F434" s="43"/>
      <c r="G434" s="43"/>
      <c r="H434" s="43"/>
      <c r="I434" s="43"/>
      <c r="J434" s="242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</row>
    <row r="435" spans="1:28">
      <c r="A435" s="43"/>
      <c r="B435" s="43"/>
      <c r="C435" s="243"/>
      <c r="D435" s="43"/>
      <c r="E435" s="43"/>
      <c r="F435" s="43"/>
      <c r="G435" s="43"/>
      <c r="H435" s="43"/>
      <c r="I435" s="43"/>
      <c r="J435" s="242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 spans="1:28">
      <c r="A436" s="43"/>
      <c r="B436" s="43"/>
      <c r="C436" s="243"/>
      <c r="D436" s="43"/>
      <c r="E436" s="43"/>
      <c r="F436" s="43"/>
      <c r="G436" s="43"/>
      <c r="H436" s="43"/>
      <c r="I436" s="43"/>
      <c r="J436" s="242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</row>
    <row r="437" spans="1:28">
      <c r="A437" s="43"/>
      <c r="B437" s="43"/>
      <c r="C437" s="243"/>
      <c r="D437" s="43"/>
      <c r="E437" s="43"/>
      <c r="F437" s="43"/>
      <c r="G437" s="43"/>
      <c r="H437" s="43"/>
      <c r="I437" s="43"/>
      <c r="J437" s="242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</row>
    <row r="438" spans="1:28">
      <c r="A438" s="43"/>
      <c r="B438" s="43"/>
      <c r="C438" s="243"/>
      <c r="D438" s="43"/>
      <c r="E438" s="43"/>
      <c r="F438" s="43"/>
      <c r="G438" s="43"/>
      <c r="H438" s="43"/>
      <c r="I438" s="43"/>
      <c r="J438" s="242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 spans="1:28">
      <c r="A439" s="43"/>
      <c r="B439" s="43"/>
      <c r="C439" s="243"/>
      <c r="D439" s="43"/>
      <c r="E439" s="43"/>
      <c r="F439" s="43"/>
      <c r="G439" s="43"/>
      <c r="H439" s="43"/>
      <c r="I439" s="43"/>
      <c r="J439" s="242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 spans="1:28">
      <c r="A440" s="43"/>
      <c r="B440" s="43"/>
      <c r="C440" s="243"/>
      <c r="D440" s="43"/>
      <c r="E440" s="43"/>
      <c r="F440" s="43"/>
      <c r="G440" s="43"/>
      <c r="H440" s="43"/>
      <c r="I440" s="43"/>
      <c r="J440" s="242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</row>
    <row r="441" spans="1:28">
      <c r="A441" s="43"/>
      <c r="B441" s="43"/>
      <c r="C441" s="243"/>
      <c r="D441" s="43"/>
      <c r="E441" s="43"/>
      <c r="F441" s="43"/>
      <c r="G441" s="43"/>
      <c r="H441" s="43"/>
      <c r="I441" s="43"/>
      <c r="J441" s="242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 spans="1:28">
      <c r="A442" s="43"/>
      <c r="B442" s="43"/>
      <c r="C442" s="243"/>
      <c r="D442" s="43"/>
      <c r="E442" s="43"/>
      <c r="F442" s="43"/>
      <c r="G442" s="43"/>
      <c r="H442" s="43"/>
      <c r="I442" s="43"/>
      <c r="J442" s="242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</row>
    <row r="443" spans="1:28">
      <c r="A443" s="43"/>
      <c r="B443" s="43"/>
      <c r="C443" s="243"/>
      <c r="D443" s="43"/>
      <c r="E443" s="43"/>
      <c r="F443" s="43"/>
      <c r="G443" s="43"/>
      <c r="H443" s="43"/>
      <c r="I443" s="43"/>
      <c r="J443" s="242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</row>
    <row r="444" spans="1:28">
      <c r="A444" s="43"/>
      <c r="B444" s="43"/>
      <c r="C444" s="243"/>
      <c r="D444" s="43"/>
      <c r="E444" s="43"/>
      <c r="F444" s="43"/>
      <c r="G444" s="43"/>
      <c r="H444" s="43"/>
      <c r="I444" s="43"/>
      <c r="J444" s="242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</row>
    <row r="445" spans="1:28">
      <c r="A445" s="43"/>
      <c r="B445" s="43"/>
      <c r="C445" s="243"/>
      <c r="D445" s="43"/>
      <c r="E445" s="43"/>
      <c r="F445" s="43"/>
      <c r="G445" s="43"/>
      <c r="H445" s="43"/>
      <c r="I445" s="43"/>
      <c r="J445" s="242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</row>
    <row r="446" spans="1:28">
      <c r="A446" s="43"/>
      <c r="B446" s="43"/>
      <c r="C446" s="243"/>
      <c r="D446" s="43"/>
      <c r="E446" s="43"/>
      <c r="F446" s="43"/>
      <c r="G446" s="43"/>
      <c r="H446" s="43"/>
      <c r="I446" s="43"/>
      <c r="J446" s="242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 spans="1:28">
      <c r="A447" s="43"/>
      <c r="B447" s="43"/>
      <c r="C447" s="243"/>
      <c r="D447" s="43"/>
      <c r="E447" s="43"/>
      <c r="F447" s="43"/>
      <c r="G447" s="43"/>
      <c r="H447" s="43"/>
      <c r="I447" s="43"/>
      <c r="J447" s="242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</row>
    <row r="448" spans="1:28">
      <c r="A448" s="43"/>
      <c r="B448" s="43"/>
      <c r="C448" s="243"/>
      <c r="D448" s="43"/>
      <c r="E448" s="43"/>
      <c r="F448" s="43"/>
      <c r="G448" s="43"/>
      <c r="H448" s="43"/>
      <c r="I448" s="43"/>
      <c r="J448" s="242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</row>
    <row r="449" spans="1:28">
      <c r="A449" s="43"/>
      <c r="B449" s="43"/>
      <c r="C449" s="243"/>
      <c r="D449" s="43"/>
      <c r="E449" s="43"/>
      <c r="F449" s="43"/>
      <c r="G449" s="43"/>
      <c r="H449" s="43"/>
      <c r="I449" s="43"/>
      <c r="J449" s="242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</row>
    <row r="450" spans="1:28">
      <c r="A450" s="43"/>
      <c r="B450" s="43"/>
      <c r="C450" s="243"/>
      <c r="D450" s="43"/>
      <c r="E450" s="43"/>
      <c r="F450" s="43"/>
      <c r="G450" s="43"/>
      <c r="H450" s="43"/>
      <c r="I450" s="43"/>
      <c r="J450" s="242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 spans="1:28">
      <c r="A451" s="43"/>
      <c r="B451" s="43"/>
      <c r="C451" s="243"/>
      <c r="D451" s="43"/>
      <c r="E451" s="43"/>
      <c r="F451" s="43"/>
      <c r="G451" s="43"/>
      <c r="H451" s="43"/>
      <c r="I451" s="43"/>
      <c r="J451" s="242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</row>
    <row r="452" spans="1:28">
      <c r="A452" s="43"/>
      <c r="B452" s="43"/>
      <c r="C452" s="243"/>
      <c r="D452" s="43"/>
      <c r="E452" s="43"/>
      <c r="F452" s="43"/>
      <c r="G452" s="43"/>
      <c r="H452" s="43"/>
      <c r="I452" s="43"/>
      <c r="J452" s="242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</row>
    <row r="453" spans="1:28">
      <c r="A453" s="43"/>
      <c r="B453" s="43"/>
      <c r="C453" s="243"/>
      <c r="D453" s="43"/>
      <c r="E453" s="43"/>
      <c r="F453" s="43"/>
      <c r="G453" s="43"/>
      <c r="H453" s="43"/>
      <c r="I453" s="43"/>
      <c r="J453" s="242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</row>
    <row r="454" spans="1:28">
      <c r="A454" s="43"/>
      <c r="B454" s="43"/>
      <c r="C454" s="243"/>
      <c r="D454" s="43"/>
      <c r="E454" s="43"/>
      <c r="F454" s="43"/>
      <c r="G454" s="43"/>
      <c r="H454" s="43"/>
      <c r="I454" s="43"/>
      <c r="J454" s="242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 spans="1:28">
      <c r="A455" s="43"/>
      <c r="B455" s="43"/>
      <c r="C455" s="243"/>
      <c r="D455" s="43"/>
      <c r="E455" s="43"/>
      <c r="F455" s="43"/>
      <c r="G455" s="43"/>
      <c r="H455" s="43"/>
      <c r="I455" s="43"/>
      <c r="J455" s="242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 spans="1:28">
      <c r="A456" s="43"/>
      <c r="B456" s="43"/>
      <c r="C456" s="243"/>
      <c r="D456" s="43"/>
      <c r="E456" s="43"/>
      <c r="F456" s="43"/>
      <c r="G456" s="43"/>
      <c r="H456" s="43"/>
      <c r="I456" s="43"/>
      <c r="J456" s="242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 spans="1:28">
      <c r="A457" s="43"/>
      <c r="B457" s="43"/>
      <c r="C457" s="243"/>
      <c r="D457" s="43"/>
      <c r="E457" s="43"/>
      <c r="F457" s="43"/>
      <c r="G457" s="43"/>
      <c r="H457" s="43"/>
      <c r="I457" s="43"/>
      <c r="J457" s="242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</row>
    <row r="458" spans="1:28">
      <c r="A458" s="43"/>
      <c r="B458" s="43"/>
      <c r="C458" s="243"/>
      <c r="D458" s="43"/>
      <c r="E458" s="43"/>
      <c r="F458" s="43"/>
      <c r="G458" s="43"/>
      <c r="H458" s="43"/>
      <c r="I458" s="43"/>
      <c r="J458" s="242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 spans="1:28">
      <c r="A459" s="43"/>
      <c r="B459" s="43"/>
      <c r="C459" s="243"/>
      <c r="D459" s="43"/>
      <c r="E459" s="43"/>
      <c r="F459" s="43"/>
      <c r="G459" s="43"/>
      <c r="H459" s="43"/>
      <c r="I459" s="43"/>
      <c r="J459" s="242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 spans="1:28">
      <c r="A460" s="43"/>
      <c r="B460" s="43"/>
      <c r="C460" s="243"/>
      <c r="D460" s="43"/>
      <c r="E460" s="43"/>
      <c r="F460" s="43"/>
      <c r="G460" s="43"/>
      <c r="H460" s="43"/>
      <c r="I460" s="43"/>
      <c r="J460" s="242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 spans="1:28">
      <c r="A461" s="43"/>
      <c r="B461" s="43"/>
      <c r="C461" s="243"/>
      <c r="D461" s="43"/>
      <c r="E461" s="43"/>
      <c r="F461" s="43"/>
      <c r="G461" s="43"/>
      <c r="H461" s="43"/>
      <c r="I461" s="43"/>
      <c r="J461" s="242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 spans="1:28">
      <c r="A462" s="43"/>
      <c r="B462" s="43"/>
      <c r="C462" s="243"/>
      <c r="D462" s="43"/>
      <c r="E462" s="43"/>
      <c r="F462" s="43"/>
      <c r="G462" s="43"/>
      <c r="H462" s="43"/>
      <c r="I462" s="43"/>
      <c r="J462" s="242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 spans="1:28">
      <c r="A463" s="43"/>
      <c r="B463" s="43"/>
      <c r="C463" s="243"/>
      <c r="D463" s="43"/>
      <c r="E463" s="43"/>
      <c r="F463" s="43"/>
      <c r="G463" s="43"/>
      <c r="H463" s="43"/>
      <c r="I463" s="43"/>
      <c r="J463" s="242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 spans="1:28">
      <c r="A464" s="43"/>
      <c r="B464" s="43"/>
      <c r="C464" s="243"/>
      <c r="D464" s="43"/>
      <c r="E464" s="43"/>
      <c r="F464" s="43"/>
      <c r="G464" s="43"/>
      <c r="H464" s="43"/>
      <c r="I464" s="43"/>
      <c r="J464" s="242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 spans="1:28">
      <c r="A465" s="43"/>
      <c r="B465" s="43"/>
      <c r="C465" s="243"/>
      <c r="D465" s="43"/>
      <c r="E465" s="43"/>
      <c r="F465" s="43"/>
      <c r="G465" s="43"/>
      <c r="H465" s="43"/>
      <c r="I465" s="43"/>
      <c r="J465" s="242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</row>
    <row r="466" spans="1:28">
      <c r="A466" s="43"/>
      <c r="B466" s="43"/>
      <c r="C466" s="243"/>
      <c r="D466" s="43"/>
      <c r="E466" s="43"/>
      <c r="F466" s="43"/>
      <c r="G466" s="43"/>
      <c r="H466" s="43"/>
      <c r="I466" s="43"/>
      <c r="J466" s="242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 spans="1:28">
      <c r="A467" s="43"/>
      <c r="B467" s="43"/>
      <c r="C467" s="243"/>
      <c r="D467" s="43"/>
      <c r="E467" s="43"/>
      <c r="F467" s="43"/>
      <c r="G467" s="43"/>
      <c r="H467" s="43"/>
      <c r="I467" s="43"/>
      <c r="J467" s="242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 spans="1:28">
      <c r="A468" s="43"/>
      <c r="B468" s="43"/>
      <c r="C468" s="243"/>
      <c r="D468" s="43"/>
      <c r="E468" s="43"/>
      <c r="F468" s="43"/>
      <c r="G468" s="43"/>
      <c r="H468" s="43"/>
      <c r="I468" s="43"/>
      <c r="J468" s="242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</row>
    <row r="469" spans="1:28">
      <c r="A469" s="43"/>
      <c r="B469" s="43"/>
      <c r="C469" s="243"/>
      <c r="D469" s="43"/>
      <c r="E469" s="43"/>
      <c r="F469" s="43"/>
      <c r="G469" s="43"/>
      <c r="H469" s="43"/>
      <c r="I469" s="43"/>
      <c r="J469" s="242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</row>
    <row r="470" spans="1:28">
      <c r="A470" s="43"/>
      <c r="B470" s="43"/>
      <c r="C470" s="243"/>
      <c r="D470" s="43"/>
      <c r="E470" s="43"/>
      <c r="F470" s="43"/>
      <c r="G470" s="43"/>
      <c r="H470" s="43"/>
      <c r="I470" s="43"/>
      <c r="J470" s="242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 spans="1:28">
      <c r="A471" s="43"/>
      <c r="B471" s="43"/>
      <c r="C471" s="243"/>
      <c r="D471" s="43"/>
      <c r="E471" s="43"/>
      <c r="F471" s="43"/>
      <c r="G471" s="43"/>
      <c r="H471" s="43"/>
      <c r="I471" s="43"/>
      <c r="J471" s="242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 spans="1:28">
      <c r="A472" s="43"/>
      <c r="B472" s="43"/>
      <c r="C472" s="243"/>
      <c r="D472" s="43"/>
      <c r="E472" s="43"/>
      <c r="F472" s="43"/>
      <c r="G472" s="43"/>
      <c r="H472" s="43"/>
      <c r="I472" s="43"/>
      <c r="J472" s="242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 spans="1:28">
      <c r="A473" s="43"/>
      <c r="B473" s="43"/>
      <c r="C473" s="243"/>
      <c r="D473" s="43"/>
      <c r="E473" s="43"/>
      <c r="F473" s="43"/>
      <c r="G473" s="43"/>
      <c r="H473" s="43"/>
      <c r="I473" s="43"/>
      <c r="J473" s="242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 spans="1:28">
      <c r="A474" s="43"/>
      <c r="B474" s="43"/>
      <c r="C474" s="243"/>
      <c r="D474" s="43"/>
      <c r="E474" s="43"/>
      <c r="F474" s="43"/>
      <c r="G474" s="43"/>
      <c r="H474" s="43"/>
      <c r="I474" s="43"/>
      <c r="J474" s="242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 spans="1:28">
      <c r="A475" s="43"/>
      <c r="B475" s="43"/>
      <c r="C475" s="243"/>
      <c r="D475" s="43"/>
      <c r="E475" s="43"/>
      <c r="F475" s="43"/>
      <c r="G475" s="43"/>
      <c r="H475" s="43"/>
      <c r="I475" s="43"/>
      <c r="J475" s="242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 spans="1:28">
      <c r="A476" s="43"/>
      <c r="B476" s="43"/>
      <c r="C476" s="243"/>
      <c r="D476" s="43"/>
      <c r="E476" s="43"/>
      <c r="F476" s="43"/>
      <c r="G476" s="43"/>
      <c r="H476" s="43"/>
      <c r="I476" s="43"/>
      <c r="J476" s="242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</row>
    <row r="477" spans="1:28">
      <c r="A477" s="43"/>
      <c r="B477" s="43"/>
      <c r="C477" s="243"/>
      <c r="D477" s="43"/>
      <c r="E477" s="43"/>
      <c r="F477" s="43"/>
      <c r="G477" s="43"/>
      <c r="H477" s="43"/>
      <c r="I477" s="43"/>
      <c r="J477" s="242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</row>
    <row r="478" spans="1:28">
      <c r="A478" s="43"/>
      <c r="B478" s="43"/>
      <c r="C478" s="243"/>
      <c r="D478" s="43"/>
      <c r="E478" s="43"/>
      <c r="F478" s="43"/>
      <c r="G478" s="43"/>
      <c r="H478" s="43"/>
      <c r="I478" s="43"/>
      <c r="J478" s="242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</row>
    <row r="479" spans="1:28">
      <c r="A479" s="43"/>
      <c r="B479" s="43"/>
      <c r="C479" s="243"/>
      <c r="D479" s="43"/>
      <c r="E479" s="43"/>
      <c r="F479" s="43"/>
      <c r="G479" s="43"/>
      <c r="H479" s="43"/>
      <c r="I479" s="43"/>
      <c r="J479" s="242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 spans="1:28">
      <c r="A480" s="43"/>
      <c r="B480" s="43"/>
      <c r="C480" s="243"/>
      <c r="D480" s="43"/>
      <c r="E480" s="43"/>
      <c r="F480" s="43"/>
      <c r="G480" s="43"/>
      <c r="H480" s="43"/>
      <c r="I480" s="43"/>
      <c r="J480" s="242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 spans="1:28">
      <c r="A481" s="43"/>
      <c r="B481" s="43"/>
      <c r="C481" s="243"/>
      <c r="D481" s="43"/>
      <c r="E481" s="43"/>
      <c r="F481" s="43"/>
      <c r="G481" s="43"/>
      <c r="H481" s="43"/>
      <c r="I481" s="43"/>
      <c r="J481" s="242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 spans="1:28">
      <c r="A482" s="43"/>
      <c r="B482" s="43"/>
      <c r="C482" s="243"/>
      <c r="D482" s="43"/>
      <c r="E482" s="43"/>
      <c r="F482" s="43"/>
      <c r="G482" s="43"/>
      <c r="H482" s="43"/>
      <c r="I482" s="43"/>
      <c r="J482" s="242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 spans="1:28">
      <c r="A483" s="43"/>
      <c r="B483" s="43"/>
      <c r="C483" s="243"/>
      <c r="D483" s="43"/>
      <c r="E483" s="43"/>
      <c r="F483" s="43"/>
      <c r="G483" s="43"/>
      <c r="H483" s="43"/>
      <c r="I483" s="43"/>
      <c r="J483" s="242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 spans="1:28">
      <c r="A484" s="43"/>
      <c r="B484" s="43"/>
      <c r="C484" s="243"/>
      <c r="D484" s="43"/>
      <c r="E484" s="43"/>
      <c r="F484" s="43"/>
      <c r="G484" s="43"/>
      <c r="H484" s="43"/>
      <c r="I484" s="43"/>
      <c r="J484" s="242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</row>
    <row r="485" spans="1:28">
      <c r="A485" s="43"/>
      <c r="B485" s="43"/>
      <c r="C485" s="243"/>
      <c r="D485" s="43"/>
      <c r="E485" s="43"/>
      <c r="F485" s="43"/>
      <c r="G485" s="43"/>
      <c r="H485" s="43"/>
      <c r="I485" s="43"/>
      <c r="J485" s="242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</row>
    <row r="486" spans="1:28">
      <c r="A486" s="43"/>
      <c r="B486" s="43"/>
      <c r="C486" s="243"/>
      <c r="D486" s="43"/>
      <c r="E486" s="43"/>
      <c r="F486" s="43"/>
      <c r="G486" s="43"/>
      <c r="H486" s="43"/>
      <c r="I486" s="43"/>
      <c r="J486" s="242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</row>
    <row r="487" spans="1:28">
      <c r="A487" s="43"/>
      <c r="B487" s="43"/>
      <c r="C487" s="243"/>
      <c r="D487" s="43"/>
      <c r="E487" s="43"/>
      <c r="F487" s="43"/>
      <c r="G487" s="43"/>
      <c r="H487" s="43"/>
      <c r="I487" s="43"/>
      <c r="J487" s="242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 spans="1:28">
      <c r="A488" s="43"/>
      <c r="B488" s="43"/>
      <c r="C488" s="243"/>
      <c r="D488" s="43"/>
      <c r="E488" s="43"/>
      <c r="F488" s="43"/>
      <c r="G488" s="43"/>
      <c r="H488" s="43"/>
      <c r="I488" s="43"/>
      <c r="J488" s="242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</row>
    <row r="489" spans="1:28">
      <c r="A489" s="43"/>
      <c r="B489" s="43"/>
      <c r="C489" s="243"/>
      <c r="D489" s="43"/>
      <c r="E489" s="43"/>
      <c r="F489" s="43"/>
      <c r="G489" s="43"/>
      <c r="H489" s="43"/>
      <c r="I489" s="43"/>
      <c r="J489" s="242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 spans="1:28">
      <c r="A490" s="43"/>
      <c r="B490" s="43"/>
      <c r="C490" s="243"/>
      <c r="D490" s="43"/>
      <c r="E490" s="43"/>
      <c r="F490" s="43"/>
      <c r="G490" s="43"/>
      <c r="H490" s="43"/>
      <c r="I490" s="43"/>
      <c r="J490" s="242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 spans="1:28">
      <c r="A491" s="43"/>
      <c r="B491" s="43"/>
      <c r="C491" s="243"/>
      <c r="D491" s="43"/>
      <c r="E491" s="43"/>
      <c r="F491" s="43"/>
      <c r="G491" s="43"/>
      <c r="H491" s="43"/>
      <c r="I491" s="43"/>
      <c r="J491" s="242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 spans="1:28">
      <c r="A492" s="43"/>
      <c r="B492" s="43"/>
      <c r="C492" s="243"/>
      <c r="D492" s="43"/>
      <c r="E492" s="43"/>
      <c r="F492" s="43"/>
      <c r="G492" s="43"/>
      <c r="H492" s="43"/>
      <c r="I492" s="43"/>
      <c r="J492" s="242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 spans="1:28">
      <c r="A493" s="43"/>
      <c r="B493" s="43"/>
      <c r="C493" s="243"/>
      <c r="D493" s="43"/>
      <c r="E493" s="43"/>
      <c r="F493" s="43"/>
      <c r="G493" s="43"/>
      <c r="H493" s="43"/>
      <c r="I493" s="43"/>
      <c r="J493" s="242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</row>
    <row r="494" spans="1:28">
      <c r="A494" s="43"/>
      <c r="B494" s="43"/>
      <c r="C494" s="243"/>
      <c r="D494" s="43"/>
      <c r="E494" s="43"/>
      <c r="F494" s="43"/>
      <c r="G494" s="43"/>
      <c r="H494" s="43"/>
      <c r="I494" s="43"/>
      <c r="J494" s="242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 spans="1:28">
      <c r="A495" s="43"/>
      <c r="B495" s="43"/>
      <c r="C495" s="243"/>
      <c r="D495" s="43"/>
      <c r="E495" s="43"/>
      <c r="F495" s="43"/>
      <c r="G495" s="43"/>
      <c r="H495" s="43"/>
      <c r="I495" s="43"/>
      <c r="J495" s="242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</row>
    <row r="496" spans="1:28">
      <c r="A496" s="43"/>
      <c r="B496" s="43"/>
      <c r="C496" s="243"/>
      <c r="D496" s="43"/>
      <c r="E496" s="43"/>
      <c r="F496" s="43"/>
      <c r="G496" s="43"/>
      <c r="H496" s="43"/>
      <c r="I496" s="43"/>
      <c r="J496" s="242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</row>
    <row r="497" spans="1:28">
      <c r="A497" s="43"/>
      <c r="B497" s="43"/>
      <c r="C497" s="243"/>
      <c r="D497" s="43"/>
      <c r="E497" s="43"/>
      <c r="F497" s="43"/>
      <c r="G497" s="43"/>
      <c r="H497" s="43"/>
      <c r="I497" s="43"/>
      <c r="J497" s="242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 spans="1:28">
      <c r="A498" s="43"/>
      <c r="B498" s="43"/>
      <c r="C498" s="243"/>
      <c r="D498" s="43"/>
      <c r="E498" s="43"/>
      <c r="F498" s="43"/>
      <c r="G498" s="43"/>
      <c r="H498" s="43"/>
      <c r="I498" s="43"/>
      <c r="J498" s="242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</row>
    <row r="499" spans="1:28">
      <c r="A499" s="43"/>
      <c r="B499" s="43"/>
      <c r="C499" s="243"/>
      <c r="D499" s="43"/>
      <c r="E499" s="43"/>
      <c r="F499" s="43"/>
      <c r="G499" s="43"/>
      <c r="H499" s="43"/>
      <c r="I499" s="43"/>
      <c r="J499" s="242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 spans="1:28">
      <c r="A500" s="43"/>
      <c r="B500" s="43"/>
      <c r="C500" s="243"/>
      <c r="D500" s="43"/>
      <c r="E500" s="43"/>
      <c r="F500" s="43"/>
      <c r="G500" s="43"/>
      <c r="H500" s="43"/>
      <c r="I500" s="43"/>
      <c r="J500" s="242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</row>
    <row r="501" spans="1:28">
      <c r="A501" s="43"/>
      <c r="B501" s="43"/>
      <c r="C501" s="243"/>
      <c r="D501" s="43"/>
      <c r="E501" s="43"/>
      <c r="F501" s="43"/>
      <c r="G501" s="43"/>
      <c r="H501" s="43"/>
      <c r="I501" s="43"/>
      <c r="J501" s="242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</row>
    <row r="502" spans="1:28">
      <c r="A502" s="43"/>
      <c r="B502" s="43"/>
      <c r="C502" s="243"/>
      <c r="D502" s="43"/>
      <c r="E502" s="43"/>
      <c r="F502" s="43"/>
      <c r="G502" s="43"/>
      <c r="H502" s="43"/>
      <c r="I502" s="43"/>
      <c r="J502" s="242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 spans="1:28">
      <c r="A503" s="43"/>
      <c r="B503" s="43"/>
      <c r="C503" s="243"/>
      <c r="D503" s="43"/>
      <c r="E503" s="43"/>
      <c r="F503" s="43"/>
      <c r="G503" s="43"/>
      <c r="H503" s="43"/>
      <c r="I503" s="43"/>
      <c r="J503" s="242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</row>
    <row r="504" spans="1:28">
      <c r="A504" s="43"/>
      <c r="B504" s="43"/>
      <c r="C504" s="243"/>
      <c r="D504" s="43"/>
      <c r="E504" s="43"/>
      <c r="F504" s="43"/>
      <c r="G504" s="43"/>
      <c r="H504" s="43"/>
      <c r="I504" s="43"/>
      <c r="J504" s="242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 spans="1:28">
      <c r="A505" s="43"/>
      <c r="B505" s="43"/>
      <c r="C505" s="243"/>
      <c r="D505" s="43"/>
      <c r="E505" s="43"/>
      <c r="F505" s="43"/>
      <c r="G505" s="43"/>
      <c r="H505" s="43"/>
      <c r="I505" s="43"/>
      <c r="J505" s="242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</row>
    <row r="506" spans="1:28">
      <c r="A506" s="43"/>
      <c r="B506" s="43"/>
      <c r="C506" s="243"/>
      <c r="D506" s="43"/>
      <c r="E506" s="43"/>
      <c r="F506" s="43"/>
      <c r="G506" s="43"/>
      <c r="H506" s="43"/>
      <c r="I506" s="43"/>
      <c r="J506" s="242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</row>
    <row r="507" spans="1:28">
      <c r="A507" s="43"/>
      <c r="B507" s="43"/>
      <c r="C507" s="243"/>
      <c r="D507" s="43"/>
      <c r="E507" s="43"/>
      <c r="F507" s="43"/>
      <c r="G507" s="43"/>
      <c r="H507" s="43"/>
      <c r="I507" s="43"/>
      <c r="J507" s="242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 spans="1:28">
      <c r="A508" s="43"/>
      <c r="B508" s="43"/>
      <c r="C508" s="243"/>
      <c r="D508" s="43"/>
      <c r="E508" s="43"/>
      <c r="F508" s="43"/>
      <c r="G508" s="43"/>
      <c r="H508" s="43"/>
      <c r="I508" s="43"/>
      <c r="J508" s="242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</row>
    <row r="509" spans="1:28">
      <c r="A509" s="43"/>
      <c r="B509" s="43"/>
      <c r="C509" s="243"/>
      <c r="D509" s="43"/>
      <c r="E509" s="43"/>
      <c r="F509" s="43"/>
      <c r="G509" s="43"/>
      <c r="H509" s="43"/>
      <c r="I509" s="43"/>
      <c r="J509" s="242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 spans="1:28">
      <c r="A510" s="43"/>
      <c r="B510" s="43"/>
      <c r="C510" s="243"/>
      <c r="D510" s="43"/>
      <c r="E510" s="43"/>
      <c r="F510" s="43"/>
      <c r="G510" s="43"/>
      <c r="H510" s="43"/>
      <c r="I510" s="43"/>
      <c r="J510" s="242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 spans="1:28">
      <c r="A511" s="43"/>
      <c r="B511" s="43"/>
      <c r="C511" s="243"/>
      <c r="D511" s="43"/>
      <c r="E511" s="43"/>
      <c r="F511" s="43"/>
      <c r="G511" s="43"/>
      <c r="H511" s="43"/>
      <c r="I511" s="43"/>
      <c r="J511" s="242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 spans="1:28">
      <c r="A512" s="43"/>
      <c r="B512" s="43"/>
      <c r="C512" s="243"/>
      <c r="D512" s="43"/>
      <c r="E512" s="43"/>
      <c r="F512" s="43"/>
      <c r="G512" s="43"/>
      <c r="H512" s="43"/>
      <c r="I512" s="43"/>
      <c r="J512" s="242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</row>
    <row r="513" spans="1:28">
      <c r="A513" s="43"/>
      <c r="B513" s="43"/>
      <c r="C513" s="243"/>
      <c r="D513" s="43"/>
      <c r="E513" s="43"/>
      <c r="F513" s="43"/>
      <c r="G513" s="43"/>
      <c r="H513" s="43"/>
      <c r="I513" s="43"/>
      <c r="J513" s="242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 spans="1:28">
      <c r="A514" s="43"/>
      <c r="B514" s="43"/>
      <c r="C514" s="243"/>
      <c r="D514" s="43"/>
      <c r="E514" s="43"/>
      <c r="F514" s="43"/>
      <c r="G514" s="43"/>
      <c r="H514" s="43"/>
      <c r="I514" s="43"/>
      <c r="J514" s="242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 spans="1:28">
      <c r="A515" s="43"/>
      <c r="B515" s="43"/>
      <c r="C515" s="243"/>
      <c r="D515" s="43"/>
      <c r="E515" s="43"/>
      <c r="F515" s="43"/>
      <c r="G515" s="43"/>
      <c r="H515" s="43"/>
      <c r="I515" s="43"/>
      <c r="J515" s="242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 spans="1:28">
      <c r="A516" s="43"/>
      <c r="B516" s="43"/>
      <c r="C516" s="243"/>
      <c r="D516" s="43"/>
      <c r="E516" s="43"/>
      <c r="F516" s="43"/>
      <c r="G516" s="43"/>
      <c r="H516" s="43"/>
      <c r="I516" s="43"/>
      <c r="J516" s="242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 spans="1:28">
      <c r="A517" s="43"/>
      <c r="B517" s="43"/>
      <c r="C517" s="243"/>
      <c r="D517" s="43"/>
      <c r="E517" s="43"/>
      <c r="F517" s="43"/>
      <c r="G517" s="43"/>
      <c r="H517" s="43"/>
      <c r="I517" s="43"/>
      <c r="J517" s="242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 spans="1:28">
      <c r="A518" s="43"/>
      <c r="B518" s="43"/>
      <c r="C518" s="243"/>
      <c r="D518" s="43"/>
      <c r="E518" s="43"/>
      <c r="F518" s="43"/>
      <c r="G518" s="43"/>
      <c r="H518" s="43"/>
      <c r="I518" s="43"/>
      <c r="J518" s="242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 spans="1:28">
      <c r="A519" s="43"/>
      <c r="B519" s="43"/>
      <c r="C519" s="243"/>
      <c r="D519" s="43"/>
      <c r="E519" s="43"/>
      <c r="F519" s="43"/>
      <c r="G519" s="43"/>
      <c r="H519" s="43"/>
      <c r="I519" s="43"/>
      <c r="J519" s="242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 spans="1:28">
      <c r="A520" s="43"/>
      <c r="B520" s="43"/>
      <c r="C520" s="243"/>
      <c r="D520" s="43"/>
      <c r="E520" s="43"/>
      <c r="F520" s="43"/>
      <c r="G520" s="43"/>
      <c r="H520" s="43"/>
      <c r="I520" s="43"/>
      <c r="J520" s="242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 spans="1:28">
      <c r="A521" s="43"/>
      <c r="B521" s="43"/>
      <c r="C521" s="243"/>
      <c r="D521" s="43"/>
      <c r="E521" s="43"/>
      <c r="F521" s="43"/>
      <c r="G521" s="43"/>
      <c r="H521" s="43"/>
      <c r="I521" s="43"/>
      <c r="J521" s="242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 spans="1:28">
      <c r="A522" s="43"/>
      <c r="B522" s="43"/>
      <c r="C522" s="243"/>
      <c r="D522" s="43"/>
      <c r="E522" s="43"/>
      <c r="F522" s="43"/>
      <c r="G522" s="43"/>
      <c r="H522" s="43"/>
      <c r="I522" s="43"/>
      <c r="J522" s="242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</row>
    <row r="523" spans="1:28">
      <c r="A523" s="43"/>
      <c r="B523" s="43"/>
      <c r="C523" s="243"/>
      <c r="D523" s="43"/>
      <c r="E523" s="43"/>
      <c r="F523" s="43"/>
      <c r="G523" s="43"/>
      <c r="H523" s="43"/>
      <c r="I523" s="43"/>
      <c r="J523" s="242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</row>
    <row r="524" spans="1:28">
      <c r="A524" s="43"/>
      <c r="B524" s="43"/>
      <c r="C524" s="243"/>
      <c r="D524" s="43"/>
      <c r="E524" s="43"/>
      <c r="F524" s="43"/>
      <c r="G524" s="43"/>
      <c r="H524" s="43"/>
      <c r="I524" s="43"/>
      <c r="J524" s="242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 spans="1:28">
      <c r="A525" s="43"/>
      <c r="B525" s="43"/>
      <c r="C525" s="243"/>
      <c r="D525" s="43"/>
      <c r="E525" s="43"/>
      <c r="F525" s="43"/>
      <c r="G525" s="43"/>
      <c r="H525" s="43"/>
      <c r="I525" s="43"/>
      <c r="J525" s="242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</row>
    <row r="526" spans="1:28">
      <c r="A526" s="43"/>
      <c r="B526" s="43"/>
      <c r="C526" s="243"/>
      <c r="D526" s="43"/>
      <c r="E526" s="43"/>
      <c r="F526" s="43"/>
      <c r="G526" s="43"/>
      <c r="H526" s="43"/>
      <c r="I526" s="43"/>
      <c r="J526" s="242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 spans="1:28">
      <c r="A527" s="43"/>
      <c r="B527" s="43"/>
      <c r="C527" s="243"/>
      <c r="D527" s="43"/>
      <c r="E527" s="43"/>
      <c r="F527" s="43"/>
      <c r="G527" s="43"/>
      <c r="H527" s="43"/>
      <c r="I527" s="43"/>
      <c r="J527" s="242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</row>
    <row r="528" spans="1:28">
      <c r="A528" s="43"/>
      <c r="B528" s="43"/>
      <c r="C528" s="243"/>
      <c r="D528" s="43"/>
      <c r="E528" s="43"/>
      <c r="F528" s="43"/>
      <c r="G528" s="43"/>
      <c r="H528" s="43"/>
      <c r="I528" s="43"/>
      <c r="J528" s="242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</row>
    <row r="529" spans="1:28">
      <c r="A529" s="43"/>
      <c r="B529" s="43"/>
      <c r="C529" s="243"/>
      <c r="D529" s="43"/>
      <c r="E529" s="43"/>
      <c r="F529" s="43"/>
      <c r="G529" s="43"/>
      <c r="H529" s="43"/>
      <c r="I529" s="43"/>
      <c r="J529" s="242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</row>
    <row r="530" spans="1:28">
      <c r="A530" s="43"/>
      <c r="B530" s="43"/>
      <c r="C530" s="243"/>
      <c r="D530" s="43"/>
      <c r="E530" s="43"/>
      <c r="F530" s="43"/>
      <c r="G530" s="43"/>
      <c r="H530" s="43"/>
      <c r="I530" s="43"/>
      <c r="J530" s="242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</row>
    <row r="531" spans="1:28">
      <c r="A531" s="43"/>
      <c r="B531" s="43"/>
      <c r="C531" s="243"/>
      <c r="D531" s="43"/>
      <c r="E531" s="43"/>
      <c r="F531" s="43"/>
      <c r="G531" s="43"/>
      <c r="H531" s="43"/>
      <c r="I531" s="43"/>
      <c r="J531" s="242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 spans="1:28">
      <c r="A532" s="43"/>
      <c r="B532" s="43"/>
      <c r="C532" s="243"/>
      <c r="D532" s="43"/>
      <c r="E532" s="43"/>
      <c r="F532" s="43"/>
      <c r="G532" s="43"/>
      <c r="H532" s="43"/>
      <c r="I532" s="43"/>
      <c r="J532" s="242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</row>
    <row r="533" spans="1:28">
      <c r="A533" s="43"/>
      <c r="B533" s="43"/>
      <c r="C533" s="243"/>
      <c r="D533" s="43"/>
      <c r="E533" s="43"/>
      <c r="F533" s="43"/>
      <c r="G533" s="43"/>
      <c r="H533" s="43"/>
      <c r="I533" s="43"/>
      <c r="J533" s="242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</row>
    <row r="534" spans="1:28">
      <c r="A534" s="43"/>
      <c r="B534" s="43"/>
      <c r="C534" s="243"/>
      <c r="D534" s="43"/>
      <c r="E534" s="43"/>
      <c r="F534" s="43"/>
      <c r="G534" s="43"/>
      <c r="H534" s="43"/>
      <c r="I534" s="43"/>
      <c r="J534" s="242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</row>
    <row r="535" spans="1:28">
      <c r="A535" s="43"/>
      <c r="B535" s="43"/>
      <c r="C535" s="243"/>
      <c r="D535" s="43"/>
      <c r="E535" s="43"/>
      <c r="F535" s="43"/>
      <c r="G535" s="43"/>
      <c r="H535" s="43"/>
      <c r="I535" s="43"/>
      <c r="J535" s="242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 spans="1:28">
      <c r="A536" s="43"/>
      <c r="B536" s="43"/>
      <c r="C536" s="243"/>
      <c r="D536" s="43"/>
      <c r="E536" s="43"/>
      <c r="F536" s="43"/>
      <c r="G536" s="43"/>
      <c r="H536" s="43"/>
      <c r="I536" s="43"/>
      <c r="J536" s="242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 spans="1:28">
      <c r="A537" s="43"/>
      <c r="B537" s="43"/>
      <c r="C537" s="243"/>
      <c r="D537" s="43"/>
      <c r="E537" s="43"/>
      <c r="F537" s="43"/>
      <c r="G537" s="43"/>
      <c r="H537" s="43"/>
      <c r="I537" s="43"/>
      <c r="J537" s="242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</row>
    <row r="538" spans="1:28">
      <c r="A538" s="43"/>
      <c r="B538" s="43"/>
      <c r="C538" s="243"/>
      <c r="D538" s="43"/>
      <c r="E538" s="43"/>
      <c r="F538" s="43"/>
      <c r="G538" s="43"/>
      <c r="H538" s="43"/>
      <c r="I538" s="43"/>
      <c r="J538" s="242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 spans="1:28">
      <c r="A539" s="43"/>
      <c r="B539" s="43"/>
      <c r="C539" s="243"/>
      <c r="D539" s="43"/>
      <c r="E539" s="43"/>
      <c r="F539" s="43"/>
      <c r="G539" s="43"/>
      <c r="H539" s="43"/>
      <c r="I539" s="43"/>
      <c r="J539" s="242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</row>
    <row r="540" spans="1:28">
      <c r="A540" s="43"/>
      <c r="B540" s="43"/>
      <c r="C540" s="243"/>
      <c r="D540" s="43"/>
      <c r="E540" s="43"/>
      <c r="F540" s="43"/>
      <c r="G540" s="43"/>
      <c r="H540" s="43"/>
      <c r="I540" s="43"/>
      <c r="J540" s="242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 spans="1:28">
      <c r="A541" s="43"/>
      <c r="B541" s="43"/>
      <c r="C541" s="243"/>
      <c r="D541" s="43"/>
      <c r="E541" s="43"/>
      <c r="F541" s="43"/>
      <c r="G541" s="43"/>
      <c r="H541" s="43"/>
      <c r="I541" s="43"/>
      <c r="J541" s="242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 spans="1:28">
      <c r="A542" s="43"/>
      <c r="B542" s="43"/>
      <c r="C542" s="243"/>
      <c r="D542" s="43"/>
      <c r="E542" s="43"/>
      <c r="F542" s="43"/>
      <c r="G542" s="43"/>
      <c r="H542" s="43"/>
      <c r="I542" s="43"/>
      <c r="J542" s="242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 spans="1:28">
      <c r="A543" s="43"/>
      <c r="B543" s="43"/>
      <c r="C543" s="243"/>
      <c r="D543" s="43"/>
      <c r="E543" s="43"/>
      <c r="F543" s="43"/>
      <c r="G543" s="43"/>
      <c r="H543" s="43"/>
      <c r="I543" s="43"/>
      <c r="J543" s="242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 spans="1:28">
      <c r="A544" s="43"/>
      <c r="B544" s="43"/>
      <c r="C544" s="243"/>
      <c r="D544" s="43"/>
      <c r="E544" s="43"/>
      <c r="F544" s="43"/>
      <c r="G544" s="43"/>
      <c r="H544" s="43"/>
      <c r="I544" s="43"/>
      <c r="J544" s="242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</row>
    <row r="545" spans="1:28">
      <c r="A545" s="43"/>
      <c r="B545" s="43"/>
      <c r="C545" s="243"/>
      <c r="D545" s="43"/>
      <c r="E545" s="43"/>
      <c r="F545" s="43"/>
      <c r="G545" s="43"/>
      <c r="H545" s="43"/>
      <c r="I545" s="43"/>
      <c r="J545" s="242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</row>
    <row r="546" spans="1:28">
      <c r="A546" s="43"/>
      <c r="B546" s="43"/>
      <c r="C546" s="243"/>
      <c r="D546" s="43"/>
      <c r="E546" s="43"/>
      <c r="F546" s="43"/>
      <c r="G546" s="43"/>
      <c r="H546" s="43"/>
      <c r="I546" s="43"/>
      <c r="J546" s="242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</row>
    <row r="547" spans="1:28">
      <c r="A547" s="43"/>
      <c r="B547" s="43"/>
      <c r="C547" s="243"/>
      <c r="D547" s="43"/>
      <c r="E547" s="43"/>
      <c r="F547" s="43"/>
      <c r="G547" s="43"/>
      <c r="H547" s="43"/>
      <c r="I547" s="43"/>
      <c r="J547" s="242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 spans="1:28">
      <c r="A548" s="43"/>
      <c r="B548" s="43"/>
      <c r="C548" s="243"/>
      <c r="D548" s="43"/>
      <c r="E548" s="43"/>
      <c r="F548" s="43"/>
      <c r="G548" s="43"/>
      <c r="H548" s="43"/>
      <c r="I548" s="43"/>
      <c r="J548" s="242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 spans="1:28">
      <c r="A549" s="43"/>
      <c r="B549" s="43"/>
      <c r="C549" s="243"/>
      <c r="D549" s="43"/>
      <c r="E549" s="43"/>
      <c r="F549" s="43"/>
      <c r="G549" s="43"/>
      <c r="H549" s="43"/>
      <c r="I549" s="43"/>
      <c r="J549" s="242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</row>
    <row r="550" spans="1:28">
      <c r="A550" s="43"/>
      <c r="B550" s="43"/>
      <c r="C550" s="243"/>
      <c r="D550" s="43"/>
      <c r="E550" s="43"/>
      <c r="F550" s="43"/>
      <c r="G550" s="43"/>
      <c r="H550" s="43"/>
      <c r="I550" s="43"/>
      <c r="J550" s="242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</row>
    <row r="551" spans="1:28">
      <c r="A551" s="43"/>
      <c r="B551" s="43"/>
      <c r="C551" s="243"/>
      <c r="D551" s="43"/>
      <c r="E551" s="43"/>
      <c r="F551" s="43"/>
      <c r="G551" s="43"/>
      <c r="H551" s="43"/>
      <c r="I551" s="43"/>
      <c r="J551" s="242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 spans="1:28">
      <c r="A552" s="43"/>
      <c r="B552" s="43"/>
      <c r="C552" s="243"/>
      <c r="D552" s="43"/>
      <c r="E552" s="43"/>
      <c r="F552" s="43"/>
      <c r="G552" s="43"/>
      <c r="H552" s="43"/>
      <c r="I552" s="43"/>
      <c r="J552" s="242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</row>
    <row r="553" spans="1:28">
      <c r="A553" s="43"/>
      <c r="B553" s="43"/>
      <c r="C553" s="243"/>
      <c r="D553" s="43"/>
      <c r="E553" s="43"/>
      <c r="F553" s="43"/>
      <c r="G553" s="43"/>
      <c r="H553" s="43"/>
      <c r="I553" s="43"/>
      <c r="J553" s="242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</row>
    <row r="554" spans="1:28">
      <c r="A554" s="43"/>
      <c r="B554" s="43"/>
      <c r="C554" s="243"/>
      <c r="D554" s="43"/>
      <c r="E554" s="43"/>
      <c r="F554" s="43"/>
      <c r="G554" s="43"/>
      <c r="H554" s="43"/>
      <c r="I554" s="43"/>
      <c r="J554" s="242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</row>
    <row r="555" spans="1:28">
      <c r="A555" s="43"/>
      <c r="B555" s="43"/>
      <c r="C555" s="243"/>
      <c r="D555" s="43"/>
      <c r="E555" s="43"/>
      <c r="F555" s="43"/>
      <c r="G555" s="43"/>
      <c r="H555" s="43"/>
      <c r="I555" s="43"/>
      <c r="J555" s="242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 spans="1:28">
      <c r="A556" s="43"/>
      <c r="B556" s="43"/>
      <c r="C556" s="243"/>
      <c r="D556" s="43"/>
      <c r="E556" s="43"/>
      <c r="F556" s="43"/>
      <c r="G556" s="43"/>
      <c r="H556" s="43"/>
      <c r="I556" s="43"/>
      <c r="J556" s="242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</row>
    <row r="557" spans="1:28">
      <c r="A557" s="43"/>
      <c r="B557" s="43"/>
      <c r="C557" s="243"/>
      <c r="D557" s="43"/>
      <c r="E557" s="43"/>
      <c r="F557" s="43"/>
      <c r="G557" s="43"/>
      <c r="H557" s="43"/>
      <c r="I557" s="43"/>
      <c r="J557" s="242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</row>
    <row r="558" spans="1:28">
      <c r="A558" s="43"/>
      <c r="B558" s="43"/>
      <c r="C558" s="243"/>
      <c r="D558" s="43"/>
      <c r="E558" s="43"/>
      <c r="F558" s="43"/>
      <c r="G558" s="43"/>
      <c r="H558" s="43"/>
      <c r="I558" s="43"/>
      <c r="J558" s="242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 spans="1:28">
      <c r="A559" s="43"/>
      <c r="B559" s="43"/>
      <c r="C559" s="243"/>
      <c r="D559" s="43"/>
      <c r="E559" s="43"/>
      <c r="F559" s="43"/>
      <c r="G559" s="43"/>
      <c r="H559" s="43"/>
      <c r="I559" s="43"/>
      <c r="J559" s="242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</row>
    <row r="560" spans="1:28">
      <c r="A560" s="43"/>
      <c r="B560" s="43"/>
      <c r="C560" s="243"/>
      <c r="D560" s="43"/>
      <c r="E560" s="43"/>
      <c r="F560" s="43"/>
      <c r="G560" s="43"/>
      <c r="H560" s="43"/>
      <c r="I560" s="43"/>
      <c r="J560" s="242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</row>
    <row r="561" spans="1:28">
      <c r="A561" s="43"/>
      <c r="B561" s="43"/>
      <c r="C561" s="243"/>
      <c r="D561" s="43"/>
      <c r="E561" s="43"/>
      <c r="F561" s="43"/>
      <c r="G561" s="43"/>
      <c r="H561" s="43"/>
      <c r="I561" s="43"/>
      <c r="J561" s="242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 spans="1:28">
      <c r="A562" s="43"/>
      <c r="B562" s="43"/>
      <c r="C562" s="243"/>
      <c r="D562" s="43"/>
      <c r="E562" s="43"/>
      <c r="F562" s="43"/>
      <c r="G562" s="43"/>
      <c r="H562" s="43"/>
      <c r="I562" s="43"/>
      <c r="J562" s="242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</row>
    <row r="563" spans="1:28">
      <c r="A563" s="43"/>
      <c r="B563" s="43"/>
      <c r="C563" s="243"/>
      <c r="D563" s="43"/>
      <c r="E563" s="43"/>
      <c r="F563" s="43"/>
      <c r="G563" s="43"/>
      <c r="H563" s="43"/>
      <c r="I563" s="43"/>
      <c r="J563" s="242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 spans="1:28">
      <c r="A564" s="43"/>
      <c r="B564" s="43"/>
      <c r="C564" s="243"/>
      <c r="D564" s="43"/>
      <c r="E564" s="43"/>
      <c r="F564" s="43"/>
      <c r="G564" s="43"/>
      <c r="H564" s="43"/>
      <c r="I564" s="43"/>
      <c r="J564" s="242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 spans="1:28">
      <c r="A565" s="43"/>
      <c r="B565" s="43"/>
      <c r="C565" s="243"/>
      <c r="D565" s="43"/>
      <c r="E565" s="43"/>
      <c r="F565" s="43"/>
      <c r="G565" s="43"/>
      <c r="H565" s="43"/>
      <c r="I565" s="43"/>
      <c r="J565" s="242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 spans="1:28">
      <c r="A566" s="43"/>
      <c r="B566" s="43"/>
      <c r="C566" s="243"/>
      <c r="D566" s="43"/>
      <c r="E566" s="43"/>
      <c r="F566" s="43"/>
      <c r="G566" s="43"/>
      <c r="H566" s="43"/>
      <c r="I566" s="43"/>
      <c r="J566" s="242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</row>
    <row r="567" spans="1:28">
      <c r="A567" s="43"/>
      <c r="B567" s="43"/>
      <c r="C567" s="243"/>
      <c r="D567" s="43"/>
      <c r="E567" s="43"/>
      <c r="F567" s="43"/>
      <c r="G567" s="43"/>
      <c r="H567" s="43"/>
      <c r="I567" s="43"/>
      <c r="J567" s="242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 spans="1:28">
      <c r="A568" s="43"/>
      <c r="B568" s="43"/>
      <c r="C568" s="243"/>
      <c r="D568" s="43"/>
      <c r="E568" s="43"/>
      <c r="F568" s="43"/>
      <c r="G568" s="43"/>
      <c r="H568" s="43"/>
      <c r="I568" s="43"/>
      <c r="J568" s="242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 spans="1:28">
      <c r="A569" s="43"/>
      <c r="B569" s="43"/>
      <c r="C569" s="243"/>
      <c r="D569" s="43"/>
      <c r="E569" s="43"/>
      <c r="F569" s="43"/>
      <c r="G569" s="43"/>
      <c r="H569" s="43"/>
      <c r="I569" s="43"/>
      <c r="J569" s="242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</row>
    <row r="570" spans="1:28">
      <c r="A570" s="43"/>
      <c r="B570" s="43"/>
      <c r="C570" s="243"/>
      <c r="D570" s="43"/>
      <c r="E570" s="43"/>
      <c r="F570" s="43"/>
      <c r="G570" s="43"/>
      <c r="H570" s="43"/>
      <c r="I570" s="43"/>
      <c r="J570" s="242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</row>
    <row r="571" spans="1:28">
      <c r="A571" s="43"/>
      <c r="B571" s="43"/>
      <c r="C571" s="243"/>
      <c r="D571" s="43"/>
      <c r="E571" s="43"/>
      <c r="F571" s="43"/>
      <c r="G571" s="43"/>
      <c r="H571" s="43"/>
      <c r="I571" s="43"/>
      <c r="J571" s="242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 spans="1:28">
      <c r="A572" s="43"/>
      <c r="B572" s="43"/>
      <c r="C572" s="243"/>
      <c r="D572" s="43"/>
      <c r="E572" s="43"/>
      <c r="F572" s="43"/>
      <c r="G572" s="43"/>
      <c r="H572" s="43"/>
      <c r="I572" s="43"/>
      <c r="J572" s="242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 spans="1:28">
      <c r="A573" s="43"/>
      <c r="B573" s="43"/>
      <c r="C573" s="243"/>
      <c r="D573" s="43"/>
      <c r="E573" s="43"/>
      <c r="F573" s="43"/>
      <c r="G573" s="43"/>
      <c r="H573" s="43"/>
      <c r="I573" s="43"/>
      <c r="J573" s="242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 spans="1:28">
      <c r="A574" s="43"/>
      <c r="B574" s="43"/>
      <c r="C574" s="243"/>
      <c r="D574" s="43"/>
      <c r="E574" s="43"/>
      <c r="F574" s="43"/>
      <c r="G574" s="43"/>
      <c r="H574" s="43"/>
      <c r="I574" s="43"/>
      <c r="J574" s="242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</row>
    <row r="575" spans="1:28">
      <c r="A575" s="43"/>
      <c r="B575" s="43"/>
      <c r="C575" s="243"/>
      <c r="D575" s="43"/>
      <c r="E575" s="43"/>
      <c r="F575" s="43"/>
      <c r="G575" s="43"/>
      <c r="H575" s="43"/>
      <c r="I575" s="43"/>
      <c r="J575" s="242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</row>
    <row r="576" spans="1:28">
      <c r="A576" s="43"/>
      <c r="B576" s="43"/>
      <c r="C576" s="243"/>
      <c r="D576" s="43"/>
      <c r="E576" s="43"/>
      <c r="F576" s="43"/>
      <c r="G576" s="43"/>
      <c r="H576" s="43"/>
      <c r="I576" s="43"/>
      <c r="J576" s="242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 spans="1:28">
      <c r="A577" s="43"/>
      <c r="B577" s="43"/>
      <c r="C577" s="243"/>
      <c r="D577" s="43"/>
      <c r="E577" s="43"/>
      <c r="F577" s="43"/>
      <c r="G577" s="43"/>
      <c r="H577" s="43"/>
      <c r="I577" s="43"/>
      <c r="J577" s="242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 spans="1:28">
      <c r="A578" s="43"/>
      <c r="B578" s="43"/>
      <c r="C578" s="243"/>
      <c r="D578" s="43"/>
      <c r="E578" s="43"/>
      <c r="F578" s="43"/>
      <c r="G578" s="43"/>
      <c r="H578" s="43"/>
      <c r="I578" s="43"/>
      <c r="J578" s="242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 spans="1:28">
      <c r="A579" s="43"/>
      <c r="B579" s="43"/>
      <c r="C579" s="243"/>
      <c r="D579" s="43"/>
      <c r="E579" s="43"/>
      <c r="F579" s="43"/>
      <c r="G579" s="43"/>
      <c r="H579" s="43"/>
      <c r="I579" s="43"/>
      <c r="J579" s="242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</row>
    <row r="580" spans="1:28">
      <c r="A580" s="43"/>
      <c r="B580" s="43"/>
      <c r="C580" s="243"/>
      <c r="D580" s="43"/>
      <c r="E580" s="43"/>
      <c r="F580" s="43"/>
      <c r="G580" s="43"/>
      <c r="H580" s="43"/>
      <c r="I580" s="43"/>
      <c r="J580" s="242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 spans="1:28">
      <c r="A581" s="43"/>
      <c r="B581" s="43"/>
      <c r="C581" s="243"/>
      <c r="D581" s="43"/>
      <c r="E581" s="43"/>
      <c r="F581" s="43"/>
      <c r="G581" s="43"/>
      <c r="H581" s="43"/>
      <c r="I581" s="43"/>
      <c r="J581" s="242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</row>
    <row r="582" spans="1:28">
      <c r="A582" s="43"/>
      <c r="B582" s="43"/>
      <c r="C582" s="243"/>
      <c r="D582" s="43"/>
      <c r="E582" s="43"/>
      <c r="F582" s="43"/>
      <c r="G582" s="43"/>
      <c r="H582" s="43"/>
      <c r="I582" s="43"/>
      <c r="J582" s="242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</row>
    <row r="583" spans="1:28">
      <c r="A583" s="43"/>
      <c r="B583" s="43"/>
      <c r="C583" s="243"/>
      <c r="D583" s="43"/>
      <c r="E583" s="43"/>
      <c r="F583" s="43"/>
      <c r="G583" s="43"/>
      <c r="H583" s="43"/>
      <c r="I583" s="43"/>
      <c r="J583" s="242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</row>
    <row r="584" spans="1:28">
      <c r="A584" s="43"/>
      <c r="B584" s="43"/>
      <c r="C584" s="243"/>
      <c r="D584" s="43"/>
      <c r="E584" s="43"/>
      <c r="F584" s="43"/>
      <c r="G584" s="43"/>
      <c r="H584" s="43"/>
      <c r="I584" s="43"/>
      <c r="J584" s="242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</row>
    <row r="585" spans="1:28">
      <c r="A585" s="43"/>
      <c r="B585" s="43"/>
      <c r="C585" s="243"/>
      <c r="D585" s="43"/>
      <c r="E585" s="43"/>
      <c r="F585" s="43"/>
      <c r="G585" s="43"/>
      <c r="H585" s="43"/>
      <c r="I585" s="43"/>
      <c r="J585" s="242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 spans="1:28">
      <c r="A586" s="43"/>
      <c r="B586" s="43"/>
      <c r="C586" s="243"/>
      <c r="D586" s="43"/>
      <c r="E586" s="43"/>
      <c r="F586" s="43"/>
      <c r="G586" s="43"/>
      <c r="H586" s="43"/>
      <c r="I586" s="43"/>
      <c r="J586" s="242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</row>
    <row r="587" spans="1:28">
      <c r="A587" s="43"/>
      <c r="B587" s="43"/>
      <c r="C587" s="243"/>
      <c r="D587" s="43"/>
      <c r="E587" s="43"/>
      <c r="F587" s="43"/>
      <c r="G587" s="43"/>
      <c r="H587" s="43"/>
      <c r="I587" s="43"/>
      <c r="J587" s="242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</row>
    <row r="588" spans="1:28">
      <c r="A588" s="43"/>
      <c r="B588" s="43"/>
      <c r="C588" s="243"/>
      <c r="D588" s="43"/>
      <c r="E588" s="43"/>
      <c r="F588" s="43"/>
      <c r="G588" s="43"/>
      <c r="H588" s="43"/>
      <c r="I588" s="43"/>
      <c r="J588" s="242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</row>
    <row r="589" spans="1:28">
      <c r="A589" s="43"/>
      <c r="B589" s="43"/>
      <c r="C589" s="243"/>
      <c r="D589" s="43"/>
      <c r="E589" s="43"/>
      <c r="F589" s="43"/>
      <c r="G589" s="43"/>
      <c r="H589" s="43"/>
      <c r="I589" s="43"/>
      <c r="J589" s="242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</row>
    <row r="590" spans="1:28">
      <c r="A590" s="43"/>
      <c r="B590" s="43"/>
      <c r="C590" s="243"/>
      <c r="D590" s="43"/>
      <c r="E590" s="43"/>
      <c r="F590" s="43"/>
      <c r="G590" s="43"/>
      <c r="H590" s="43"/>
      <c r="I590" s="43"/>
      <c r="J590" s="242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</row>
    <row r="591" spans="1:28">
      <c r="A591" s="43"/>
      <c r="B591" s="43"/>
      <c r="C591" s="243"/>
      <c r="D591" s="43"/>
      <c r="E591" s="43"/>
      <c r="F591" s="43"/>
      <c r="G591" s="43"/>
      <c r="H591" s="43"/>
      <c r="I591" s="43"/>
      <c r="J591" s="242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 spans="1:28">
      <c r="A592" s="43"/>
      <c r="B592" s="43"/>
      <c r="C592" s="243"/>
      <c r="D592" s="43"/>
      <c r="E592" s="43"/>
      <c r="F592" s="43"/>
      <c r="G592" s="43"/>
      <c r="H592" s="43"/>
      <c r="I592" s="43"/>
      <c r="J592" s="242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</row>
    <row r="593" spans="1:28">
      <c r="A593" s="43"/>
      <c r="B593" s="43"/>
      <c r="C593" s="243"/>
      <c r="D593" s="43"/>
      <c r="E593" s="43"/>
      <c r="F593" s="43"/>
      <c r="G593" s="43"/>
      <c r="H593" s="43"/>
      <c r="I593" s="43"/>
      <c r="J593" s="242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 spans="1:28">
      <c r="A594" s="43"/>
      <c r="B594" s="43"/>
      <c r="C594" s="243"/>
      <c r="D594" s="43"/>
      <c r="E594" s="43"/>
      <c r="F594" s="43"/>
      <c r="G594" s="43"/>
      <c r="H594" s="43"/>
      <c r="I594" s="43"/>
      <c r="J594" s="242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</row>
    <row r="595" spans="1:28">
      <c r="A595" s="43"/>
      <c r="B595" s="43"/>
      <c r="C595" s="243"/>
      <c r="D595" s="43"/>
      <c r="E595" s="43"/>
      <c r="F595" s="43"/>
      <c r="G595" s="43"/>
      <c r="H595" s="43"/>
      <c r="I595" s="43"/>
      <c r="J595" s="242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</row>
    <row r="596" spans="1:28">
      <c r="A596" s="43"/>
      <c r="B596" s="43"/>
      <c r="C596" s="243"/>
      <c r="D596" s="43"/>
      <c r="E596" s="43"/>
      <c r="F596" s="43"/>
      <c r="G596" s="43"/>
      <c r="H596" s="43"/>
      <c r="I596" s="43"/>
      <c r="J596" s="242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 spans="1:28">
      <c r="A597" s="43"/>
      <c r="B597" s="43"/>
      <c r="C597" s="243"/>
      <c r="D597" s="43"/>
      <c r="E597" s="43"/>
      <c r="F597" s="43"/>
      <c r="G597" s="43"/>
      <c r="H597" s="43"/>
      <c r="I597" s="43"/>
      <c r="J597" s="242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</row>
    <row r="598" spans="1:28">
      <c r="A598" s="43"/>
      <c r="B598" s="43"/>
      <c r="C598" s="243"/>
      <c r="D598" s="43"/>
      <c r="E598" s="43"/>
      <c r="F598" s="43"/>
      <c r="G598" s="43"/>
      <c r="H598" s="43"/>
      <c r="I598" s="43"/>
      <c r="J598" s="242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</row>
    <row r="599" spans="1:28">
      <c r="A599" s="43"/>
      <c r="B599" s="43"/>
      <c r="C599" s="243"/>
      <c r="D599" s="43"/>
      <c r="E599" s="43"/>
      <c r="F599" s="43"/>
      <c r="G599" s="43"/>
      <c r="H599" s="43"/>
      <c r="I599" s="43"/>
      <c r="J599" s="242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 spans="1:28">
      <c r="A600" s="43"/>
      <c r="B600" s="43"/>
      <c r="C600" s="243"/>
      <c r="D600" s="43"/>
      <c r="E600" s="43"/>
      <c r="F600" s="43"/>
      <c r="G600" s="43"/>
      <c r="H600" s="43"/>
      <c r="I600" s="43"/>
      <c r="J600" s="242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</row>
    <row r="601" spans="1:28">
      <c r="A601" s="43"/>
      <c r="B601" s="43"/>
      <c r="C601" s="243"/>
      <c r="D601" s="43"/>
      <c r="E601" s="43"/>
      <c r="F601" s="43"/>
      <c r="G601" s="43"/>
      <c r="H601" s="43"/>
      <c r="I601" s="43"/>
      <c r="J601" s="242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</row>
    <row r="602" spans="1:28">
      <c r="A602" s="43"/>
      <c r="B602" s="43"/>
      <c r="C602" s="243"/>
      <c r="D602" s="43"/>
      <c r="E602" s="43"/>
      <c r="F602" s="43"/>
      <c r="G602" s="43"/>
      <c r="H602" s="43"/>
      <c r="I602" s="43"/>
      <c r="J602" s="242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</row>
    <row r="603" spans="1:28">
      <c r="A603" s="43"/>
      <c r="B603" s="43"/>
      <c r="C603" s="243"/>
      <c r="D603" s="43"/>
      <c r="E603" s="43"/>
      <c r="F603" s="43"/>
      <c r="G603" s="43"/>
      <c r="H603" s="43"/>
      <c r="I603" s="43"/>
      <c r="J603" s="242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</row>
    <row r="604" spans="1:28">
      <c r="A604" s="43"/>
      <c r="B604" s="43"/>
      <c r="C604" s="243"/>
      <c r="D604" s="43"/>
      <c r="E604" s="43"/>
      <c r="F604" s="43"/>
      <c r="G604" s="43"/>
      <c r="H604" s="43"/>
      <c r="I604" s="43"/>
      <c r="J604" s="242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</row>
    <row r="605" spans="1:28">
      <c r="A605" s="43"/>
      <c r="B605" s="43"/>
      <c r="C605" s="243"/>
      <c r="D605" s="43"/>
      <c r="E605" s="43"/>
      <c r="F605" s="43"/>
      <c r="G605" s="43"/>
      <c r="H605" s="43"/>
      <c r="I605" s="43"/>
      <c r="J605" s="242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 spans="1:28">
      <c r="A606" s="43"/>
      <c r="B606" s="43"/>
      <c r="C606" s="243"/>
      <c r="D606" s="43"/>
      <c r="E606" s="43"/>
      <c r="F606" s="43"/>
      <c r="G606" s="43"/>
      <c r="H606" s="43"/>
      <c r="I606" s="43"/>
      <c r="J606" s="242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</row>
    <row r="607" spans="1:28">
      <c r="A607" s="43"/>
      <c r="B607" s="43"/>
      <c r="C607" s="243"/>
      <c r="D607" s="43"/>
      <c r="E607" s="43"/>
      <c r="F607" s="43"/>
      <c r="G607" s="43"/>
      <c r="H607" s="43"/>
      <c r="I607" s="43"/>
      <c r="J607" s="242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 spans="1:28">
      <c r="A608" s="43"/>
      <c r="B608" s="43"/>
      <c r="C608" s="243"/>
      <c r="D608" s="43"/>
      <c r="E608" s="43"/>
      <c r="F608" s="43"/>
      <c r="G608" s="43"/>
      <c r="H608" s="43"/>
      <c r="I608" s="43"/>
      <c r="J608" s="242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 spans="1:28">
      <c r="A609" s="43"/>
      <c r="B609" s="43"/>
      <c r="C609" s="243"/>
      <c r="D609" s="43"/>
      <c r="E609" s="43"/>
      <c r="F609" s="43"/>
      <c r="G609" s="43"/>
      <c r="H609" s="43"/>
      <c r="I609" s="43"/>
      <c r="J609" s="242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</row>
    <row r="610" spans="1:28">
      <c r="A610" s="43"/>
      <c r="B610" s="43"/>
      <c r="C610" s="243"/>
      <c r="D610" s="43"/>
      <c r="E610" s="43"/>
      <c r="F610" s="43"/>
      <c r="G610" s="43"/>
      <c r="H610" s="43"/>
      <c r="I610" s="43"/>
      <c r="J610" s="242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</row>
    <row r="611" spans="1:28">
      <c r="A611" s="43"/>
      <c r="B611" s="43"/>
      <c r="C611" s="243"/>
      <c r="D611" s="43"/>
      <c r="E611" s="43"/>
      <c r="F611" s="43"/>
      <c r="G611" s="43"/>
      <c r="H611" s="43"/>
      <c r="I611" s="43"/>
      <c r="J611" s="242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 spans="1:28">
      <c r="A612" s="43"/>
      <c r="B612" s="43"/>
      <c r="C612" s="243"/>
      <c r="D612" s="43"/>
      <c r="E612" s="43"/>
      <c r="F612" s="43"/>
      <c r="G612" s="43"/>
      <c r="H612" s="43"/>
      <c r="I612" s="43"/>
      <c r="J612" s="242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</row>
    <row r="613" spans="1:28">
      <c r="A613" s="43"/>
      <c r="B613" s="43"/>
      <c r="C613" s="243"/>
      <c r="D613" s="43"/>
      <c r="E613" s="43"/>
      <c r="F613" s="43"/>
      <c r="G613" s="43"/>
      <c r="H613" s="43"/>
      <c r="I613" s="43"/>
      <c r="J613" s="242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 spans="1:28">
      <c r="A614" s="43"/>
      <c r="B614" s="43"/>
      <c r="C614" s="243"/>
      <c r="D614" s="43"/>
      <c r="E614" s="43"/>
      <c r="F614" s="43"/>
      <c r="G614" s="43"/>
      <c r="H614" s="43"/>
      <c r="I614" s="43"/>
      <c r="J614" s="242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</row>
    <row r="615" spans="1:28">
      <c r="A615" s="43"/>
      <c r="B615" s="43"/>
      <c r="C615" s="243"/>
      <c r="D615" s="43"/>
      <c r="E615" s="43"/>
      <c r="F615" s="43"/>
      <c r="G615" s="43"/>
      <c r="H615" s="43"/>
      <c r="I615" s="43"/>
      <c r="J615" s="242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</row>
    <row r="616" spans="1:28">
      <c r="A616" s="43"/>
      <c r="B616" s="43"/>
      <c r="C616" s="243"/>
      <c r="D616" s="43"/>
      <c r="E616" s="43"/>
      <c r="F616" s="43"/>
      <c r="G616" s="43"/>
      <c r="H616" s="43"/>
      <c r="I616" s="43"/>
      <c r="J616" s="242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</row>
    <row r="617" spans="1:28">
      <c r="A617" s="43"/>
      <c r="B617" s="43"/>
      <c r="C617" s="243"/>
      <c r="D617" s="43"/>
      <c r="E617" s="43"/>
      <c r="F617" s="43"/>
      <c r="G617" s="43"/>
      <c r="H617" s="43"/>
      <c r="I617" s="43"/>
      <c r="J617" s="242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</row>
    <row r="618" spans="1:28">
      <c r="A618" s="43"/>
      <c r="B618" s="43"/>
      <c r="C618" s="243"/>
      <c r="D618" s="43"/>
      <c r="E618" s="43"/>
      <c r="F618" s="43"/>
      <c r="G618" s="43"/>
      <c r="H618" s="43"/>
      <c r="I618" s="43"/>
      <c r="J618" s="242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</row>
    <row r="619" spans="1:28">
      <c r="A619" s="43"/>
      <c r="B619" s="43"/>
      <c r="C619" s="243"/>
      <c r="D619" s="43"/>
      <c r="E619" s="43"/>
      <c r="F619" s="43"/>
      <c r="G619" s="43"/>
      <c r="H619" s="43"/>
      <c r="I619" s="43"/>
      <c r="J619" s="242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</row>
    <row r="620" spans="1:28">
      <c r="A620" s="43"/>
      <c r="B620" s="43"/>
      <c r="C620" s="243"/>
      <c r="D620" s="43"/>
      <c r="E620" s="43"/>
      <c r="F620" s="43"/>
      <c r="G620" s="43"/>
      <c r="H620" s="43"/>
      <c r="I620" s="43"/>
      <c r="J620" s="242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 spans="1:28">
      <c r="A621" s="43"/>
      <c r="B621" s="43"/>
      <c r="C621" s="243"/>
      <c r="D621" s="43"/>
      <c r="E621" s="43"/>
      <c r="F621" s="43"/>
      <c r="G621" s="43"/>
      <c r="H621" s="43"/>
      <c r="I621" s="43"/>
      <c r="J621" s="242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 spans="1:28">
      <c r="A622" s="43"/>
      <c r="B622" s="43"/>
      <c r="C622" s="243"/>
      <c r="D622" s="43"/>
      <c r="E622" s="43"/>
      <c r="F622" s="43"/>
      <c r="G622" s="43"/>
      <c r="H622" s="43"/>
      <c r="I622" s="43"/>
      <c r="J622" s="242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 spans="1:28">
      <c r="A623" s="43"/>
      <c r="B623" s="43"/>
      <c r="C623" s="243"/>
      <c r="D623" s="43"/>
      <c r="E623" s="43"/>
      <c r="F623" s="43"/>
      <c r="G623" s="43"/>
      <c r="H623" s="43"/>
      <c r="I623" s="43"/>
      <c r="J623" s="242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 spans="1:28">
      <c r="A624" s="43"/>
      <c r="B624" s="43"/>
      <c r="C624" s="243"/>
      <c r="D624" s="43"/>
      <c r="E624" s="43"/>
      <c r="F624" s="43"/>
      <c r="G624" s="43"/>
      <c r="H624" s="43"/>
      <c r="I624" s="43"/>
      <c r="J624" s="242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</row>
    <row r="625" spans="1:28">
      <c r="A625" s="43"/>
      <c r="B625" s="43"/>
      <c r="C625" s="243"/>
      <c r="D625" s="43"/>
      <c r="E625" s="43"/>
      <c r="F625" s="43"/>
      <c r="G625" s="43"/>
      <c r="H625" s="43"/>
      <c r="I625" s="43"/>
      <c r="J625" s="242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</row>
    <row r="626" spans="1:28">
      <c r="A626" s="43"/>
      <c r="B626" s="43"/>
      <c r="C626" s="243"/>
      <c r="D626" s="43"/>
      <c r="E626" s="43"/>
      <c r="F626" s="43"/>
      <c r="G626" s="43"/>
      <c r="H626" s="43"/>
      <c r="I626" s="43"/>
      <c r="J626" s="242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</row>
    <row r="627" spans="1:28">
      <c r="A627" s="43"/>
      <c r="B627" s="43"/>
      <c r="C627" s="243"/>
      <c r="D627" s="43"/>
      <c r="E627" s="43"/>
      <c r="F627" s="43"/>
      <c r="G627" s="43"/>
      <c r="H627" s="43"/>
      <c r="I627" s="43"/>
      <c r="J627" s="242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 spans="1:28">
      <c r="A628" s="43"/>
      <c r="B628" s="43"/>
      <c r="C628" s="243"/>
      <c r="D628" s="43"/>
      <c r="E628" s="43"/>
      <c r="F628" s="43"/>
      <c r="G628" s="43"/>
      <c r="H628" s="43"/>
      <c r="I628" s="43"/>
      <c r="J628" s="242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</row>
    <row r="629" spans="1:28">
      <c r="A629" s="43"/>
      <c r="B629" s="43"/>
      <c r="C629" s="243"/>
      <c r="D629" s="43"/>
      <c r="E629" s="43"/>
      <c r="F629" s="43"/>
      <c r="G629" s="43"/>
      <c r="H629" s="43"/>
      <c r="I629" s="43"/>
      <c r="J629" s="242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 spans="1:28">
      <c r="A630" s="43"/>
      <c r="B630" s="43"/>
      <c r="C630" s="243"/>
      <c r="D630" s="43"/>
      <c r="E630" s="43"/>
      <c r="F630" s="43"/>
      <c r="G630" s="43"/>
      <c r="H630" s="43"/>
      <c r="I630" s="43"/>
      <c r="J630" s="242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 spans="1:28">
      <c r="A631" s="43"/>
      <c r="B631" s="43"/>
      <c r="C631" s="243"/>
      <c r="D631" s="43"/>
      <c r="E631" s="43"/>
      <c r="F631" s="43"/>
      <c r="G631" s="43"/>
      <c r="H631" s="43"/>
      <c r="I631" s="43"/>
      <c r="J631" s="242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 spans="1:28">
      <c r="A632" s="43"/>
      <c r="B632" s="43"/>
      <c r="C632" s="243"/>
      <c r="D632" s="43"/>
      <c r="E632" s="43"/>
      <c r="F632" s="43"/>
      <c r="G632" s="43"/>
      <c r="H632" s="43"/>
      <c r="I632" s="43"/>
      <c r="J632" s="242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 spans="1:28">
      <c r="A633" s="43"/>
      <c r="B633" s="43"/>
      <c r="C633" s="243"/>
      <c r="D633" s="43"/>
      <c r="E633" s="43"/>
      <c r="F633" s="43"/>
      <c r="G633" s="43"/>
      <c r="H633" s="43"/>
      <c r="I633" s="43"/>
      <c r="J633" s="242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</row>
    <row r="634" spans="1:28">
      <c r="A634" s="43"/>
      <c r="B634" s="43"/>
      <c r="C634" s="243"/>
      <c r="D634" s="43"/>
      <c r="E634" s="43"/>
      <c r="F634" s="43"/>
      <c r="G634" s="43"/>
      <c r="H634" s="43"/>
      <c r="I634" s="43"/>
      <c r="J634" s="242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 spans="1:28">
      <c r="A635" s="43"/>
      <c r="B635" s="43"/>
      <c r="C635" s="243"/>
      <c r="D635" s="43"/>
      <c r="E635" s="43"/>
      <c r="F635" s="43"/>
      <c r="G635" s="43"/>
      <c r="H635" s="43"/>
      <c r="I635" s="43"/>
      <c r="J635" s="242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</row>
    <row r="636" spans="1:28">
      <c r="A636" s="43"/>
      <c r="B636" s="43"/>
      <c r="C636" s="243"/>
      <c r="D636" s="43"/>
      <c r="E636" s="43"/>
      <c r="F636" s="43"/>
      <c r="G636" s="43"/>
      <c r="H636" s="43"/>
      <c r="I636" s="43"/>
      <c r="J636" s="242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 spans="1:28">
      <c r="A637" s="43"/>
      <c r="B637" s="43"/>
      <c r="C637" s="243"/>
      <c r="D637" s="43"/>
      <c r="E637" s="43"/>
      <c r="F637" s="43"/>
      <c r="G637" s="43"/>
      <c r="H637" s="43"/>
      <c r="I637" s="43"/>
      <c r="J637" s="242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</row>
    <row r="638" spans="1:28">
      <c r="A638" s="43"/>
      <c r="B638" s="43"/>
      <c r="C638" s="243"/>
      <c r="D638" s="43"/>
      <c r="E638" s="43"/>
      <c r="F638" s="43"/>
      <c r="G638" s="43"/>
      <c r="H638" s="43"/>
      <c r="I638" s="43"/>
      <c r="J638" s="242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 spans="1:28">
      <c r="A639" s="43"/>
      <c r="B639" s="43"/>
      <c r="C639" s="243"/>
      <c r="D639" s="43"/>
      <c r="E639" s="43"/>
      <c r="F639" s="43"/>
      <c r="G639" s="43"/>
      <c r="H639" s="43"/>
      <c r="I639" s="43"/>
      <c r="J639" s="242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</row>
    <row r="640" spans="1:28">
      <c r="A640" s="43"/>
      <c r="B640" s="43"/>
      <c r="C640" s="243"/>
      <c r="D640" s="43"/>
      <c r="E640" s="43"/>
      <c r="F640" s="43"/>
      <c r="G640" s="43"/>
      <c r="H640" s="43"/>
      <c r="I640" s="43"/>
      <c r="J640" s="242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 spans="1:28">
      <c r="A641" s="43"/>
      <c r="B641" s="43"/>
      <c r="C641" s="243"/>
      <c r="D641" s="43"/>
      <c r="E641" s="43"/>
      <c r="F641" s="43"/>
      <c r="G641" s="43"/>
      <c r="H641" s="43"/>
      <c r="I641" s="43"/>
      <c r="J641" s="242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</row>
    <row r="642" spans="1:28">
      <c r="A642" s="43"/>
      <c r="B642" s="43"/>
      <c r="C642" s="243"/>
      <c r="D642" s="43"/>
      <c r="E642" s="43"/>
      <c r="F642" s="43"/>
      <c r="G642" s="43"/>
      <c r="H642" s="43"/>
      <c r="I642" s="43"/>
      <c r="J642" s="242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 spans="1:28">
      <c r="A643" s="43"/>
      <c r="B643" s="43"/>
      <c r="C643" s="243"/>
      <c r="D643" s="43"/>
      <c r="E643" s="43"/>
      <c r="F643" s="43"/>
      <c r="G643" s="43"/>
      <c r="H643" s="43"/>
      <c r="I643" s="43"/>
      <c r="J643" s="242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</row>
    <row r="644" spans="1:28">
      <c r="A644" s="43"/>
      <c r="B644" s="43"/>
      <c r="C644" s="243"/>
      <c r="D644" s="43"/>
      <c r="E644" s="43"/>
      <c r="F644" s="43"/>
      <c r="G644" s="43"/>
      <c r="H644" s="43"/>
      <c r="I644" s="43"/>
      <c r="J644" s="242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 spans="1:28">
      <c r="A645" s="43"/>
      <c r="B645" s="43"/>
      <c r="C645" s="243"/>
      <c r="D645" s="43"/>
      <c r="E645" s="43"/>
      <c r="F645" s="43"/>
      <c r="G645" s="43"/>
      <c r="H645" s="43"/>
      <c r="I645" s="43"/>
      <c r="J645" s="242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 spans="1:28">
      <c r="A646" s="43"/>
      <c r="B646" s="43"/>
      <c r="C646" s="243"/>
      <c r="D646" s="43"/>
      <c r="E646" s="43"/>
      <c r="F646" s="43"/>
      <c r="G646" s="43"/>
      <c r="H646" s="43"/>
      <c r="I646" s="43"/>
      <c r="J646" s="242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 spans="1:28">
      <c r="A647" s="43"/>
      <c r="B647" s="43"/>
      <c r="C647" s="243"/>
      <c r="D647" s="43"/>
      <c r="E647" s="43"/>
      <c r="F647" s="43"/>
      <c r="G647" s="43"/>
      <c r="H647" s="43"/>
      <c r="I647" s="43"/>
      <c r="J647" s="242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</row>
    <row r="648" spans="1:28">
      <c r="A648" s="43"/>
      <c r="B648" s="43"/>
      <c r="C648" s="243"/>
      <c r="D648" s="43"/>
      <c r="E648" s="43"/>
      <c r="F648" s="43"/>
      <c r="G648" s="43"/>
      <c r="H648" s="43"/>
      <c r="I648" s="43"/>
      <c r="J648" s="242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</row>
    <row r="649" spans="1:28">
      <c r="A649" s="43"/>
      <c r="B649" s="43"/>
      <c r="C649" s="243"/>
      <c r="D649" s="43"/>
      <c r="E649" s="43"/>
      <c r="F649" s="43"/>
      <c r="G649" s="43"/>
      <c r="H649" s="43"/>
      <c r="I649" s="43"/>
      <c r="J649" s="242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 spans="1:28">
      <c r="A650" s="43"/>
      <c r="B650" s="43"/>
      <c r="C650" s="243"/>
      <c r="D650" s="43"/>
      <c r="E650" s="43"/>
      <c r="F650" s="43"/>
      <c r="G650" s="43"/>
      <c r="H650" s="43"/>
      <c r="I650" s="43"/>
      <c r="J650" s="242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 spans="1:28">
      <c r="A651" s="43"/>
      <c r="B651" s="43"/>
      <c r="C651" s="243"/>
      <c r="D651" s="43"/>
      <c r="E651" s="43"/>
      <c r="F651" s="43"/>
      <c r="G651" s="43"/>
      <c r="H651" s="43"/>
      <c r="I651" s="43"/>
      <c r="J651" s="242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 spans="1:28">
      <c r="A652" s="43"/>
      <c r="B652" s="43"/>
      <c r="C652" s="243"/>
      <c r="D652" s="43"/>
      <c r="E652" s="43"/>
      <c r="F652" s="43"/>
      <c r="G652" s="43"/>
      <c r="H652" s="43"/>
      <c r="I652" s="43"/>
      <c r="J652" s="242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</row>
    <row r="653" spans="1:28">
      <c r="A653" s="43"/>
      <c r="B653" s="43"/>
      <c r="C653" s="243"/>
      <c r="D653" s="43"/>
      <c r="E653" s="43"/>
      <c r="F653" s="43"/>
      <c r="G653" s="43"/>
      <c r="H653" s="43"/>
      <c r="I653" s="43"/>
      <c r="J653" s="242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</row>
    <row r="654" spans="1:28">
      <c r="A654" s="43"/>
      <c r="B654" s="43"/>
      <c r="C654" s="243"/>
      <c r="D654" s="43"/>
      <c r="E654" s="43"/>
      <c r="F654" s="43"/>
      <c r="G654" s="43"/>
      <c r="H654" s="43"/>
      <c r="I654" s="43"/>
      <c r="J654" s="242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</row>
    <row r="655" spans="1:28">
      <c r="A655" s="43"/>
      <c r="B655" s="43"/>
      <c r="C655" s="243"/>
      <c r="D655" s="43"/>
      <c r="E655" s="43"/>
      <c r="F655" s="43"/>
      <c r="G655" s="43"/>
      <c r="H655" s="43"/>
      <c r="I655" s="43"/>
      <c r="J655" s="242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</row>
    <row r="656" spans="1:28">
      <c r="A656" s="43"/>
      <c r="B656" s="43"/>
      <c r="C656" s="243"/>
      <c r="D656" s="43"/>
      <c r="E656" s="43"/>
      <c r="F656" s="43"/>
      <c r="G656" s="43"/>
      <c r="H656" s="43"/>
      <c r="I656" s="43"/>
      <c r="J656" s="242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</row>
    <row r="657" spans="1:28">
      <c r="A657" s="43"/>
      <c r="B657" s="43"/>
      <c r="C657" s="243"/>
      <c r="D657" s="43"/>
      <c r="E657" s="43"/>
      <c r="F657" s="43"/>
      <c r="G657" s="43"/>
      <c r="H657" s="43"/>
      <c r="I657" s="43"/>
      <c r="J657" s="242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</row>
    <row r="658" spans="1:28">
      <c r="A658" s="43"/>
      <c r="B658" s="43"/>
      <c r="C658" s="243"/>
      <c r="D658" s="43"/>
      <c r="E658" s="43"/>
      <c r="F658" s="43"/>
      <c r="G658" s="43"/>
      <c r="H658" s="43"/>
      <c r="I658" s="43"/>
      <c r="J658" s="242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 spans="1:28">
      <c r="A659" s="43"/>
      <c r="B659" s="43"/>
      <c r="C659" s="243"/>
      <c r="D659" s="43"/>
      <c r="E659" s="43"/>
      <c r="F659" s="43"/>
      <c r="G659" s="43"/>
      <c r="H659" s="43"/>
      <c r="I659" s="43"/>
      <c r="J659" s="242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</row>
    <row r="660" spans="1:28">
      <c r="A660" s="43"/>
      <c r="B660" s="43"/>
      <c r="C660" s="243"/>
      <c r="D660" s="43"/>
      <c r="E660" s="43"/>
      <c r="F660" s="43"/>
      <c r="G660" s="43"/>
      <c r="H660" s="43"/>
      <c r="I660" s="43"/>
      <c r="J660" s="242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 spans="1:28">
      <c r="A661" s="43"/>
      <c r="B661" s="43"/>
      <c r="C661" s="243"/>
      <c r="D661" s="43"/>
      <c r="E661" s="43"/>
      <c r="F661" s="43"/>
      <c r="G661" s="43"/>
      <c r="H661" s="43"/>
      <c r="I661" s="43"/>
      <c r="J661" s="242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 spans="1:28">
      <c r="A662" s="43"/>
      <c r="B662" s="43"/>
      <c r="C662" s="243"/>
      <c r="D662" s="43"/>
      <c r="E662" s="43"/>
      <c r="F662" s="43"/>
      <c r="G662" s="43"/>
      <c r="H662" s="43"/>
      <c r="I662" s="43"/>
      <c r="J662" s="242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</row>
    <row r="663" spans="1:28">
      <c r="A663" s="43"/>
      <c r="B663" s="43"/>
      <c r="C663" s="243"/>
      <c r="D663" s="43"/>
      <c r="E663" s="43"/>
      <c r="F663" s="43"/>
      <c r="G663" s="43"/>
      <c r="H663" s="43"/>
      <c r="I663" s="43"/>
      <c r="J663" s="242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</row>
    <row r="664" spans="1:28">
      <c r="A664" s="43"/>
      <c r="B664" s="43"/>
      <c r="C664" s="243"/>
      <c r="D664" s="43"/>
      <c r="E664" s="43"/>
      <c r="F664" s="43"/>
      <c r="G664" s="43"/>
      <c r="H664" s="43"/>
      <c r="I664" s="43"/>
      <c r="J664" s="242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</row>
    <row r="665" spans="1:28">
      <c r="A665" s="43"/>
      <c r="B665" s="43"/>
      <c r="C665" s="243"/>
      <c r="D665" s="43"/>
      <c r="E665" s="43"/>
      <c r="F665" s="43"/>
      <c r="G665" s="43"/>
      <c r="H665" s="43"/>
      <c r="I665" s="43"/>
      <c r="J665" s="242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</row>
    <row r="666" spans="1:28">
      <c r="A666" s="43"/>
      <c r="B666" s="43"/>
      <c r="C666" s="243"/>
      <c r="D666" s="43"/>
      <c r="E666" s="43"/>
      <c r="F666" s="43"/>
      <c r="G666" s="43"/>
      <c r="H666" s="43"/>
      <c r="I666" s="43"/>
      <c r="J666" s="242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 spans="1:28">
      <c r="A667" s="43"/>
      <c r="B667" s="43"/>
      <c r="C667" s="243"/>
      <c r="D667" s="43"/>
      <c r="E667" s="43"/>
      <c r="F667" s="43"/>
      <c r="G667" s="43"/>
      <c r="H667" s="43"/>
      <c r="I667" s="43"/>
      <c r="J667" s="242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 spans="1:28">
      <c r="A668" s="43"/>
      <c r="B668" s="43"/>
      <c r="C668" s="243"/>
      <c r="D668" s="43"/>
      <c r="E668" s="43"/>
      <c r="F668" s="43"/>
      <c r="G668" s="43"/>
      <c r="H668" s="43"/>
      <c r="I668" s="43"/>
      <c r="J668" s="242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 spans="1:28">
      <c r="A669" s="43"/>
      <c r="B669" s="43"/>
      <c r="C669" s="243"/>
      <c r="D669" s="43"/>
      <c r="E669" s="43"/>
      <c r="F669" s="43"/>
      <c r="G669" s="43"/>
      <c r="H669" s="43"/>
      <c r="I669" s="43"/>
      <c r="J669" s="242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</row>
    <row r="670" spans="1:28">
      <c r="A670" s="43"/>
      <c r="B670" s="43"/>
      <c r="C670" s="243"/>
      <c r="D670" s="43"/>
      <c r="E670" s="43"/>
      <c r="F670" s="43"/>
      <c r="G670" s="43"/>
      <c r="H670" s="43"/>
      <c r="I670" s="43"/>
      <c r="J670" s="242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</row>
    <row r="671" spans="1:28">
      <c r="A671" s="43"/>
      <c r="B671" s="43"/>
      <c r="C671" s="243"/>
      <c r="D671" s="43"/>
      <c r="E671" s="43"/>
      <c r="F671" s="43"/>
      <c r="G671" s="43"/>
      <c r="H671" s="43"/>
      <c r="I671" s="43"/>
      <c r="J671" s="242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</row>
    <row r="672" spans="1:28">
      <c r="A672" s="43"/>
      <c r="B672" s="43"/>
      <c r="C672" s="243"/>
      <c r="D672" s="43"/>
      <c r="E672" s="43"/>
      <c r="F672" s="43"/>
      <c r="G672" s="43"/>
      <c r="H672" s="43"/>
      <c r="I672" s="43"/>
      <c r="J672" s="242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</row>
    <row r="673" spans="1:28">
      <c r="A673" s="43"/>
      <c r="B673" s="43"/>
      <c r="C673" s="243"/>
      <c r="D673" s="43"/>
      <c r="E673" s="43"/>
      <c r="F673" s="43"/>
      <c r="G673" s="43"/>
      <c r="H673" s="43"/>
      <c r="I673" s="43"/>
      <c r="J673" s="242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 spans="1:28">
      <c r="A674" s="43"/>
      <c r="B674" s="43"/>
      <c r="C674" s="243"/>
      <c r="D674" s="43"/>
      <c r="E674" s="43"/>
      <c r="F674" s="43"/>
      <c r="G674" s="43"/>
      <c r="H674" s="43"/>
      <c r="I674" s="43"/>
      <c r="J674" s="242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 spans="1:28">
      <c r="A675" s="43"/>
      <c r="B675" s="43"/>
      <c r="C675" s="243"/>
      <c r="D675" s="43"/>
      <c r="E675" s="43"/>
      <c r="F675" s="43"/>
      <c r="G675" s="43"/>
      <c r="H675" s="43"/>
      <c r="I675" s="43"/>
      <c r="J675" s="242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 spans="1:28">
      <c r="A676" s="43"/>
      <c r="B676" s="43"/>
      <c r="C676" s="243"/>
      <c r="D676" s="43"/>
      <c r="E676" s="43"/>
      <c r="F676" s="43"/>
      <c r="G676" s="43"/>
      <c r="H676" s="43"/>
      <c r="I676" s="43"/>
      <c r="J676" s="242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 spans="1:28">
      <c r="A677" s="43"/>
      <c r="B677" s="43"/>
      <c r="C677" s="243"/>
      <c r="D677" s="43"/>
      <c r="E677" s="43"/>
      <c r="F677" s="43"/>
      <c r="G677" s="43"/>
      <c r="H677" s="43"/>
      <c r="I677" s="43"/>
      <c r="J677" s="242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 spans="1:28">
      <c r="A678" s="43"/>
      <c r="B678" s="43"/>
      <c r="C678" s="243"/>
      <c r="D678" s="43"/>
      <c r="E678" s="43"/>
      <c r="F678" s="43"/>
      <c r="G678" s="43"/>
      <c r="H678" s="43"/>
      <c r="I678" s="43"/>
      <c r="J678" s="242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</row>
    <row r="679" spans="1:28">
      <c r="A679" s="43"/>
      <c r="B679" s="43"/>
      <c r="C679" s="243"/>
      <c r="D679" s="43"/>
      <c r="E679" s="43"/>
      <c r="F679" s="43"/>
      <c r="G679" s="43"/>
      <c r="H679" s="43"/>
      <c r="I679" s="43"/>
      <c r="J679" s="242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 spans="1:28">
      <c r="A680" s="43"/>
      <c r="B680" s="43"/>
      <c r="C680" s="243"/>
      <c r="D680" s="43"/>
      <c r="E680" s="43"/>
      <c r="F680" s="43"/>
      <c r="G680" s="43"/>
      <c r="H680" s="43"/>
      <c r="I680" s="43"/>
      <c r="J680" s="242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</row>
    <row r="681" spans="1:28">
      <c r="A681" s="43"/>
      <c r="B681" s="43"/>
      <c r="C681" s="243"/>
      <c r="D681" s="43"/>
      <c r="E681" s="43"/>
      <c r="F681" s="43"/>
      <c r="G681" s="43"/>
      <c r="H681" s="43"/>
      <c r="I681" s="43"/>
      <c r="J681" s="242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</row>
    <row r="682" spans="1:28">
      <c r="A682" s="43"/>
      <c r="B682" s="43"/>
      <c r="C682" s="243"/>
      <c r="D682" s="43"/>
      <c r="E682" s="43"/>
      <c r="F682" s="43"/>
      <c r="G682" s="43"/>
      <c r="H682" s="43"/>
      <c r="I682" s="43"/>
      <c r="J682" s="242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</row>
    <row r="683" spans="1:28">
      <c r="A683" s="43"/>
      <c r="B683" s="43"/>
      <c r="C683" s="243"/>
      <c r="D683" s="43"/>
      <c r="E683" s="43"/>
      <c r="F683" s="43"/>
      <c r="G683" s="43"/>
      <c r="H683" s="43"/>
      <c r="I683" s="43"/>
      <c r="J683" s="242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</row>
    <row r="684" spans="1:28">
      <c r="A684" s="43"/>
      <c r="B684" s="43"/>
      <c r="C684" s="243"/>
      <c r="D684" s="43"/>
      <c r="E684" s="43"/>
      <c r="F684" s="43"/>
      <c r="G684" s="43"/>
      <c r="H684" s="43"/>
      <c r="I684" s="43"/>
      <c r="J684" s="242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 spans="1:28">
      <c r="A685" s="43"/>
      <c r="B685" s="43"/>
      <c r="C685" s="243"/>
      <c r="D685" s="43"/>
      <c r="E685" s="43"/>
      <c r="F685" s="43"/>
      <c r="G685" s="43"/>
      <c r="H685" s="43"/>
      <c r="I685" s="43"/>
      <c r="J685" s="242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</row>
    <row r="686" spans="1:28">
      <c r="A686" s="43"/>
      <c r="B686" s="43"/>
      <c r="C686" s="243"/>
      <c r="D686" s="43"/>
      <c r="E686" s="43"/>
      <c r="F686" s="43"/>
      <c r="G686" s="43"/>
      <c r="H686" s="43"/>
      <c r="I686" s="43"/>
      <c r="J686" s="242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 spans="1:28">
      <c r="A687" s="43"/>
      <c r="B687" s="43"/>
      <c r="C687" s="243"/>
      <c r="D687" s="43"/>
      <c r="E687" s="43"/>
      <c r="F687" s="43"/>
      <c r="G687" s="43"/>
      <c r="H687" s="43"/>
      <c r="I687" s="43"/>
      <c r="J687" s="242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 spans="1:28">
      <c r="A688" s="43"/>
      <c r="B688" s="43"/>
      <c r="C688" s="243"/>
      <c r="D688" s="43"/>
      <c r="E688" s="43"/>
      <c r="F688" s="43"/>
      <c r="G688" s="43"/>
      <c r="H688" s="43"/>
      <c r="I688" s="43"/>
      <c r="J688" s="242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 spans="1:28">
      <c r="A689" s="43"/>
      <c r="B689" s="43"/>
      <c r="C689" s="243"/>
      <c r="D689" s="43"/>
      <c r="E689" s="43"/>
      <c r="F689" s="43"/>
      <c r="G689" s="43"/>
      <c r="H689" s="43"/>
      <c r="I689" s="43"/>
      <c r="J689" s="242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</row>
    <row r="690" spans="1:28">
      <c r="A690" s="43"/>
      <c r="B690" s="43"/>
      <c r="C690" s="243"/>
      <c r="D690" s="43"/>
      <c r="E690" s="43"/>
      <c r="F690" s="43"/>
      <c r="G690" s="43"/>
      <c r="H690" s="43"/>
      <c r="I690" s="43"/>
      <c r="J690" s="242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 spans="1:28">
      <c r="A691" s="43"/>
      <c r="B691" s="43"/>
      <c r="C691" s="243"/>
      <c r="D691" s="43"/>
      <c r="E691" s="43"/>
      <c r="F691" s="43"/>
      <c r="G691" s="43"/>
      <c r="H691" s="43"/>
      <c r="I691" s="43"/>
      <c r="J691" s="242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</row>
    <row r="692" spans="1:28">
      <c r="A692" s="43"/>
      <c r="B692" s="43"/>
      <c r="C692" s="243"/>
      <c r="D692" s="43"/>
      <c r="E692" s="43"/>
      <c r="F692" s="43"/>
      <c r="G692" s="43"/>
      <c r="H692" s="43"/>
      <c r="I692" s="43"/>
      <c r="J692" s="242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 spans="1:28">
      <c r="A693" s="43"/>
      <c r="B693" s="43"/>
      <c r="C693" s="243"/>
      <c r="D693" s="43"/>
      <c r="E693" s="43"/>
      <c r="F693" s="43"/>
      <c r="G693" s="43"/>
      <c r="H693" s="43"/>
      <c r="I693" s="43"/>
      <c r="J693" s="242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</row>
    <row r="694" spans="1:28">
      <c r="A694" s="43"/>
      <c r="B694" s="43"/>
      <c r="C694" s="243"/>
      <c r="D694" s="43"/>
      <c r="E694" s="43"/>
      <c r="F694" s="43"/>
      <c r="G694" s="43"/>
      <c r="H694" s="43"/>
      <c r="I694" s="43"/>
      <c r="J694" s="242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</row>
    <row r="695" spans="1:28">
      <c r="A695" s="43"/>
      <c r="B695" s="43"/>
      <c r="C695" s="243"/>
      <c r="D695" s="43"/>
      <c r="E695" s="43"/>
      <c r="F695" s="43"/>
      <c r="G695" s="43"/>
      <c r="H695" s="43"/>
      <c r="I695" s="43"/>
      <c r="J695" s="242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 spans="1:28">
      <c r="A696" s="43"/>
      <c r="B696" s="43"/>
      <c r="C696" s="243"/>
      <c r="D696" s="43"/>
      <c r="E696" s="43"/>
      <c r="F696" s="43"/>
      <c r="G696" s="43"/>
      <c r="H696" s="43"/>
      <c r="I696" s="43"/>
      <c r="J696" s="242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</row>
    <row r="697" spans="1:28">
      <c r="A697" s="43"/>
      <c r="B697" s="43"/>
      <c r="C697" s="243"/>
      <c r="D697" s="43"/>
      <c r="E697" s="43"/>
      <c r="F697" s="43"/>
      <c r="G697" s="43"/>
      <c r="H697" s="43"/>
      <c r="I697" s="43"/>
      <c r="J697" s="242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 spans="1:28">
      <c r="A698" s="43"/>
      <c r="B698" s="43"/>
      <c r="C698" s="243"/>
      <c r="D698" s="43"/>
      <c r="E698" s="43"/>
      <c r="F698" s="43"/>
      <c r="G698" s="43"/>
      <c r="H698" s="43"/>
      <c r="I698" s="43"/>
      <c r="J698" s="242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 spans="1:28">
      <c r="A699" s="43"/>
      <c r="B699" s="43"/>
      <c r="C699" s="243"/>
      <c r="D699" s="43"/>
      <c r="E699" s="43"/>
      <c r="F699" s="43"/>
      <c r="G699" s="43"/>
      <c r="H699" s="43"/>
      <c r="I699" s="43"/>
      <c r="J699" s="242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 spans="1:28">
      <c r="A700" s="43"/>
      <c r="B700" s="43"/>
      <c r="C700" s="243"/>
      <c r="D700" s="43"/>
      <c r="E700" s="43"/>
      <c r="F700" s="43"/>
      <c r="G700" s="43"/>
      <c r="H700" s="43"/>
      <c r="I700" s="43"/>
      <c r="J700" s="242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</row>
    <row r="701" spans="1:28">
      <c r="A701" s="43"/>
      <c r="B701" s="43"/>
      <c r="C701" s="243"/>
      <c r="D701" s="43"/>
      <c r="E701" s="43"/>
      <c r="F701" s="43"/>
      <c r="G701" s="43"/>
      <c r="H701" s="43"/>
      <c r="I701" s="43"/>
      <c r="J701" s="242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</row>
    <row r="702" spans="1:28">
      <c r="A702" s="43"/>
      <c r="B702" s="43"/>
      <c r="C702" s="243"/>
      <c r="D702" s="43"/>
      <c r="E702" s="43"/>
      <c r="F702" s="43"/>
      <c r="G702" s="43"/>
      <c r="H702" s="43"/>
      <c r="I702" s="43"/>
      <c r="J702" s="242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 spans="1:28">
      <c r="A703" s="43"/>
      <c r="B703" s="43"/>
      <c r="C703" s="243"/>
      <c r="D703" s="43"/>
      <c r="E703" s="43"/>
      <c r="F703" s="43"/>
      <c r="G703" s="43"/>
      <c r="H703" s="43"/>
      <c r="I703" s="43"/>
      <c r="J703" s="242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</row>
    <row r="704" spans="1:28">
      <c r="A704" s="43"/>
      <c r="B704" s="43"/>
      <c r="C704" s="243"/>
      <c r="D704" s="43"/>
      <c r="E704" s="43"/>
      <c r="F704" s="43"/>
      <c r="G704" s="43"/>
      <c r="H704" s="43"/>
      <c r="I704" s="43"/>
      <c r="J704" s="242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</row>
    <row r="705" spans="1:28">
      <c r="A705" s="43"/>
      <c r="B705" s="43"/>
      <c r="C705" s="243"/>
      <c r="D705" s="43"/>
      <c r="E705" s="43"/>
      <c r="F705" s="43"/>
      <c r="G705" s="43"/>
      <c r="H705" s="43"/>
      <c r="I705" s="43"/>
      <c r="J705" s="242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 spans="1:28">
      <c r="A706" s="43"/>
      <c r="B706" s="43"/>
      <c r="C706" s="243"/>
      <c r="D706" s="43"/>
      <c r="E706" s="43"/>
      <c r="F706" s="43"/>
      <c r="G706" s="43"/>
      <c r="H706" s="43"/>
      <c r="I706" s="43"/>
      <c r="J706" s="242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 spans="1:28">
      <c r="A707" s="43"/>
      <c r="B707" s="43"/>
      <c r="C707" s="243"/>
      <c r="D707" s="43"/>
      <c r="E707" s="43"/>
      <c r="F707" s="43"/>
      <c r="G707" s="43"/>
      <c r="H707" s="43"/>
      <c r="I707" s="43"/>
      <c r="J707" s="242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 spans="1:28">
      <c r="A708" s="43"/>
      <c r="B708" s="43"/>
      <c r="C708" s="243"/>
      <c r="D708" s="43"/>
      <c r="E708" s="43"/>
      <c r="F708" s="43"/>
      <c r="G708" s="43"/>
      <c r="H708" s="43"/>
      <c r="I708" s="43"/>
      <c r="J708" s="242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</row>
    <row r="709" spans="1:28">
      <c r="A709" s="43"/>
      <c r="B709" s="43"/>
      <c r="C709" s="243"/>
      <c r="D709" s="43"/>
      <c r="E709" s="43"/>
      <c r="F709" s="43"/>
      <c r="G709" s="43"/>
      <c r="H709" s="43"/>
      <c r="I709" s="43"/>
      <c r="J709" s="242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 spans="1:28">
      <c r="A710" s="43"/>
      <c r="B710" s="43"/>
      <c r="C710" s="243"/>
      <c r="D710" s="43"/>
      <c r="E710" s="43"/>
      <c r="F710" s="43"/>
      <c r="G710" s="43"/>
      <c r="H710" s="43"/>
      <c r="I710" s="43"/>
      <c r="J710" s="242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</row>
    <row r="711" spans="1:28">
      <c r="A711" s="43"/>
      <c r="B711" s="43"/>
      <c r="C711" s="243"/>
      <c r="D711" s="43"/>
      <c r="E711" s="43"/>
      <c r="F711" s="43"/>
      <c r="G711" s="43"/>
      <c r="H711" s="43"/>
      <c r="I711" s="43"/>
      <c r="J711" s="242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 spans="1:28">
      <c r="A712" s="43"/>
      <c r="B712" s="43"/>
      <c r="C712" s="243"/>
      <c r="D712" s="43"/>
      <c r="E712" s="43"/>
      <c r="F712" s="43"/>
      <c r="G712" s="43"/>
      <c r="H712" s="43"/>
      <c r="I712" s="43"/>
      <c r="J712" s="242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</row>
    <row r="713" spans="1:28">
      <c r="A713" s="43"/>
      <c r="B713" s="43"/>
      <c r="C713" s="243"/>
      <c r="D713" s="43"/>
      <c r="E713" s="43"/>
      <c r="F713" s="43"/>
      <c r="G713" s="43"/>
      <c r="H713" s="43"/>
      <c r="I713" s="43"/>
      <c r="J713" s="242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</row>
    <row r="714" spans="1:28">
      <c r="A714" s="43"/>
      <c r="B714" s="43"/>
      <c r="C714" s="243"/>
      <c r="D714" s="43"/>
      <c r="E714" s="43"/>
      <c r="F714" s="43"/>
      <c r="G714" s="43"/>
      <c r="H714" s="43"/>
      <c r="I714" s="43"/>
      <c r="J714" s="242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</row>
    <row r="715" spans="1:28">
      <c r="A715" s="43"/>
      <c r="B715" s="43"/>
      <c r="C715" s="243"/>
      <c r="D715" s="43"/>
      <c r="E715" s="43"/>
      <c r="F715" s="43"/>
      <c r="G715" s="43"/>
      <c r="H715" s="43"/>
      <c r="I715" s="43"/>
      <c r="J715" s="242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</row>
    <row r="716" spans="1:28">
      <c r="A716" s="43"/>
      <c r="B716" s="43"/>
      <c r="C716" s="243"/>
      <c r="D716" s="43"/>
      <c r="E716" s="43"/>
      <c r="F716" s="43"/>
      <c r="G716" s="43"/>
      <c r="H716" s="43"/>
      <c r="I716" s="43"/>
      <c r="J716" s="242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</row>
    <row r="717" spans="1:28">
      <c r="A717" s="43"/>
      <c r="B717" s="43"/>
      <c r="C717" s="243"/>
      <c r="D717" s="43"/>
      <c r="E717" s="43"/>
      <c r="F717" s="43"/>
      <c r="G717" s="43"/>
      <c r="H717" s="43"/>
      <c r="I717" s="43"/>
      <c r="J717" s="242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 spans="1:28">
      <c r="A718" s="43"/>
      <c r="B718" s="43"/>
      <c r="C718" s="243"/>
      <c r="D718" s="43"/>
      <c r="E718" s="43"/>
      <c r="F718" s="43"/>
      <c r="G718" s="43"/>
      <c r="H718" s="43"/>
      <c r="I718" s="43"/>
      <c r="J718" s="242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 spans="1:28">
      <c r="A719" s="43"/>
      <c r="B719" s="43"/>
      <c r="C719" s="243"/>
      <c r="D719" s="43"/>
      <c r="E719" s="43"/>
      <c r="F719" s="43"/>
      <c r="G719" s="43"/>
      <c r="H719" s="43"/>
      <c r="I719" s="43"/>
      <c r="J719" s="242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</row>
    <row r="720" spans="1:28">
      <c r="A720" s="43"/>
      <c r="B720" s="43"/>
      <c r="C720" s="243"/>
      <c r="D720" s="43"/>
      <c r="E720" s="43"/>
      <c r="F720" s="43"/>
      <c r="G720" s="43"/>
      <c r="H720" s="43"/>
      <c r="I720" s="43"/>
      <c r="J720" s="242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 spans="1:28">
      <c r="A721" s="43"/>
      <c r="B721" s="43"/>
      <c r="C721" s="243"/>
      <c r="D721" s="43"/>
      <c r="E721" s="43"/>
      <c r="F721" s="43"/>
      <c r="G721" s="43"/>
      <c r="H721" s="43"/>
      <c r="I721" s="43"/>
      <c r="J721" s="242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</row>
    <row r="722" spans="1:28">
      <c r="A722" s="43"/>
      <c r="B722" s="43"/>
      <c r="C722" s="243"/>
      <c r="D722" s="43"/>
      <c r="E722" s="43"/>
      <c r="F722" s="43"/>
      <c r="G722" s="43"/>
      <c r="H722" s="43"/>
      <c r="I722" s="43"/>
      <c r="J722" s="242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 spans="1:28">
      <c r="A723" s="43"/>
      <c r="B723" s="43"/>
      <c r="C723" s="243"/>
      <c r="D723" s="43"/>
      <c r="E723" s="43"/>
      <c r="F723" s="43"/>
      <c r="G723" s="43"/>
      <c r="H723" s="43"/>
      <c r="I723" s="43"/>
      <c r="J723" s="242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 spans="1:28">
      <c r="A724" s="43"/>
      <c r="B724" s="43"/>
      <c r="C724" s="243"/>
      <c r="D724" s="43"/>
      <c r="E724" s="43"/>
      <c r="F724" s="43"/>
      <c r="G724" s="43"/>
      <c r="H724" s="43"/>
      <c r="I724" s="43"/>
      <c r="J724" s="242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</row>
    <row r="725" spans="1:28">
      <c r="A725" s="43"/>
      <c r="B725" s="43"/>
      <c r="C725" s="243"/>
      <c r="D725" s="43"/>
      <c r="E725" s="43"/>
      <c r="F725" s="43"/>
      <c r="G725" s="43"/>
      <c r="H725" s="43"/>
      <c r="I725" s="43"/>
      <c r="J725" s="242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</row>
    <row r="726" spans="1:28">
      <c r="A726" s="43"/>
      <c r="B726" s="43"/>
      <c r="C726" s="243"/>
      <c r="D726" s="43"/>
      <c r="E726" s="43"/>
      <c r="F726" s="43"/>
      <c r="G726" s="43"/>
      <c r="H726" s="43"/>
      <c r="I726" s="43"/>
      <c r="J726" s="242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</row>
    <row r="727" spans="1:28">
      <c r="A727" s="43"/>
      <c r="B727" s="43"/>
      <c r="C727" s="243"/>
      <c r="D727" s="43"/>
      <c r="E727" s="43"/>
      <c r="F727" s="43"/>
      <c r="G727" s="43"/>
      <c r="H727" s="43"/>
      <c r="I727" s="43"/>
      <c r="J727" s="242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</row>
    <row r="728" spans="1:28">
      <c r="A728" s="43"/>
      <c r="B728" s="43"/>
      <c r="C728" s="243"/>
      <c r="D728" s="43"/>
      <c r="E728" s="43"/>
      <c r="F728" s="43"/>
      <c r="G728" s="43"/>
      <c r="H728" s="43"/>
      <c r="I728" s="43"/>
      <c r="J728" s="242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 spans="1:28">
      <c r="A729" s="43"/>
      <c r="B729" s="43"/>
      <c r="C729" s="243"/>
      <c r="D729" s="43"/>
      <c r="E729" s="43"/>
      <c r="F729" s="43"/>
      <c r="G729" s="43"/>
      <c r="H729" s="43"/>
      <c r="I729" s="43"/>
      <c r="J729" s="242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 spans="1:28">
      <c r="A730" s="43"/>
      <c r="B730" s="43"/>
      <c r="C730" s="243"/>
      <c r="D730" s="43"/>
      <c r="E730" s="43"/>
      <c r="F730" s="43"/>
      <c r="G730" s="43"/>
      <c r="H730" s="43"/>
      <c r="I730" s="43"/>
      <c r="J730" s="242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</row>
    <row r="731" spans="1:28">
      <c r="A731" s="43"/>
      <c r="B731" s="43"/>
      <c r="C731" s="243"/>
      <c r="D731" s="43"/>
      <c r="E731" s="43"/>
      <c r="F731" s="43"/>
      <c r="G731" s="43"/>
      <c r="H731" s="43"/>
      <c r="I731" s="43"/>
      <c r="J731" s="242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 spans="1:28">
      <c r="A732" s="43"/>
      <c r="B732" s="43"/>
      <c r="C732" s="243"/>
      <c r="D732" s="43"/>
      <c r="E732" s="43"/>
      <c r="F732" s="43"/>
      <c r="G732" s="43"/>
      <c r="H732" s="43"/>
      <c r="I732" s="43"/>
      <c r="J732" s="242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</row>
    <row r="733" spans="1:28">
      <c r="A733" s="43"/>
      <c r="B733" s="43"/>
      <c r="C733" s="243"/>
      <c r="D733" s="43"/>
      <c r="E733" s="43"/>
      <c r="F733" s="43"/>
      <c r="G733" s="43"/>
      <c r="H733" s="43"/>
      <c r="I733" s="43"/>
      <c r="J733" s="242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</row>
    <row r="734" spans="1:28">
      <c r="A734" s="43"/>
      <c r="B734" s="43"/>
      <c r="C734" s="243"/>
      <c r="D734" s="43"/>
      <c r="E734" s="43"/>
      <c r="F734" s="43"/>
      <c r="G734" s="43"/>
      <c r="H734" s="43"/>
      <c r="I734" s="43"/>
      <c r="J734" s="242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</row>
    <row r="735" spans="1:28">
      <c r="A735" s="43"/>
      <c r="B735" s="43"/>
      <c r="C735" s="243"/>
      <c r="D735" s="43"/>
      <c r="E735" s="43"/>
      <c r="F735" s="43"/>
      <c r="G735" s="43"/>
      <c r="H735" s="43"/>
      <c r="I735" s="43"/>
      <c r="J735" s="242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</row>
    <row r="736" spans="1:28">
      <c r="A736" s="43"/>
      <c r="B736" s="43"/>
      <c r="C736" s="243"/>
      <c r="D736" s="43"/>
      <c r="E736" s="43"/>
      <c r="F736" s="43"/>
      <c r="G736" s="43"/>
      <c r="H736" s="43"/>
      <c r="I736" s="43"/>
      <c r="J736" s="242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</row>
    <row r="737" spans="1:28">
      <c r="A737" s="43"/>
      <c r="B737" s="43"/>
      <c r="C737" s="243"/>
      <c r="D737" s="43"/>
      <c r="E737" s="43"/>
      <c r="F737" s="43"/>
      <c r="G737" s="43"/>
      <c r="H737" s="43"/>
      <c r="I737" s="43"/>
      <c r="J737" s="242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</row>
    <row r="738" spans="1:28">
      <c r="A738" s="43"/>
      <c r="B738" s="43"/>
      <c r="C738" s="243"/>
      <c r="D738" s="43"/>
      <c r="E738" s="43"/>
      <c r="F738" s="43"/>
      <c r="G738" s="43"/>
      <c r="H738" s="43"/>
      <c r="I738" s="43"/>
      <c r="J738" s="242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 spans="1:28">
      <c r="A739" s="43"/>
      <c r="B739" s="43"/>
      <c r="C739" s="243"/>
      <c r="D739" s="43"/>
      <c r="E739" s="43"/>
      <c r="F739" s="43"/>
      <c r="G739" s="43"/>
      <c r="H739" s="43"/>
      <c r="I739" s="43"/>
      <c r="J739" s="242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</row>
    <row r="740" spans="1:28">
      <c r="A740" s="43"/>
      <c r="B740" s="43"/>
      <c r="C740" s="243"/>
      <c r="D740" s="43"/>
      <c r="E740" s="43"/>
      <c r="F740" s="43"/>
      <c r="G740" s="43"/>
      <c r="H740" s="43"/>
      <c r="I740" s="43"/>
      <c r="J740" s="242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</row>
    <row r="741" spans="1:28">
      <c r="A741" s="43"/>
      <c r="B741" s="43"/>
      <c r="C741" s="243"/>
      <c r="D741" s="43"/>
      <c r="E741" s="43"/>
      <c r="F741" s="43"/>
      <c r="G741" s="43"/>
      <c r="H741" s="43"/>
      <c r="I741" s="43"/>
      <c r="J741" s="242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</row>
    <row r="742" spans="1:28">
      <c r="A742" s="43"/>
      <c r="B742" s="43"/>
      <c r="C742" s="243"/>
      <c r="D742" s="43"/>
      <c r="E742" s="43"/>
      <c r="F742" s="43"/>
      <c r="G742" s="43"/>
      <c r="H742" s="43"/>
      <c r="I742" s="43"/>
      <c r="J742" s="242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</row>
    <row r="743" spans="1:28">
      <c r="A743" s="43"/>
      <c r="B743" s="43"/>
      <c r="C743" s="243"/>
      <c r="D743" s="43"/>
      <c r="E743" s="43"/>
      <c r="F743" s="43"/>
      <c r="G743" s="43"/>
      <c r="H743" s="43"/>
      <c r="I743" s="43"/>
      <c r="J743" s="242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 spans="1:28">
      <c r="A744" s="43"/>
      <c r="B744" s="43"/>
      <c r="C744" s="243"/>
      <c r="D744" s="43"/>
      <c r="E744" s="43"/>
      <c r="F744" s="43"/>
      <c r="G744" s="43"/>
      <c r="H744" s="43"/>
      <c r="I744" s="43"/>
      <c r="J744" s="242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</row>
    <row r="745" spans="1:28">
      <c r="A745" s="43"/>
      <c r="B745" s="43"/>
      <c r="C745" s="243"/>
      <c r="D745" s="43"/>
      <c r="E745" s="43"/>
      <c r="F745" s="43"/>
      <c r="G745" s="43"/>
      <c r="H745" s="43"/>
      <c r="I745" s="43"/>
      <c r="J745" s="242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</row>
    <row r="746" spans="1:28">
      <c r="A746" s="43"/>
      <c r="B746" s="43"/>
      <c r="C746" s="243"/>
      <c r="D746" s="43"/>
      <c r="E746" s="43"/>
      <c r="F746" s="43"/>
      <c r="G746" s="43"/>
      <c r="H746" s="43"/>
      <c r="I746" s="43"/>
      <c r="J746" s="242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 spans="1:28">
      <c r="A747" s="43"/>
      <c r="B747" s="43"/>
      <c r="C747" s="243"/>
      <c r="D747" s="43"/>
      <c r="E747" s="43"/>
      <c r="F747" s="43"/>
      <c r="G747" s="43"/>
      <c r="H747" s="43"/>
      <c r="I747" s="43"/>
      <c r="J747" s="242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</row>
    <row r="748" spans="1:28">
      <c r="A748" s="43"/>
      <c r="B748" s="43"/>
      <c r="C748" s="243"/>
      <c r="D748" s="43"/>
      <c r="E748" s="43"/>
      <c r="F748" s="43"/>
      <c r="G748" s="43"/>
      <c r="H748" s="43"/>
      <c r="I748" s="43"/>
      <c r="J748" s="242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</row>
    <row r="749" spans="1:28">
      <c r="A749" s="43"/>
      <c r="B749" s="43"/>
      <c r="C749" s="243"/>
      <c r="D749" s="43"/>
      <c r="E749" s="43"/>
      <c r="F749" s="43"/>
      <c r="G749" s="43"/>
      <c r="H749" s="43"/>
      <c r="I749" s="43"/>
      <c r="J749" s="242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</row>
    <row r="750" spans="1:28">
      <c r="A750" s="43"/>
      <c r="B750" s="43"/>
      <c r="C750" s="243"/>
      <c r="D750" s="43"/>
      <c r="E750" s="43"/>
      <c r="F750" s="43"/>
      <c r="G750" s="43"/>
      <c r="H750" s="43"/>
      <c r="I750" s="43"/>
      <c r="J750" s="242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 spans="1:28">
      <c r="A751" s="43"/>
      <c r="B751" s="43"/>
      <c r="C751" s="243"/>
      <c r="D751" s="43"/>
      <c r="E751" s="43"/>
      <c r="F751" s="43"/>
      <c r="G751" s="43"/>
      <c r="H751" s="43"/>
      <c r="I751" s="43"/>
      <c r="J751" s="242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 spans="1:28">
      <c r="A752" s="43"/>
      <c r="B752" s="43"/>
      <c r="C752" s="243"/>
      <c r="D752" s="43"/>
      <c r="E752" s="43"/>
      <c r="F752" s="43"/>
      <c r="G752" s="43"/>
      <c r="H752" s="43"/>
      <c r="I752" s="43"/>
      <c r="J752" s="242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</row>
    <row r="753" spans="1:28">
      <c r="A753" s="43"/>
      <c r="B753" s="43"/>
      <c r="C753" s="243"/>
      <c r="D753" s="43"/>
      <c r="E753" s="43"/>
      <c r="F753" s="43"/>
      <c r="G753" s="43"/>
      <c r="H753" s="43"/>
      <c r="I753" s="43"/>
      <c r="J753" s="242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</row>
    <row r="754" spans="1:28">
      <c r="A754" s="43"/>
      <c r="B754" s="43"/>
      <c r="C754" s="243"/>
      <c r="D754" s="43"/>
      <c r="E754" s="43"/>
      <c r="F754" s="43"/>
      <c r="G754" s="43"/>
      <c r="H754" s="43"/>
      <c r="I754" s="43"/>
      <c r="J754" s="242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</row>
    <row r="755" spans="1:28">
      <c r="A755" s="43"/>
      <c r="B755" s="43"/>
      <c r="C755" s="243"/>
      <c r="D755" s="43"/>
      <c r="E755" s="43"/>
      <c r="F755" s="43"/>
      <c r="G755" s="43"/>
      <c r="H755" s="43"/>
      <c r="I755" s="43"/>
      <c r="J755" s="242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</row>
    <row r="756" spans="1:28">
      <c r="A756" s="43"/>
      <c r="B756" s="43"/>
      <c r="C756" s="243"/>
      <c r="D756" s="43"/>
      <c r="E756" s="43"/>
      <c r="F756" s="43"/>
      <c r="G756" s="43"/>
      <c r="H756" s="43"/>
      <c r="I756" s="43"/>
      <c r="J756" s="242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 spans="1:28">
      <c r="A757" s="43"/>
      <c r="B757" s="43"/>
      <c r="C757" s="243"/>
      <c r="D757" s="43"/>
      <c r="E757" s="43"/>
      <c r="F757" s="43"/>
      <c r="G757" s="43"/>
      <c r="H757" s="43"/>
      <c r="I757" s="43"/>
      <c r="J757" s="242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</row>
    <row r="758" spans="1:28">
      <c r="A758" s="43"/>
      <c r="B758" s="43"/>
      <c r="C758" s="243"/>
      <c r="D758" s="43"/>
      <c r="E758" s="43"/>
      <c r="F758" s="43"/>
      <c r="G758" s="43"/>
      <c r="H758" s="43"/>
      <c r="I758" s="43"/>
      <c r="J758" s="242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</row>
    <row r="759" spans="1:28">
      <c r="A759" s="43"/>
      <c r="B759" s="43"/>
      <c r="C759" s="243"/>
      <c r="D759" s="43"/>
      <c r="E759" s="43"/>
      <c r="F759" s="43"/>
      <c r="G759" s="43"/>
      <c r="H759" s="43"/>
      <c r="I759" s="43"/>
      <c r="J759" s="242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 spans="1:28">
      <c r="A760" s="43"/>
      <c r="B760" s="43"/>
      <c r="C760" s="243"/>
      <c r="D760" s="43"/>
      <c r="E760" s="43"/>
      <c r="F760" s="43"/>
      <c r="G760" s="43"/>
      <c r="H760" s="43"/>
      <c r="I760" s="43"/>
      <c r="J760" s="242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</row>
    <row r="761" spans="1:28">
      <c r="A761" s="43"/>
      <c r="B761" s="43"/>
      <c r="C761" s="243"/>
      <c r="D761" s="43"/>
      <c r="E761" s="43"/>
      <c r="F761" s="43"/>
      <c r="G761" s="43"/>
      <c r="H761" s="43"/>
      <c r="I761" s="43"/>
      <c r="J761" s="242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 spans="1:28">
      <c r="A762" s="43"/>
      <c r="B762" s="43"/>
      <c r="C762" s="243"/>
      <c r="D762" s="43"/>
      <c r="E762" s="43"/>
      <c r="F762" s="43"/>
      <c r="G762" s="43"/>
      <c r="H762" s="43"/>
      <c r="I762" s="43"/>
      <c r="J762" s="242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</row>
    <row r="763" spans="1:28">
      <c r="A763" s="43"/>
      <c r="B763" s="43"/>
      <c r="C763" s="243"/>
      <c r="D763" s="43"/>
      <c r="E763" s="43"/>
      <c r="F763" s="43"/>
      <c r="G763" s="43"/>
      <c r="H763" s="43"/>
      <c r="I763" s="43"/>
      <c r="J763" s="242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</row>
    <row r="764" spans="1:28">
      <c r="A764" s="43"/>
      <c r="B764" s="43"/>
      <c r="C764" s="243"/>
      <c r="D764" s="43"/>
      <c r="E764" s="43"/>
      <c r="F764" s="43"/>
      <c r="G764" s="43"/>
      <c r="H764" s="43"/>
      <c r="I764" s="43"/>
      <c r="J764" s="242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 spans="1:28">
      <c r="A765" s="43"/>
      <c r="B765" s="43"/>
      <c r="C765" s="243"/>
      <c r="D765" s="43"/>
      <c r="E765" s="43"/>
      <c r="F765" s="43"/>
      <c r="G765" s="43"/>
      <c r="H765" s="43"/>
      <c r="I765" s="43"/>
      <c r="J765" s="242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 spans="1:28">
      <c r="A766" s="43"/>
      <c r="B766" s="43"/>
      <c r="C766" s="243"/>
      <c r="D766" s="43"/>
      <c r="E766" s="43"/>
      <c r="F766" s="43"/>
      <c r="G766" s="43"/>
      <c r="H766" s="43"/>
      <c r="I766" s="43"/>
      <c r="J766" s="242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</row>
    <row r="767" spans="1:28">
      <c r="A767" s="43"/>
      <c r="B767" s="43"/>
      <c r="C767" s="243"/>
      <c r="D767" s="43"/>
      <c r="E767" s="43"/>
      <c r="F767" s="43"/>
      <c r="G767" s="43"/>
      <c r="H767" s="43"/>
      <c r="I767" s="43"/>
      <c r="J767" s="242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 spans="1:28">
      <c r="A768" s="43"/>
      <c r="B768" s="43"/>
      <c r="C768" s="243"/>
      <c r="D768" s="43"/>
      <c r="E768" s="43"/>
      <c r="F768" s="43"/>
      <c r="G768" s="43"/>
      <c r="H768" s="43"/>
      <c r="I768" s="43"/>
      <c r="J768" s="242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 spans="1:28">
      <c r="A769" s="43"/>
      <c r="B769" s="43"/>
      <c r="C769" s="243"/>
      <c r="D769" s="43"/>
      <c r="E769" s="43"/>
      <c r="F769" s="43"/>
      <c r="G769" s="43"/>
      <c r="H769" s="43"/>
      <c r="I769" s="43"/>
      <c r="J769" s="242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 spans="1:28">
      <c r="A770" s="43"/>
      <c r="B770" s="43"/>
      <c r="C770" s="243"/>
      <c r="D770" s="43"/>
      <c r="E770" s="43"/>
      <c r="F770" s="43"/>
      <c r="G770" s="43"/>
      <c r="H770" s="43"/>
      <c r="I770" s="43"/>
      <c r="J770" s="242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 spans="1:28">
      <c r="A771" s="43"/>
      <c r="B771" s="43"/>
      <c r="C771" s="243"/>
      <c r="D771" s="43"/>
      <c r="E771" s="43"/>
      <c r="F771" s="43"/>
      <c r="G771" s="43"/>
      <c r="H771" s="43"/>
      <c r="I771" s="43"/>
      <c r="J771" s="242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 spans="1:28">
      <c r="A772" s="43"/>
      <c r="B772" s="43"/>
      <c r="C772" s="243"/>
      <c r="D772" s="43"/>
      <c r="E772" s="43"/>
      <c r="F772" s="43"/>
      <c r="G772" s="43"/>
      <c r="H772" s="43"/>
      <c r="I772" s="43"/>
      <c r="J772" s="242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</row>
    <row r="773" spans="1:28">
      <c r="A773" s="43"/>
      <c r="B773" s="43"/>
      <c r="C773" s="243"/>
      <c r="D773" s="43"/>
      <c r="E773" s="43"/>
      <c r="F773" s="43"/>
      <c r="G773" s="43"/>
      <c r="H773" s="43"/>
      <c r="I773" s="43"/>
      <c r="J773" s="242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</row>
    <row r="774" spans="1:28">
      <c r="A774" s="43"/>
      <c r="B774" s="43"/>
      <c r="C774" s="243"/>
      <c r="D774" s="43"/>
      <c r="E774" s="43"/>
      <c r="F774" s="43"/>
      <c r="G774" s="43"/>
      <c r="H774" s="43"/>
      <c r="I774" s="43"/>
      <c r="J774" s="242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</row>
    <row r="775" spans="1:28">
      <c r="A775" s="43"/>
      <c r="B775" s="43"/>
      <c r="C775" s="243"/>
      <c r="D775" s="43"/>
      <c r="E775" s="43"/>
      <c r="F775" s="43"/>
      <c r="G775" s="43"/>
      <c r="H775" s="43"/>
      <c r="I775" s="43"/>
      <c r="J775" s="242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</row>
    <row r="776" spans="1:28">
      <c r="A776" s="43"/>
      <c r="B776" s="43"/>
      <c r="C776" s="243"/>
      <c r="D776" s="43"/>
      <c r="E776" s="43"/>
      <c r="F776" s="43"/>
      <c r="G776" s="43"/>
      <c r="H776" s="43"/>
      <c r="I776" s="43"/>
      <c r="J776" s="242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</row>
    <row r="777" spans="1:28">
      <c r="A777" s="43"/>
      <c r="B777" s="43"/>
      <c r="C777" s="243"/>
      <c r="D777" s="43"/>
      <c r="E777" s="43"/>
      <c r="F777" s="43"/>
      <c r="G777" s="43"/>
      <c r="H777" s="43"/>
      <c r="I777" s="43"/>
      <c r="J777" s="242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</row>
    <row r="778" spans="1:28">
      <c r="A778" s="43"/>
      <c r="B778" s="43"/>
      <c r="C778" s="243"/>
      <c r="D778" s="43"/>
      <c r="E778" s="43"/>
      <c r="F778" s="43"/>
      <c r="G778" s="43"/>
      <c r="H778" s="43"/>
      <c r="I778" s="43"/>
      <c r="J778" s="242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</row>
    <row r="779" spans="1:28">
      <c r="A779" s="43"/>
      <c r="B779" s="43"/>
      <c r="C779" s="243"/>
      <c r="D779" s="43"/>
      <c r="E779" s="43"/>
      <c r="F779" s="43"/>
      <c r="G779" s="43"/>
      <c r="H779" s="43"/>
      <c r="I779" s="43"/>
      <c r="J779" s="242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</row>
    <row r="780" spans="1:28">
      <c r="A780" s="43"/>
      <c r="B780" s="43"/>
      <c r="C780" s="243"/>
      <c r="D780" s="43"/>
      <c r="E780" s="43"/>
      <c r="F780" s="43"/>
      <c r="G780" s="43"/>
      <c r="H780" s="43"/>
      <c r="I780" s="43"/>
      <c r="J780" s="242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</row>
    <row r="781" spans="1:28">
      <c r="A781" s="43"/>
      <c r="B781" s="43"/>
      <c r="C781" s="243"/>
      <c r="D781" s="43"/>
      <c r="E781" s="43"/>
      <c r="F781" s="43"/>
      <c r="G781" s="43"/>
      <c r="H781" s="43"/>
      <c r="I781" s="43"/>
      <c r="J781" s="242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</row>
    <row r="782" spans="1:28">
      <c r="A782" s="43"/>
      <c r="B782" s="43"/>
      <c r="C782" s="243"/>
      <c r="D782" s="43"/>
      <c r="E782" s="43"/>
      <c r="F782" s="43"/>
      <c r="G782" s="43"/>
      <c r="H782" s="43"/>
      <c r="I782" s="43"/>
      <c r="J782" s="242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</row>
    <row r="783" spans="1:28">
      <c r="A783" s="43"/>
      <c r="B783" s="43"/>
      <c r="C783" s="243"/>
      <c r="D783" s="43"/>
      <c r="E783" s="43"/>
      <c r="F783" s="43"/>
      <c r="G783" s="43"/>
      <c r="H783" s="43"/>
      <c r="I783" s="43"/>
      <c r="J783" s="242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</row>
    <row r="784" spans="1:28">
      <c r="A784" s="43"/>
      <c r="B784" s="43"/>
      <c r="C784" s="243"/>
      <c r="D784" s="43"/>
      <c r="E784" s="43"/>
      <c r="F784" s="43"/>
      <c r="G784" s="43"/>
      <c r="H784" s="43"/>
      <c r="I784" s="43"/>
      <c r="J784" s="242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</row>
    <row r="785" spans="1:28">
      <c r="A785" s="43"/>
      <c r="B785" s="43"/>
      <c r="C785" s="243"/>
      <c r="D785" s="43"/>
      <c r="E785" s="43"/>
      <c r="F785" s="43"/>
      <c r="G785" s="43"/>
      <c r="H785" s="43"/>
      <c r="I785" s="43"/>
      <c r="J785" s="242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</row>
    <row r="786" spans="1:28">
      <c r="A786" s="43"/>
      <c r="B786" s="43"/>
      <c r="C786" s="243"/>
      <c r="D786" s="43"/>
      <c r="E786" s="43"/>
      <c r="F786" s="43"/>
      <c r="G786" s="43"/>
      <c r="H786" s="43"/>
      <c r="I786" s="43"/>
      <c r="J786" s="242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</row>
    <row r="787" spans="1:28">
      <c r="A787" s="43"/>
      <c r="B787" s="43"/>
      <c r="C787" s="243"/>
      <c r="D787" s="43"/>
      <c r="E787" s="43"/>
      <c r="F787" s="43"/>
      <c r="G787" s="43"/>
      <c r="H787" s="43"/>
      <c r="I787" s="43"/>
      <c r="J787" s="242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</row>
    <row r="788" spans="1:28">
      <c r="A788" s="43"/>
      <c r="B788" s="43"/>
      <c r="C788" s="243"/>
      <c r="D788" s="43"/>
      <c r="E788" s="43"/>
      <c r="F788" s="43"/>
      <c r="G788" s="43"/>
      <c r="H788" s="43"/>
      <c r="I788" s="43"/>
      <c r="J788" s="242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</row>
    <row r="789" spans="1:28">
      <c r="A789" s="43"/>
      <c r="B789" s="43"/>
      <c r="C789" s="243"/>
      <c r="D789" s="43"/>
      <c r="E789" s="43"/>
      <c r="F789" s="43"/>
      <c r="G789" s="43"/>
      <c r="H789" s="43"/>
      <c r="I789" s="43"/>
      <c r="J789" s="242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</row>
    <row r="790" spans="1:28">
      <c r="A790" s="43"/>
      <c r="B790" s="43"/>
      <c r="C790" s="243"/>
      <c r="D790" s="43"/>
      <c r="E790" s="43"/>
      <c r="F790" s="43"/>
      <c r="G790" s="43"/>
      <c r="H790" s="43"/>
      <c r="I790" s="43"/>
      <c r="J790" s="242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</row>
    <row r="791" spans="1:28">
      <c r="A791" s="43"/>
      <c r="B791" s="43"/>
      <c r="C791" s="243"/>
      <c r="D791" s="43"/>
      <c r="E791" s="43"/>
      <c r="F791" s="43"/>
      <c r="G791" s="43"/>
      <c r="H791" s="43"/>
      <c r="I791" s="43"/>
      <c r="J791" s="242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</row>
    <row r="792" spans="1:28">
      <c r="A792" s="43"/>
      <c r="B792" s="43"/>
      <c r="C792" s="243"/>
      <c r="D792" s="43"/>
      <c r="E792" s="43"/>
      <c r="F792" s="43"/>
      <c r="G792" s="43"/>
      <c r="H792" s="43"/>
      <c r="I792" s="43"/>
      <c r="J792" s="242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</row>
    <row r="793" spans="1:28">
      <c r="A793" s="43"/>
      <c r="B793" s="43"/>
      <c r="C793" s="243"/>
      <c r="D793" s="43"/>
      <c r="E793" s="43"/>
      <c r="F793" s="43"/>
      <c r="G793" s="43"/>
      <c r="H793" s="43"/>
      <c r="I793" s="43"/>
      <c r="J793" s="242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</row>
    <row r="794" spans="1:28">
      <c r="A794" s="43"/>
      <c r="B794" s="43"/>
      <c r="C794" s="243"/>
      <c r="D794" s="43"/>
      <c r="E794" s="43"/>
      <c r="F794" s="43"/>
      <c r="G794" s="43"/>
      <c r="H794" s="43"/>
      <c r="I794" s="43"/>
      <c r="J794" s="242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</row>
    <row r="795" spans="1:28">
      <c r="A795" s="43"/>
      <c r="B795" s="43"/>
      <c r="C795" s="243"/>
      <c r="D795" s="43"/>
      <c r="E795" s="43"/>
      <c r="F795" s="43"/>
      <c r="G795" s="43"/>
      <c r="H795" s="43"/>
      <c r="I795" s="43"/>
      <c r="J795" s="242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</row>
    <row r="796" spans="1:28">
      <c r="A796" s="43"/>
      <c r="B796" s="43"/>
      <c r="C796" s="243"/>
      <c r="D796" s="43"/>
      <c r="E796" s="43"/>
      <c r="F796" s="43"/>
      <c r="G796" s="43"/>
      <c r="H796" s="43"/>
      <c r="I796" s="43"/>
      <c r="J796" s="242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</row>
    <row r="797" spans="1:28">
      <c r="A797" s="43"/>
      <c r="B797" s="43"/>
      <c r="C797" s="243"/>
      <c r="D797" s="43"/>
      <c r="E797" s="43"/>
      <c r="F797" s="43"/>
      <c r="G797" s="43"/>
      <c r="H797" s="43"/>
      <c r="I797" s="43"/>
      <c r="J797" s="242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</row>
    <row r="798" spans="1:28">
      <c r="A798" s="43"/>
      <c r="B798" s="43"/>
      <c r="C798" s="243"/>
      <c r="D798" s="43"/>
      <c r="E798" s="43"/>
      <c r="F798" s="43"/>
      <c r="G798" s="43"/>
      <c r="H798" s="43"/>
      <c r="I798" s="43"/>
      <c r="J798" s="242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</row>
    <row r="799" spans="1:28">
      <c r="A799" s="43"/>
      <c r="B799" s="43"/>
      <c r="C799" s="243"/>
      <c r="D799" s="43"/>
      <c r="E799" s="43"/>
      <c r="F799" s="43"/>
      <c r="G799" s="43"/>
      <c r="H799" s="43"/>
      <c r="I799" s="43"/>
      <c r="J799" s="242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</row>
    <row r="800" spans="1:28">
      <c r="A800" s="43"/>
      <c r="B800" s="43"/>
      <c r="C800" s="243"/>
      <c r="D800" s="43"/>
      <c r="E800" s="43"/>
      <c r="F800" s="43"/>
      <c r="G800" s="43"/>
      <c r="H800" s="43"/>
      <c r="I800" s="43"/>
      <c r="J800" s="242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</row>
    <row r="801" spans="1:28">
      <c r="A801" s="43"/>
      <c r="B801" s="43"/>
      <c r="C801" s="243"/>
      <c r="D801" s="43"/>
      <c r="E801" s="43"/>
      <c r="F801" s="43"/>
      <c r="G801" s="43"/>
      <c r="H801" s="43"/>
      <c r="I801" s="43"/>
      <c r="J801" s="242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</row>
    <row r="802" spans="1:28">
      <c r="A802" s="43"/>
      <c r="B802" s="43"/>
      <c r="C802" s="243"/>
      <c r="D802" s="43"/>
      <c r="E802" s="43"/>
      <c r="F802" s="43"/>
      <c r="G802" s="43"/>
      <c r="H802" s="43"/>
      <c r="I802" s="43"/>
      <c r="J802" s="242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</row>
    <row r="803" spans="1:28">
      <c r="A803" s="43"/>
      <c r="B803" s="43"/>
      <c r="C803" s="243"/>
      <c r="D803" s="43"/>
      <c r="E803" s="43"/>
      <c r="F803" s="43"/>
      <c r="G803" s="43"/>
      <c r="H803" s="43"/>
      <c r="I803" s="43"/>
      <c r="J803" s="242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</row>
    <row r="804" spans="1:28">
      <c r="A804" s="43"/>
      <c r="B804" s="43"/>
      <c r="C804" s="243"/>
      <c r="D804" s="43"/>
      <c r="E804" s="43"/>
      <c r="F804" s="43"/>
      <c r="G804" s="43"/>
      <c r="H804" s="43"/>
      <c r="I804" s="43"/>
      <c r="J804" s="242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</row>
    <row r="805" spans="1:28">
      <c r="A805" s="43"/>
      <c r="B805" s="43"/>
      <c r="C805" s="243"/>
      <c r="D805" s="43"/>
      <c r="E805" s="43"/>
      <c r="F805" s="43"/>
      <c r="G805" s="43"/>
      <c r="H805" s="43"/>
      <c r="I805" s="43"/>
      <c r="J805" s="242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</row>
    <row r="806" spans="1:28">
      <c r="A806" s="43"/>
      <c r="B806" s="43"/>
      <c r="C806" s="243"/>
      <c r="D806" s="43"/>
      <c r="E806" s="43"/>
      <c r="F806" s="43"/>
      <c r="G806" s="43"/>
      <c r="H806" s="43"/>
      <c r="I806" s="43"/>
      <c r="J806" s="242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</row>
    <row r="807" spans="1:28">
      <c r="A807" s="43"/>
      <c r="B807" s="43"/>
      <c r="C807" s="243"/>
      <c r="D807" s="43"/>
      <c r="E807" s="43"/>
      <c r="F807" s="43"/>
      <c r="G807" s="43"/>
      <c r="H807" s="43"/>
      <c r="I807" s="43"/>
      <c r="J807" s="242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</row>
    <row r="808" spans="1:28">
      <c r="A808" s="43"/>
      <c r="B808" s="43"/>
      <c r="C808" s="243"/>
      <c r="D808" s="43"/>
      <c r="E808" s="43"/>
      <c r="F808" s="43"/>
      <c r="G808" s="43"/>
      <c r="H808" s="43"/>
      <c r="I808" s="43"/>
      <c r="J808" s="242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</row>
    <row r="809" spans="1:28">
      <c r="A809" s="43"/>
      <c r="B809" s="43"/>
      <c r="C809" s="243"/>
      <c r="D809" s="43"/>
      <c r="E809" s="43"/>
      <c r="F809" s="43"/>
      <c r="G809" s="43"/>
      <c r="H809" s="43"/>
      <c r="I809" s="43"/>
      <c r="J809" s="242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</row>
    <row r="810" spans="1:28">
      <c r="A810" s="43"/>
      <c r="B810" s="43"/>
      <c r="C810" s="243"/>
      <c r="D810" s="43"/>
      <c r="E810" s="43"/>
      <c r="F810" s="43"/>
      <c r="G810" s="43"/>
      <c r="H810" s="43"/>
      <c r="I810" s="43"/>
      <c r="J810" s="242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</row>
    <row r="811" spans="1:28">
      <c r="A811" s="43"/>
      <c r="B811" s="43"/>
      <c r="C811" s="243"/>
      <c r="D811" s="43"/>
      <c r="E811" s="43"/>
      <c r="F811" s="43"/>
      <c r="G811" s="43"/>
      <c r="H811" s="43"/>
      <c r="I811" s="43"/>
      <c r="J811" s="242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</row>
    <row r="812" spans="1:28">
      <c r="A812" s="43"/>
      <c r="B812" s="43"/>
      <c r="C812" s="243"/>
      <c r="D812" s="43"/>
      <c r="E812" s="43"/>
      <c r="F812" s="43"/>
      <c r="G812" s="43"/>
      <c r="H812" s="43"/>
      <c r="I812" s="43"/>
      <c r="J812" s="242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</row>
    <row r="813" spans="1:28">
      <c r="A813" s="43"/>
      <c r="B813" s="43"/>
      <c r="C813" s="243"/>
      <c r="D813" s="43"/>
      <c r="E813" s="43"/>
      <c r="F813" s="43"/>
      <c r="G813" s="43"/>
      <c r="H813" s="43"/>
      <c r="I813" s="43"/>
      <c r="J813" s="242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</row>
    <row r="814" spans="1:28">
      <c r="A814" s="43"/>
      <c r="B814" s="43"/>
      <c r="C814" s="243"/>
      <c r="D814" s="43"/>
      <c r="E814" s="43"/>
      <c r="F814" s="43"/>
      <c r="G814" s="43"/>
      <c r="H814" s="43"/>
      <c r="I814" s="43"/>
      <c r="J814" s="242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</row>
    <row r="815" spans="1:28">
      <c r="A815" s="43"/>
      <c r="B815" s="43"/>
      <c r="C815" s="243"/>
      <c r="D815" s="43"/>
      <c r="E815" s="43"/>
      <c r="F815" s="43"/>
      <c r="G815" s="43"/>
      <c r="H815" s="43"/>
      <c r="I815" s="43"/>
      <c r="J815" s="242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</row>
    <row r="816" spans="1:28">
      <c r="A816" s="43"/>
      <c r="B816" s="43"/>
      <c r="C816" s="243"/>
      <c r="D816" s="43"/>
      <c r="E816" s="43"/>
      <c r="F816" s="43"/>
      <c r="G816" s="43"/>
      <c r="H816" s="43"/>
      <c r="I816" s="43"/>
      <c r="J816" s="242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</row>
    <row r="817" spans="1:28">
      <c r="A817" s="43"/>
      <c r="B817" s="43"/>
      <c r="C817" s="243"/>
      <c r="D817" s="43"/>
      <c r="E817" s="43"/>
      <c r="F817" s="43"/>
      <c r="G817" s="43"/>
      <c r="H817" s="43"/>
      <c r="I817" s="43"/>
      <c r="J817" s="242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</row>
    <row r="818" spans="1:28">
      <c r="A818" s="43"/>
      <c r="B818" s="43"/>
      <c r="C818" s="243"/>
      <c r="D818" s="43"/>
      <c r="E818" s="43"/>
      <c r="F818" s="43"/>
      <c r="G818" s="43"/>
      <c r="H818" s="43"/>
      <c r="I818" s="43"/>
      <c r="J818" s="242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</row>
    <row r="819" spans="1:28">
      <c r="A819" s="43"/>
      <c r="B819" s="43"/>
      <c r="C819" s="243"/>
      <c r="D819" s="43"/>
      <c r="E819" s="43"/>
      <c r="F819" s="43"/>
      <c r="G819" s="43"/>
      <c r="H819" s="43"/>
      <c r="I819" s="43"/>
      <c r="J819" s="242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</row>
    <row r="820" spans="1:28">
      <c r="A820" s="43"/>
      <c r="B820" s="43"/>
      <c r="C820" s="243"/>
      <c r="D820" s="43"/>
      <c r="E820" s="43"/>
      <c r="F820" s="43"/>
      <c r="G820" s="43"/>
      <c r="H820" s="43"/>
      <c r="I820" s="43"/>
      <c r="J820" s="242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</row>
    <row r="821" spans="1:28">
      <c r="A821" s="43"/>
      <c r="B821" s="43"/>
      <c r="C821" s="243"/>
      <c r="D821" s="43"/>
      <c r="E821" s="43"/>
      <c r="F821" s="43"/>
      <c r="G821" s="43"/>
      <c r="H821" s="43"/>
      <c r="I821" s="43"/>
      <c r="J821" s="242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</row>
    <row r="822" spans="1:28">
      <c r="A822" s="43"/>
      <c r="B822" s="43"/>
      <c r="C822" s="243"/>
      <c r="D822" s="43"/>
      <c r="E822" s="43"/>
      <c r="F822" s="43"/>
      <c r="G822" s="43"/>
      <c r="H822" s="43"/>
      <c r="I822" s="43"/>
      <c r="J822" s="242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</row>
    <row r="823" spans="1:28">
      <c r="A823" s="43"/>
      <c r="B823" s="43"/>
      <c r="C823" s="243"/>
      <c r="D823" s="43"/>
      <c r="E823" s="43"/>
      <c r="F823" s="43"/>
      <c r="G823" s="43"/>
      <c r="H823" s="43"/>
      <c r="I823" s="43"/>
      <c r="J823" s="242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</row>
    <row r="824" spans="1:28">
      <c r="A824" s="43"/>
      <c r="B824" s="43"/>
      <c r="C824" s="243"/>
      <c r="D824" s="43"/>
      <c r="E824" s="43"/>
      <c r="F824" s="43"/>
      <c r="G824" s="43"/>
      <c r="H824" s="43"/>
      <c r="I824" s="43"/>
      <c r="J824" s="242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</row>
    <row r="825" spans="1:28">
      <c r="A825" s="43"/>
      <c r="B825" s="43"/>
      <c r="C825" s="243"/>
      <c r="D825" s="43"/>
      <c r="E825" s="43"/>
      <c r="F825" s="43"/>
      <c r="G825" s="43"/>
      <c r="H825" s="43"/>
      <c r="I825" s="43"/>
      <c r="J825" s="242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</row>
    <row r="826" spans="1:28">
      <c r="A826" s="43"/>
      <c r="B826" s="43"/>
      <c r="C826" s="243"/>
      <c r="D826" s="43"/>
      <c r="E826" s="43"/>
      <c r="F826" s="43"/>
      <c r="G826" s="43"/>
      <c r="H826" s="43"/>
      <c r="I826" s="43"/>
      <c r="J826" s="242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</row>
    <row r="827" spans="1:28">
      <c r="A827" s="43"/>
      <c r="B827" s="43"/>
      <c r="C827" s="243"/>
      <c r="D827" s="43"/>
      <c r="E827" s="43"/>
      <c r="F827" s="43"/>
      <c r="G827" s="43"/>
      <c r="H827" s="43"/>
      <c r="I827" s="43"/>
      <c r="J827" s="242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</row>
    <row r="828" spans="1:28">
      <c r="A828" s="43"/>
      <c r="B828" s="43"/>
      <c r="C828" s="243"/>
      <c r="D828" s="43"/>
      <c r="E828" s="43"/>
      <c r="F828" s="43"/>
      <c r="G828" s="43"/>
      <c r="H828" s="43"/>
      <c r="I828" s="43"/>
      <c r="J828" s="242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</row>
    <row r="829" spans="1:28">
      <c r="A829" s="43"/>
      <c r="B829" s="43"/>
      <c r="C829" s="243"/>
      <c r="D829" s="43"/>
      <c r="E829" s="43"/>
      <c r="F829" s="43"/>
      <c r="G829" s="43"/>
      <c r="H829" s="43"/>
      <c r="I829" s="43"/>
      <c r="J829" s="242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</row>
    <row r="830" spans="1:28">
      <c r="A830" s="43"/>
      <c r="B830" s="43"/>
      <c r="C830" s="243"/>
      <c r="D830" s="43"/>
      <c r="E830" s="43"/>
      <c r="F830" s="43"/>
      <c r="G830" s="43"/>
      <c r="H830" s="43"/>
      <c r="I830" s="43"/>
      <c r="J830" s="242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</row>
    <row r="831" spans="1:28">
      <c r="A831" s="43"/>
      <c r="B831" s="43"/>
      <c r="C831" s="243"/>
      <c r="D831" s="43"/>
      <c r="E831" s="43"/>
      <c r="F831" s="43"/>
      <c r="G831" s="43"/>
      <c r="H831" s="43"/>
      <c r="I831" s="43"/>
      <c r="J831" s="242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</row>
    <row r="832" spans="1:28">
      <c r="A832" s="43"/>
      <c r="B832" s="43"/>
      <c r="C832" s="243"/>
      <c r="D832" s="43"/>
      <c r="E832" s="43"/>
      <c r="F832" s="43"/>
      <c r="G832" s="43"/>
      <c r="H832" s="43"/>
      <c r="I832" s="43"/>
      <c r="J832" s="242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</row>
    <row r="833" spans="1:28">
      <c r="A833" s="43"/>
      <c r="B833" s="43"/>
      <c r="C833" s="243"/>
      <c r="D833" s="43"/>
      <c r="E833" s="43"/>
      <c r="F833" s="43"/>
      <c r="G833" s="43"/>
      <c r="H833" s="43"/>
      <c r="I833" s="43"/>
      <c r="J833" s="242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</row>
    <row r="834" spans="1:28">
      <c r="A834" s="43"/>
      <c r="B834" s="43"/>
      <c r="C834" s="243"/>
      <c r="D834" s="43"/>
      <c r="E834" s="43"/>
      <c r="F834" s="43"/>
      <c r="G834" s="43"/>
      <c r="H834" s="43"/>
      <c r="I834" s="43"/>
      <c r="J834" s="242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</row>
    <row r="835" spans="1:28">
      <c r="A835" s="43"/>
      <c r="B835" s="43"/>
      <c r="C835" s="243"/>
      <c r="D835" s="43"/>
      <c r="E835" s="43"/>
      <c r="F835" s="43"/>
      <c r="G835" s="43"/>
      <c r="H835" s="43"/>
      <c r="I835" s="43"/>
      <c r="J835" s="242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</row>
    <row r="836" spans="1:28">
      <c r="A836" s="43"/>
      <c r="B836" s="43"/>
      <c r="C836" s="243"/>
      <c r="D836" s="43"/>
      <c r="E836" s="43"/>
      <c r="F836" s="43"/>
      <c r="G836" s="43"/>
      <c r="H836" s="43"/>
      <c r="I836" s="43"/>
      <c r="J836" s="242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</row>
    <row r="837" spans="1:28">
      <c r="A837" s="43"/>
      <c r="B837" s="43"/>
      <c r="C837" s="243"/>
      <c r="D837" s="43"/>
      <c r="E837" s="43"/>
      <c r="F837" s="43"/>
      <c r="G837" s="43"/>
      <c r="H837" s="43"/>
      <c r="I837" s="43"/>
      <c r="J837" s="242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</row>
    <row r="838" spans="1:28">
      <c r="A838" s="43"/>
      <c r="B838" s="43"/>
      <c r="C838" s="243"/>
      <c r="D838" s="43"/>
      <c r="E838" s="43"/>
      <c r="F838" s="43"/>
      <c r="G838" s="43"/>
      <c r="H838" s="43"/>
      <c r="I838" s="43"/>
      <c r="J838" s="242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</row>
    <row r="839" spans="1:28">
      <c r="A839" s="43"/>
      <c r="B839" s="43"/>
      <c r="C839" s="243"/>
      <c r="D839" s="43"/>
      <c r="E839" s="43"/>
      <c r="F839" s="43"/>
      <c r="G839" s="43"/>
      <c r="H839" s="43"/>
      <c r="I839" s="43"/>
      <c r="J839" s="242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</row>
    <row r="840" spans="1:28">
      <c r="A840" s="43"/>
      <c r="B840" s="43"/>
      <c r="C840" s="243"/>
      <c r="D840" s="43"/>
      <c r="E840" s="43"/>
      <c r="F840" s="43"/>
      <c r="G840" s="43"/>
      <c r="H840" s="43"/>
      <c r="I840" s="43"/>
      <c r="J840" s="242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</row>
    <row r="841" spans="1:28">
      <c r="A841" s="43"/>
      <c r="B841" s="43"/>
      <c r="C841" s="243"/>
      <c r="D841" s="43"/>
      <c r="E841" s="43"/>
      <c r="F841" s="43"/>
      <c r="G841" s="43"/>
      <c r="H841" s="43"/>
      <c r="I841" s="43"/>
      <c r="J841" s="242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</row>
    <row r="842" spans="1:28">
      <c r="A842" s="43"/>
      <c r="B842" s="43"/>
      <c r="C842" s="243"/>
      <c r="D842" s="43"/>
      <c r="E842" s="43"/>
      <c r="F842" s="43"/>
      <c r="G842" s="43"/>
      <c r="H842" s="43"/>
      <c r="I842" s="43"/>
      <c r="J842" s="242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</row>
    <row r="843" spans="1:28">
      <c r="A843" s="43"/>
      <c r="B843" s="43"/>
      <c r="C843" s="243"/>
      <c r="D843" s="43"/>
      <c r="E843" s="43"/>
      <c r="F843" s="43"/>
      <c r="G843" s="43"/>
      <c r="H843" s="43"/>
      <c r="I843" s="43"/>
      <c r="J843" s="242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</row>
    <row r="844" spans="1:28">
      <c r="A844" s="43"/>
      <c r="B844" s="43"/>
      <c r="C844" s="243"/>
      <c r="D844" s="43"/>
      <c r="E844" s="43"/>
      <c r="F844" s="43"/>
      <c r="G844" s="43"/>
      <c r="H844" s="43"/>
      <c r="I844" s="43"/>
      <c r="J844" s="242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</row>
    <row r="845" spans="1:28">
      <c r="A845" s="43"/>
      <c r="B845" s="43"/>
      <c r="C845" s="243"/>
      <c r="D845" s="43"/>
      <c r="E845" s="43"/>
      <c r="F845" s="43"/>
      <c r="G845" s="43"/>
      <c r="H845" s="43"/>
      <c r="I845" s="43"/>
      <c r="J845" s="242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</row>
    <row r="846" spans="1:28">
      <c r="A846" s="43"/>
      <c r="B846" s="43"/>
      <c r="C846" s="243"/>
      <c r="D846" s="43"/>
      <c r="E846" s="43"/>
      <c r="F846" s="43"/>
      <c r="G846" s="43"/>
      <c r="H846" s="43"/>
      <c r="I846" s="43"/>
      <c r="J846" s="242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</row>
    <row r="847" spans="1:28">
      <c r="A847" s="43"/>
      <c r="B847" s="43"/>
      <c r="C847" s="243"/>
      <c r="D847" s="43"/>
      <c r="E847" s="43"/>
      <c r="F847" s="43"/>
      <c r="G847" s="43"/>
      <c r="H847" s="43"/>
      <c r="I847" s="43"/>
      <c r="J847" s="242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</row>
    <row r="848" spans="1:28">
      <c r="A848" s="43"/>
      <c r="B848" s="43"/>
      <c r="C848" s="243"/>
      <c r="D848" s="43"/>
      <c r="E848" s="43"/>
      <c r="F848" s="43"/>
      <c r="G848" s="43"/>
      <c r="H848" s="43"/>
      <c r="I848" s="43"/>
      <c r="J848" s="242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</row>
    <row r="849" spans="1:28">
      <c r="A849" s="43"/>
      <c r="B849" s="43"/>
      <c r="C849" s="243"/>
      <c r="D849" s="43"/>
      <c r="E849" s="43"/>
      <c r="F849" s="43"/>
      <c r="G849" s="43"/>
      <c r="H849" s="43"/>
      <c r="I849" s="43"/>
      <c r="J849" s="242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</row>
    <row r="850" spans="1:28">
      <c r="A850" s="43"/>
      <c r="B850" s="43"/>
      <c r="C850" s="243"/>
      <c r="D850" s="43"/>
      <c r="E850" s="43"/>
      <c r="F850" s="43"/>
      <c r="G850" s="43"/>
      <c r="H850" s="43"/>
      <c r="I850" s="43"/>
      <c r="J850" s="242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</row>
    <row r="851" spans="1:28">
      <c r="A851" s="43"/>
      <c r="B851" s="43"/>
      <c r="C851" s="243"/>
      <c r="D851" s="43"/>
      <c r="E851" s="43"/>
      <c r="F851" s="43"/>
      <c r="G851" s="43"/>
      <c r="H851" s="43"/>
      <c r="I851" s="43"/>
      <c r="J851" s="242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</row>
    <row r="852" spans="1:28">
      <c r="A852" s="43"/>
      <c r="B852" s="43"/>
      <c r="C852" s="243"/>
      <c r="D852" s="43"/>
      <c r="E852" s="43"/>
      <c r="F852" s="43"/>
      <c r="G852" s="43"/>
      <c r="H852" s="43"/>
      <c r="I852" s="43"/>
      <c r="J852" s="242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</row>
    <row r="853" spans="1:28">
      <c r="A853" s="43"/>
      <c r="B853" s="43"/>
      <c r="C853" s="243"/>
      <c r="D853" s="43"/>
      <c r="E853" s="43"/>
      <c r="F853" s="43"/>
      <c r="G853" s="43"/>
      <c r="H853" s="43"/>
      <c r="I853" s="43"/>
      <c r="J853" s="242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</row>
    <row r="854" spans="1:28">
      <c r="A854" s="43"/>
      <c r="B854" s="43"/>
      <c r="C854" s="243"/>
      <c r="D854" s="43"/>
      <c r="E854" s="43"/>
      <c r="F854" s="43"/>
      <c r="G854" s="43"/>
      <c r="H854" s="43"/>
      <c r="I854" s="43"/>
      <c r="J854" s="242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</row>
    <row r="855" spans="1:28">
      <c r="A855" s="43"/>
      <c r="B855" s="43"/>
      <c r="C855" s="243"/>
      <c r="D855" s="43"/>
      <c r="E855" s="43"/>
      <c r="F855" s="43"/>
      <c r="G855" s="43"/>
      <c r="H855" s="43"/>
      <c r="I855" s="43"/>
      <c r="J855" s="242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</row>
    <row r="856" spans="1:28">
      <c r="A856" s="43"/>
      <c r="B856" s="43"/>
      <c r="C856" s="243"/>
      <c r="D856" s="43"/>
      <c r="E856" s="43"/>
      <c r="F856" s="43"/>
      <c r="G856" s="43"/>
      <c r="H856" s="43"/>
      <c r="I856" s="43"/>
      <c r="J856" s="242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</row>
    <row r="857" spans="1:28">
      <c r="A857" s="43"/>
      <c r="B857" s="43"/>
      <c r="C857" s="243"/>
      <c r="D857" s="43"/>
      <c r="E857" s="43"/>
      <c r="F857" s="43"/>
      <c r="G857" s="43"/>
      <c r="H857" s="43"/>
      <c r="I857" s="43"/>
      <c r="J857" s="242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</row>
    <row r="858" spans="1:28">
      <c r="A858" s="43"/>
      <c r="B858" s="43"/>
      <c r="C858" s="243"/>
      <c r="D858" s="43"/>
      <c r="E858" s="43"/>
      <c r="F858" s="43"/>
      <c r="G858" s="43"/>
      <c r="H858" s="43"/>
      <c r="I858" s="43"/>
      <c r="J858" s="242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</row>
    <row r="859" spans="1:28">
      <c r="A859" s="43"/>
      <c r="B859" s="43"/>
      <c r="C859" s="243"/>
      <c r="D859" s="43"/>
      <c r="E859" s="43"/>
      <c r="F859" s="43"/>
      <c r="G859" s="43"/>
      <c r="H859" s="43"/>
      <c r="I859" s="43"/>
      <c r="J859" s="242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</row>
    <row r="860" spans="1:28">
      <c r="A860" s="43"/>
      <c r="B860" s="43"/>
      <c r="C860" s="243"/>
      <c r="D860" s="43"/>
      <c r="E860" s="43"/>
      <c r="F860" s="43"/>
      <c r="G860" s="43"/>
      <c r="H860" s="43"/>
      <c r="I860" s="43"/>
      <c r="J860" s="242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</row>
    <row r="861" spans="1:28">
      <c r="A861" s="43"/>
      <c r="B861" s="43"/>
      <c r="C861" s="243"/>
      <c r="D861" s="43"/>
      <c r="E861" s="43"/>
      <c r="F861" s="43"/>
      <c r="G861" s="43"/>
      <c r="H861" s="43"/>
      <c r="I861" s="43"/>
      <c r="J861" s="242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</row>
    <row r="862" spans="1:28">
      <c r="A862" s="43"/>
      <c r="B862" s="43"/>
      <c r="C862" s="243"/>
      <c r="D862" s="43"/>
      <c r="E862" s="43"/>
      <c r="F862" s="43"/>
      <c r="G862" s="43"/>
      <c r="H862" s="43"/>
      <c r="I862" s="43"/>
      <c r="J862" s="242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</row>
    <row r="863" spans="1:28">
      <c r="A863" s="43"/>
      <c r="B863" s="43"/>
      <c r="C863" s="243"/>
      <c r="D863" s="43"/>
      <c r="E863" s="43"/>
      <c r="F863" s="43"/>
      <c r="G863" s="43"/>
      <c r="H863" s="43"/>
      <c r="I863" s="43"/>
      <c r="J863" s="242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</row>
    <row r="864" spans="1:28">
      <c r="A864" s="43"/>
      <c r="B864" s="43"/>
      <c r="C864" s="243"/>
      <c r="D864" s="43"/>
      <c r="E864" s="43"/>
      <c r="F864" s="43"/>
      <c r="G864" s="43"/>
      <c r="H864" s="43"/>
      <c r="I864" s="43"/>
      <c r="J864" s="242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</row>
    <row r="865" spans="1:28">
      <c r="A865" s="43"/>
      <c r="B865" s="43"/>
      <c r="C865" s="243"/>
      <c r="D865" s="43"/>
      <c r="E865" s="43"/>
      <c r="F865" s="43"/>
      <c r="G865" s="43"/>
      <c r="H865" s="43"/>
      <c r="I865" s="43"/>
      <c r="J865" s="242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</row>
    <row r="866" spans="1:28">
      <c r="A866" s="43"/>
      <c r="B866" s="43"/>
      <c r="C866" s="243"/>
      <c r="D866" s="43"/>
      <c r="E866" s="43"/>
      <c r="F866" s="43"/>
      <c r="G866" s="43"/>
      <c r="H866" s="43"/>
      <c r="I866" s="43"/>
      <c r="J866" s="242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</row>
    <row r="867" spans="1:28">
      <c r="A867" s="43"/>
      <c r="B867" s="43"/>
      <c r="C867" s="243"/>
      <c r="D867" s="43"/>
      <c r="E867" s="43"/>
      <c r="F867" s="43"/>
      <c r="G867" s="43"/>
      <c r="H867" s="43"/>
      <c r="I867" s="43"/>
      <c r="J867" s="242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</row>
    <row r="868" spans="1:28">
      <c r="A868" s="43"/>
      <c r="B868" s="43"/>
      <c r="C868" s="243"/>
      <c r="D868" s="43"/>
      <c r="E868" s="43"/>
      <c r="F868" s="43"/>
      <c r="G868" s="43"/>
      <c r="H868" s="43"/>
      <c r="I868" s="43"/>
      <c r="J868" s="242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</row>
    <row r="869" spans="1:28">
      <c r="A869" s="43"/>
      <c r="B869" s="43"/>
      <c r="C869" s="243"/>
      <c r="D869" s="43"/>
      <c r="E869" s="43"/>
      <c r="F869" s="43"/>
      <c r="G869" s="43"/>
      <c r="H869" s="43"/>
      <c r="I869" s="43"/>
      <c r="J869" s="242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</row>
    <row r="870" spans="1:28">
      <c r="A870" s="43"/>
      <c r="B870" s="43"/>
      <c r="C870" s="243"/>
      <c r="D870" s="43"/>
      <c r="E870" s="43"/>
      <c r="F870" s="43"/>
      <c r="G870" s="43"/>
      <c r="H870" s="43"/>
      <c r="I870" s="43"/>
      <c r="J870" s="242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</row>
    <row r="871" spans="1:28">
      <c r="A871" s="43"/>
      <c r="B871" s="43"/>
      <c r="C871" s="243"/>
      <c r="D871" s="43"/>
      <c r="E871" s="43"/>
      <c r="F871" s="43"/>
      <c r="G871" s="43"/>
      <c r="H871" s="43"/>
      <c r="I871" s="43"/>
      <c r="J871" s="242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</row>
    <row r="872" spans="1:28">
      <c r="A872" s="43"/>
      <c r="B872" s="43"/>
      <c r="C872" s="243"/>
      <c r="D872" s="43"/>
      <c r="E872" s="43"/>
      <c r="F872" s="43"/>
      <c r="G872" s="43"/>
      <c r="H872" s="43"/>
      <c r="I872" s="43"/>
      <c r="J872" s="242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</row>
    <row r="873" spans="1:28">
      <c r="A873" s="43"/>
      <c r="B873" s="43"/>
      <c r="C873" s="243"/>
      <c r="D873" s="43"/>
      <c r="E873" s="43"/>
      <c r="F873" s="43"/>
      <c r="G873" s="43"/>
      <c r="H873" s="43"/>
      <c r="I873" s="43"/>
      <c r="J873" s="242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</row>
    <row r="874" spans="1:28">
      <c r="A874" s="43"/>
      <c r="B874" s="43"/>
      <c r="C874" s="243"/>
      <c r="D874" s="43"/>
      <c r="E874" s="43"/>
      <c r="F874" s="43"/>
      <c r="G874" s="43"/>
      <c r="H874" s="43"/>
      <c r="I874" s="43"/>
      <c r="J874" s="242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</row>
    <row r="875" spans="1:28">
      <c r="A875" s="43"/>
      <c r="B875" s="43"/>
      <c r="C875" s="243"/>
      <c r="D875" s="43"/>
      <c r="E875" s="43"/>
      <c r="F875" s="43"/>
      <c r="G875" s="43"/>
      <c r="H875" s="43"/>
      <c r="I875" s="43"/>
      <c r="J875" s="242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</row>
    <row r="876" spans="1:28">
      <c r="A876" s="43"/>
      <c r="B876" s="43"/>
      <c r="C876" s="243"/>
      <c r="D876" s="43"/>
      <c r="E876" s="43"/>
      <c r="F876" s="43"/>
      <c r="G876" s="43"/>
      <c r="H876" s="43"/>
      <c r="I876" s="43"/>
      <c r="J876" s="242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</row>
    <row r="877" spans="1:28">
      <c r="A877" s="43"/>
      <c r="B877" s="43"/>
      <c r="C877" s="243"/>
      <c r="D877" s="43"/>
      <c r="E877" s="43"/>
      <c r="F877" s="43"/>
      <c r="G877" s="43"/>
      <c r="H877" s="43"/>
      <c r="I877" s="43"/>
      <c r="J877" s="242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</row>
    <row r="878" spans="1:28">
      <c r="A878" s="43"/>
      <c r="B878" s="43"/>
      <c r="C878" s="243"/>
      <c r="D878" s="43"/>
      <c r="E878" s="43"/>
      <c r="F878" s="43"/>
      <c r="G878" s="43"/>
      <c r="H878" s="43"/>
      <c r="I878" s="43"/>
      <c r="J878" s="242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</row>
    <row r="879" spans="1:28">
      <c r="A879" s="43"/>
      <c r="B879" s="43"/>
      <c r="C879" s="243"/>
      <c r="D879" s="43"/>
      <c r="E879" s="43"/>
      <c r="F879" s="43"/>
      <c r="G879" s="43"/>
      <c r="H879" s="43"/>
      <c r="I879" s="43"/>
      <c r="J879" s="242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</row>
    <row r="880" spans="1:28">
      <c r="A880" s="43"/>
      <c r="B880" s="43"/>
      <c r="C880" s="243"/>
      <c r="D880" s="43"/>
      <c r="E880" s="43"/>
      <c r="F880" s="43"/>
      <c r="G880" s="43"/>
      <c r="H880" s="43"/>
      <c r="I880" s="43"/>
      <c r="J880" s="242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</row>
    <row r="881" spans="1:28">
      <c r="A881" s="43"/>
      <c r="B881" s="43"/>
      <c r="C881" s="243"/>
      <c r="D881" s="43"/>
      <c r="E881" s="43"/>
      <c r="F881" s="43"/>
      <c r="G881" s="43"/>
      <c r="H881" s="43"/>
      <c r="I881" s="43"/>
      <c r="J881" s="242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</row>
    <row r="882" spans="1:28">
      <c r="A882" s="43"/>
      <c r="B882" s="43"/>
      <c r="C882" s="243"/>
      <c r="D882" s="43"/>
      <c r="E882" s="43"/>
      <c r="F882" s="43"/>
      <c r="G882" s="43"/>
      <c r="H882" s="43"/>
      <c r="I882" s="43"/>
      <c r="J882" s="242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</row>
    <row r="883" spans="1:28">
      <c r="A883" s="43"/>
      <c r="B883" s="43"/>
      <c r="C883" s="243"/>
      <c r="D883" s="43"/>
      <c r="E883" s="43"/>
      <c r="F883" s="43"/>
      <c r="G883" s="43"/>
      <c r="H883" s="43"/>
      <c r="I883" s="43"/>
      <c r="J883" s="242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</row>
    <row r="884" spans="1:28">
      <c r="A884" s="43"/>
      <c r="B884" s="43"/>
      <c r="C884" s="243"/>
      <c r="D884" s="43"/>
      <c r="E884" s="43"/>
      <c r="F884" s="43"/>
      <c r="G884" s="43"/>
      <c r="H884" s="43"/>
      <c r="I884" s="43"/>
      <c r="J884" s="242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</row>
    <row r="885" spans="1:28">
      <c r="A885" s="43"/>
      <c r="B885" s="43"/>
      <c r="C885" s="243"/>
      <c r="D885" s="43"/>
      <c r="E885" s="43"/>
      <c r="F885" s="43"/>
      <c r="G885" s="43"/>
      <c r="H885" s="43"/>
      <c r="I885" s="43"/>
      <c r="J885" s="242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</row>
    <row r="886" spans="1:28">
      <c r="A886" s="43"/>
      <c r="B886" s="43"/>
      <c r="C886" s="243"/>
      <c r="D886" s="43"/>
      <c r="E886" s="43"/>
      <c r="F886" s="43"/>
      <c r="G886" s="43"/>
      <c r="H886" s="43"/>
      <c r="I886" s="43"/>
      <c r="J886" s="242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</row>
    <row r="887" spans="1:28">
      <c r="A887" s="43"/>
      <c r="B887" s="43"/>
      <c r="C887" s="243"/>
      <c r="D887" s="43"/>
      <c r="E887" s="43"/>
      <c r="F887" s="43"/>
      <c r="G887" s="43"/>
      <c r="H887" s="43"/>
      <c r="I887" s="43"/>
      <c r="J887" s="242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</row>
    <row r="888" spans="1:28">
      <c r="A888" s="43"/>
      <c r="B888" s="43"/>
      <c r="C888" s="243"/>
      <c r="D888" s="43"/>
      <c r="E888" s="43"/>
      <c r="F888" s="43"/>
      <c r="G888" s="43"/>
      <c r="H888" s="43"/>
      <c r="I888" s="43"/>
      <c r="J888" s="242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</row>
    <row r="889" spans="1:28">
      <c r="A889" s="43"/>
      <c r="B889" s="43"/>
      <c r="C889" s="243"/>
      <c r="D889" s="43"/>
      <c r="E889" s="43"/>
      <c r="F889" s="43"/>
      <c r="G889" s="43"/>
      <c r="H889" s="43"/>
      <c r="I889" s="43"/>
      <c r="J889" s="242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</row>
    <row r="890" spans="1:28">
      <c r="A890" s="43"/>
      <c r="B890" s="43"/>
      <c r="C890" s="243"/>
      <c r="D890" s="43"/>
      <c r="E890" s="43"/>
      <c r="F890" s="43"/>
      <c r="G890" s="43"/>
      <c r="H890" s="43"/>
      <c r="I890" s="43"/>
      <c r="J890" s="242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</row>
    <row r="891" spans="1:28">
      <c r="A891" s="43"/>
      <c r="B891" s="43"/>
      <c r="C891" s="243"/>
      <c r="D891" s="43"/>
      <c r="E891" s="43"/>
      <c r="F891" s="43"/>
      <c r="G891" s="43"/>
      <c r="H891" s="43"/>
      <c r="I891" s="43"/>
      <c r="J891" s="242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</row>
    <row r="892" spans="1:28">
      <c r="A892" s="43"/>
      <c r="B892" s="43"/>
      <c r="C892" s="243"/>
      <c r="D892" s="43"/>
      <c r="E892" s="43"/>
      <c r="F892" s="43"/>
      <c r="G892" s="43"/>
      <c r="H892" s="43"/>
      <c r="I892" s="43"/>
      <c r="J892" s="242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</row>
    <row r="893" spans="1:28">
      <c r="A893" s="43"/>
      <c r="B893" s="43"/>
      <c r="C893" s="243"/>
      <c r="D893" s="43"/>
      <c r="E893" s="43"/>
      <c r="F893" s="43"/>
      <c r="G893" s="43"/>
      <c r="H893" s="43"/>
      <c r="I893" s="43"/>
      <c r="J893" s="242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</row>
    <row r="894" spans="1:28">
      <c r="A894" s="43"/>
      <c r="B894" s="43"/>
      <c r="C894" s="243"/>
      <c r="D894" s="43"/>
      <c r="E894" s="43"/>
      <c r="F894" s="43"/>
      <c r="G894" s="43"/>
      <c r="H894" s="43"/>
      <c r="I894" s="43"/>
      <c r="J894" s="242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</row>
    <row r="895" spans="1:28">
      <c r="A895" s="43"/>
      <c r="B895" s="43"/>
      <c r="C895" s="243"/>
      <c r="D895" s="43"/>
      <c r="E895" s="43"/>
      <c r="F895" s="43"/>
      <c r="G895" s="43"/>
      <c r="H895" s="43"/>
      <c r="I895" s="43"/>
      <c r="J895" s="242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</row>
    <row r="896" spans="1:28">
      <c r="A896" s="43"/>
      <c r="B896" s="43"/>
      <c r="C896" s="243"/>
      <c r="D896" s="43"/>
      <c r="E896" s="43"/>
      <c r="F896" s="43"/>
      <c r="G896" s="43"/>
      <c r="H896" s="43"/>
      <c r="I896" s="43"/>
      <c r="J896" s="242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</row>
    <row r="897" spans="1:28">
      <c r="A897" s="43"/>
      <c r="B897" s="43"/>
      <c r="C897" s="243"/>
      <c r="D897" s="43"/>
      <c r="E897" s="43"/>
      <c r="F897" s="43"/>
      <c r="G897" s="43"/>
      <c r="H897" s="43"/>
      <c r="I897" s="43"/>
      <c r="J897" s="242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</row>
    <row r="898" spans="1:28">
      <c r="A898" s="43"/>
      <c r="B898" s="43"/>
      <c r="C898" s="243"/>
      <c r="D898" s="43"/>
      <c r="E898" s="43"/>
      <c r="F898" s="43"/>
      <c r="G898" s="43"/>
      <c r="H898" s="43"/>
      <c r="I898" s="43"/>
      <c r="J898" s="242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</row>
    <row r="899" spans="1:28">
      <c r="A899" s="43"/>
      <c r="B899" s="43"/>
      <c r="C899" s="243"/>
      <c r="D899" s="43"/>
      <c r="E899" s="43"/>
      <c r="F899" s="43"/>
      <c r="G899" s="43"/>
      <c r="H899" s="43"/>
      <c r="I899" s="43"/>
      <c r="J899" s="242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</row>
    <row r="900" spans="1:28">
      <c r="A900" s="43"/>
      <c r="B900" s="43"/>
      <c r="C900" s="243"/>
      <c r="D900" s="43"/>
      <c r="E900" s="43"/>
      <c r="F900" s="43"/>
      <c r="G900" s="43"/>
      <c r="H900" s="43"/>
      <c r="I900" s="43"/>
      <c r="J900" s="242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</row>
    <row r="901" spans="1:28">
      <c r="A901" s="43"/>
      <c r="B901" s="43"/>
      <c r="C901" s="243"/>
      <c r="D901" s="43"/>
      <c r="E901" s="43"/>
      <c r="F901" s="43"/>
      <c r="G901" s="43"/>
      <c r="H901" s="43"/>
      <c r="I901" s="43"/>
      <c r="J901" s="242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</row>
    <row r="902" spans="1:28">
      <c r="A902" s="43"/>
      <c r="B902" s="43"/>
      <c r="C902" s="243"/>
      <c r="D902" s="43"/>
      <c r="E902" s="43"/>
      <c r="F902" s="43"/>
      <c r="G902" s="43"/>
      <c r="H902" s="43"/>
      <c r="I902" s="43"/>
      <c r="J902" s="242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</row>
    <row r="903" spans="1:28">
      <c r="A903" s="43"/>
      <c r="B903" s="43"/>
      <c r="C903" s="243"/>
      <c r="D903" s="43"/>
      <c r="E903" s="43"/>
      <c r="F903" s="43"/>
      <c r="G903" s="43"/>
      <c r="H903" s="43"/>
      <c r="I903" s="43"/>
      <c r="J903" s="242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</row>
    <row r="904" spans="1:28">
      <c r="A904" s="43"/>
      <c r="B904" s="43"/>
      <c r="C904" s="243"/>
      <c r="D904" s="43"/>
      <c r="E904" s="43"/>
      <c r="F904" s="43"/>
      <c r="G904" s="43"/>
      <c r="H904" s="43"/>
      <c r="I904" s="43"/>
      <c r="J904" s="242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</row>
    <row r="905" spans="1:28">
      <c r="A905" s="43"/>
      <c r="B905" s="43"/>
      <c r="C905" s="243"/>
      <c r="D905" s="43"/>
      <c r="E905" s="43"/>
      <c r="F905" s="43"/>
      <c r="G905" s="43"/>
      <c r="H905" s="43"/>
      <c r="I905" s="43"/>
      <c r="J905" s="242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</row>
    <row r="906" spans="1:28">
      <c r="A906" s="43"/>
      <c r="B906" s="43"/>
      <c r="C906" s="243"/>
      <c r="D906" s="43"/>
      <c r="E906" s="43"/>
      <c r="F906" s="43"/>
      <c r="G906" s="43"/>
      <c r="H906" s="43"/>
      <c r="I906" s="43"/>
      <c r="J906" s="242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</row>
    <row r="907" spans="1:28">
      <c r="A907" s="43"/>
      <c r="B907" s="43"/>
      <c r="C907" s="243"/>
      <c r="D907" s="43"/>
      <c r="E907" s="43"/>
      <c r="F907" s="43"/>
      <c r="G907" s="43"/>
      <c r="H907" s="43"/>
      <c r="I907" s="43"/>
      <c r="J907" s="242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</row>
    <row r="908" spans="1:28">
      <c r="A908" s="43"/>
      <c r="B908" s="43"/>
      <c r="C908" s="243"/>
      <c r="D908" s="43"/>
      <c r="E908" s="43"/>
      <c r="F908" s="43"/>
      <c r="G908" s="43"/>
      <c r="H908" s="43"/>
      <c r="I908" s="43"/>
      <c r="J908" s="242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</row>
    <row r="909" spans="1:28">
      <c r="A909" s="43"/>
      <c r="B909" s="43"/>
      <c r="C909" s="243"/>
      <c r="D909" s="43"/>
      <c r="E909" s="43"/>
      <c r="F909" s="43"/>
      <c r="G909" s="43"/>
      <c r="H909" s="43"/>
      <c r="I909" s="43"/>
      <c r="J909" s="242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</row>
    <row r="910" spans="1:28">
      <c r="A910" s="43"/>
      <c r="B910" s="43"/>
      <c r="C910" s="243"/>
      <c r="D910" s="43"/>
      <c r="E910" s="43"/>
      <c r="F910" s="43"/>
      <c r="G910" s="43"/>
      <c r="H910" s="43"/>
      <c r="I910" s="43"/>
      <c r="J910" s="242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</row>
    <row r="911" spans="1:28">
      <c r="A911" s="43"/>
      <c r="B911" s="43"/>
      <c r="C911" s="243"/>
      <c r="D911" s="43"/>
      <c r="E911" s="43"/>
      <c r="F911" s="43"/>
      <c r="G911" s="43"/>
      <c r="H911" s="43"/>
      <c r="I911" s="43"/>
      <c r="J911" s="242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</row>
    <row r="912" spans="1:28">
      <c r="A912" s="43"/>
      <c r="B912" s="43"/>
      <c r="C912" s="243"/>
      <c r="D912" s="43"/>
      <c r="E912" s="43"/>
      <c r="F912" s="43"/>
      <c r="G912" s="43"/>
      <c r="H912" s="43"/>
      <c r="I912" s="43"/>
      <c r="J912" s="242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</row>
    <row r="913" spans="1:28">
      <c r="A913" s="43"/>
      <c r="B913" s="43"/>
      <c r="C913" s="243"/>
      <c r="D913" s="43"/>
      <c r="E913" s="43"/>
      <c r="F913" s="43"/>
      <c r="G913" s="43"/>
      <c r="H913" s="43"/>
      <c r="I913" s="43"/>
      <c r="J913" s="242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</row>
    <row r="914" spans="1:28">
      <c r="A914" s="43"/>
      <c r="B914" s="43"/>
      <c r="C914" s="243"/>
      <c r="D914" s="43"/>
      <c r="E914" s="43"/>
      <c r="F914" s="43"/>
      <c r="G914" s="43"/>
      <c r="H914" s="43"/>
      <c r="I914" s="43"/>
      <c r="J914" s="242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</row>
    <row r="915" spans="1:28">
      <c r="A915" s="43"/>
      <c r="B915" s="43"/>
      <c r="C915" s="243"/>
      <c r="D915" s="43"/>
      <c r="E915" s="43"/>
      <c r="F915" s="43"/>
      <c r="G915" s="43"/>
      <c r="H915" s="43"/>
      <c r="I915" s="43"/>
      <c r="J915" s="242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</row>
    <row r="916" spans="1:28">
      <c r="A916" s="43"/>
      <c r="B916" s="43"/>
      <c r="C916" s="243"/>
      <c r="D916" s="43"/>
      <c r="E916" s="43"/>
      <c r="F916" s="43"/>
      <c r="G916" s="43"/>
      <c r="H916" s="43"/>
      <c r="I916" s="43"/>
      <c r="J916" s="242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</row>
    <row r="917" spans="1:28">
      <c r="A917" s="43"/>
      <c r="B917" s="43"/>
      <c r="C917" s="243"/>
      <c r="D917" s="43"/>
      <c r="E917" s="43"/>
      <c r="F917" s="43"/>
      <c r="G917" s="43"/>
      <c r="H917" s="43"/>
      <c r="I917" s="43"/>
      <c r="J917" s="242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</row>
    <row r="918" spans="1:28">
      <c r="A918" s="43"/>
      <c r="B918" s="43"/>
      <c r="C918" s="243"/>
      <c r="D918" s="43"/>
      <c r="E918" s="43"/>
      <c r="F918" s="43"/>
      <c r="G918" s="43"/>
      <c r="H918" s="43"/>
      <c r="I918" s="43"/>
      <c r="J918" s="242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</row>
    <row r="919" spans="1:28">
      <c r="A919" s="43"/>
      <c r="B919" s="43"/>
      <c r="C919" s="243"/>
      <c r="D919" s="43"/>
      <c r="E919" s="43"/>
      <c r="F919" s="43"/>
      <c r="G919" s="43"/>
      <c r="H919" s="43"/>
      <c r="I919" s="43"/>
      <c r="J919" s="242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</row>
    <row r="920" spans="1:28">
      <c r="A920" s="43"/>
      <c r="B920" s="43"/>
      <c r="C920" s="243"/>
      <c r="D920" s="43"/>
      <c r="E920" s="43"/>
      <c r="F920" s="43"/>
      <c r="G920" s="43"/>
      <c r="H920" s="43"/>
      <c r="I920" s="43"/>
      <c r="J920" s="242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</row>
    <row r="921" spans="1:28">
      <c r="A921" s="43"/>
      <c r="B921" s="43"/>
      <c r="C921" s="243"/>
      <c r="D921" s="43"/>
      <c r="E921" s="43"/>
      <c r="F921" s="43"/>
      <c r="G921" s="43"/>
      <c r="H921" s="43"/>
      <c r="I921" s="43"/>
      <c r="J921" s="242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</row>
    <row r="922" spans="1:28">
      <c r="A922" s="43"/>
      <c r="B922" s="43"/>
      <c r="C922" s="243"/>
      <c r="D922" s="43"/>
      <c r="E922" s="43"/>
      <c r="F922" s="43"/>
      <c r="G922" s="43"/>
      <c r="H922" s="43"/>
      <c r="I922" s="43"/>
      <c r="J922" s="242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</row>
    <row r="923" spans="1:28">
      <c r="A923" s="43"/>
      <c r="B923" s="43"/>
      <c r="C923" s="243"/>
      <c r="D923" s="43"/>
      <c r="E923" s="43"/>
      <c r="F923" s="43"/>
      <c r="G923" s="43"/>
      <c r="H923" s="43"/>
      <c r="I923" s="43"/>
      <c r="J923" s="242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</row>
    <row r="924" spans="1:28">
      <c r="A924" s="43"/>
      <c r="B924" s="43"/>
      <c r="C924" s="243"/>
      <c r="D924" s="43"/>
      <c r="E924" s="43"/>
      <c r="F924" s="43"/>
      <c r="G924" s="43"/>
      <c r="H924" s="43"/>
      <c r="I924" s="43"/>
      <c r="J924" s="242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</row>
    <row r="925" spans="1:28">
      <c r="A925" s="43"/>
      <c r="B925" s="43"/>
      <c r="C925" s="243"/>
      <c r="D925" s="43"/>
      <c r="E925" s="43"/>
      <c r="F925" s="43"/>
      <c r="G925" s="43"/>
      <c r="H925" s="43"/>
      <c r="I925" s="43"/>
      <c r="J925" s="242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</row>
    <row r="926" spans="1:28">
      <c r="A926" s="43"/>
      <c r="B926" s="43"/>
      <c r="C926" s="243"/>
      <c r="D926" s="43"/>
      <c r="E926" s="43"/>
      <c r="F926" s="43"/>
      <c r="G926" s="43"/>
      <c r="H926" s="43"/>
      <c r="I926" s="43"/>
      <c r="J926" s="242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</row>
    <row r="927" spans="1:28">
      <c r="A927" s="43"/>
      <c r="B927" s="43"/>
      <c r="C927" s="243"/>
      <c r="D927" s="43"/>
      <c r="E927" s="43"/>
      <c r="F927" s="43"/>
      <c r="G927" s="43"/>
      <c r="H927" s="43"/>
      <c r="I927" s="43"/>
      <c r="J927" s="242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</row>
    <row r="928" spans="1:28">
      <c r="A928" s="43"/>
      <c r="B928" s="43"/>
      <c r="C928" s="243"/>
      <c r="D928" s="43"/>
      <c r="E928" s="43"/>
      <c r="F928" s="43"/>
      <c r="G928" s="43"/>
      <c r="H928" s="43"/>
      <c r="I928" s="43"/>
      <c r="J928" s="242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</row>
    <row r="929" spans="1:28">
      <c r="A929" s="43"/>
      <c r="B929" s="43"/>
      <c r="C929" s="243"/>
      <c r="D929" s="43"/>
      <c r="E929" s="43"/>
      <c r="F929" s="43"/>
      <c r="G929" s="43"/>
      <c r="H929" s="43"/>
      <c r="I929" s="43"/>
      <c r="J929" s="242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</row>
    <row r="930" spans="1:28">
      <c r="A930" s="43"/>
      <c r="B930" s="43"/>
      <c r="C930" s="243"/>
      <c r="D930" s="43"/>
      <c r="E930" s="43"/>
      <c r="F930" s="43"/>
      <c r="G930" s="43"/>
      <c r="H930" s="43"/>
      <c r="I930" s="43"/>
      <c r="J930" s="242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</row>
    <row r="931" spans="1:28">
      <c r="A931" s="43"/>
      <c r="B931" s="43"/>
      <c r="C931" s="243"/>
      <c r="D931" s="43"/>
      <c r="E931" s="43"/>
      <c r="F931" s="43"/>
      <c r="G931" s="43"/>
      <c r="H931" s="43"/>
      <c r="I931" s="43"/>
      <c r="J931" s="242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</row>
    <row r="932" spans="1:28">
      <c r="A932" s="43"/>
      <c r="B932" s="43"/>
      <c r="C932" s="243"/>
      <c r="D932" s="43"/>
      <c r="E932" s="43"/>
      <c r="F932" s="43"/>
      <c r="G932" s="43"/>
      <c r="H932" s="43"/>
      <c r="I932" s="43"/>
      <c r="J932" s="242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</row>
    <row r="933" spans="1:28">
      <c r="A933" s="43"/>
      <c r="B933" s="43"/>
      <c r="C933" s="243"/>
      <c r="D933" s="43"/>
      <c r="E933" s="43"/>
      <c r="F933" s="43"/>
      <c r="G933" s="43"/>
      <c r="H933" s="43"/>
      <c r="I933" s="43"/>
      <c r="J933" s="242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</row>
    <row r="934" spans="1:28">
      <c r="A934" s="43"/>
      <c r="B934" s="43"/>
      <c r="C934" s="243"/>
      <c r="D934" s="43"/>
      <c r="E934" s="43"/>
      <c r="F934" s="43"/>
      <c r="G934" s="43"/>
      <c r="H934" s="43"/>
      <c r="I934" s="43"/>
      <c r="J934" s="242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</row>
    <row r="935" spans="1:28">
      <c r="A935" s="43"/>
      <c r="B935" s="43"/>
      <c r="C935" s="243"/>
      <c r="D935" s="43"/>
      <c r="E935" s="43"/>
      <c r="F935" s="43"/>
      <c r="G935" s="43"/>
      <c r="H935" s="43"/>
      <c r="I935" s="43"/>
      <c r="J935" s="242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</row>
    <row r="936" spans="1:28">
      <c r="A936" s="43"/>
      <c r="B936" s="43"/>
      <c r="C936" s="243"/>
      <c r="D936" s="43"/>
      <c r="E936" s="43"/>
      <c r="F936" s="43"/>
      <c r="G936" s="43"/>
      <c r="H936" s="43"/>
      <c r="I936" s="43"/>
      <c r="J936" s="242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</row>
    <row r="937" spans="1:28">
      <c r="A937" s="43"/>
      <c r="B937" s="43"/>
      <c r="C937" s="243"/>
      <c r="D937" s="43"/>
      <c r="E937" s="43"/>
      <c r="F937" s="43"/>
      <c r="G937" s="43"/>
      <c r="H937" s="43"/>
      <c r="I937" s="43"/>
      <c r="J937" s="242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</row>
    <row r="938" spans="1:28">
      <c r="A938" s="43"/>
      <c r="B938" s="43"/>
      <c r="C938" s="243"/>
      <c r="D938" s="43"/>
      <c r="E938" s="43"/>
      <c r="F938" s="43"/>
      <c r="G938" s="43"/>
      <c r="H938" s="43"/>
      <c r="I938" s="43"/>
      <c r="J938" s="242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</row>
    <row r="939" spans="1:28">
      <c r="A939" s="43"/>
      <c r="B939" s="43"/>
      <c r="C939" s="243"/>
      <c r="D939" s="43"/>
      <c r="E939" s="43"/>
      <c r="F939" s="43"/>
      <c r="G939" s="43"/>
      <c r="H939" s="43"/>
      <c r="I939" s="43"/>
      <c r="J939" s="242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</row>
    <row r="940" spans="1:28">
      <c r="A940" s="43"/>
      <c r="B940" s="43"/>
      <c r="C940" s="243"/>
      <c r="D940" s="43"/>
      <c r="E940" s="43"/>
      <c r="F940" s="43"/>
      <c r="G940" s="43"/>
      <c r="H940" s="43"/>
      <c r="I940" s="43"/>
      <c r="J940" s="242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</row>
    <row r="941" spans="1:28">
      <c r="A941" s="43"/>
      <c r="B941" s="43"/>
      <c r="C941" s="243"/>
      <c r="D941" s="43"/>
      <c r="E941" s="43"/>
      <c r="F941" s="43"/>
      <c r="G941" s="43"/>
      <c r="H941" s="43"/>
      <c r="I941" s="43"/>
      <c r="J941" s="242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</row>
    <row r="942" spans="1:28">
      <c r="A942" s="43"/>
      <c r="B942" s="43"/>
      <c r="C942" s="243"/>
      <c r="D942" s="43"/>
      <c r="E942" s="43"/>
      <c r="F942" s="43"/>
      <c r="G942" s="43"/>
      <c r="H942" s="43"/>
      <c r="I942" s="43"/>
      <c r="J942" s="242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</row>
    <row r="943" spans="1:28">
      <c r="A943" s="43"/>
      <c r="B943" s="43"/>
      <c r="C943" s="243"/>
      <c r="D943" s="43"/>
      <c r="E943" s="43"/>
      <c r="F943" s="43"/>
      <c r="G943" s="43"/>
      <c r="H943" s="43"/>
      <c r="I943" s="43"/>
      <c r="J943" s="242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</row>
    <row r="944" spans="1:28">
      <c r="A944" s="43"/>
      <c r="B944" s="43"/>
      <c r="C944" s="243"/>
      <c r="D944" s="43"/>
      <c r="E944" s="43"/>
      <c r="F944" s="43"/>
      <c r="G944" s="43"/>
      <c r="H944" s="43"/>
      <c r="I944" s="43"/>
      <c r="J944" s="242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</row>
    <row r="945" spans="1:28">
      <c r="A945" s="43"/>
      <c r="B945" s="43"/>
      <c r="C945" s="243"/>
      <c r="D945" s="43"/>
      <c r="E945" s="43"/>
      <c r="F945" s="43"/>
      <c r="G945" s="43"/>
      <c r="H945" s="43"/>
      <c r="I945" s="43"/>
      <c r="J945" s="242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</row>
    <row r="946" spans="1:28">
      <c r="A946" s="43"/>
      <c r="B946" s="43"/>
      <c r="C946" s="243"/>
      <c r="D946" s="43"/>
      <c r="E946" s="43"/>
      <c r="F946" s="43"/>
      <c r="G946" s="43"/>
      <c r="H946" s="43"/>
      <c r="I946" s="43"/>
      <c r="J946" s="242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</row>
    <row r="947" spans="1:28">
      <c r="A947" s="43"/>
      <c r="B947" s="43"/>
      <c r="C947" s="243"/>
      <c r="D947" s="43"/>
      <c r="E947" s="43"/>
      <c r="F947" s="43"/>
      <c r="G947" s="43"/>
      <c r="H947" s="43"/>
      <c r="I947" s="43"/>
      <c r="J947" s="242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</row>
    <row r="948" spans="1:28">
      <c r="A948" s="43"/>
      <c r="B948" s="43"/>
      <c r="C948" s="243"/>
      <c r="D948" s="43"/>
      <c r="E948" s="43"/>
      <c r="F948" s="43"/>
      <c r="G948" s="43"/>
      <c r="H948" s="43"/>
      <c r="I948" s="43"/>
      <c r="J948" s="242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</row>
    <row r="949" spans="1:28">
      <c r="A949" s="43"/>
      <c r="B949" s="43"/>
      <c r="C949" s="243"/>
      <c r="D949" s="43"/>
      <c r="E949" s="43"/>
      <c r="F949" s="43"/>
      <c r="G949" s="43"/>
      <c r="H949" s="43"/>
      <c r="I949" s="43"/>
      <c r="J949" s="242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</row>
    <row r="950" spans="1:28">
      <c r="A950" s="43"/>
      <c r="B950" s="43"/>
      <c r="C950" s="243"/>
      <c r="D950" s="43"/>
      <c r="E950" s="43"/>
      <c r="F950" s="43"/>
      <c r="G950" s="43"/>
      <c r="H950" s="43"/>
      <c r="I950" s="43"/>
      <c r="J950" s="242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</row>
    <row r="951" spans="1:28">
      <c r="A951" s="43"/>
      <c r="B951" s="43"/>
      <c r="C951" s="243"/>
      <c r="D951" s="43"/>
      <c r="E951" s="43"/>
      <c r="F951" s="43"/>
      <c r="G951" s="43"/>
      <c r="H951" s="43"/>
      <c r="I951" s="43"/>
      <c r="J951" s="242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</row>
    <row r="952" spans="1:28">
      <c r="A952" s="43"/>
      <c r="B952" s="43"/>
      <c r="C952" s="243"/>
      <c r="D952" s="43"/>
      <c r="E952" s="43"/>
      <c r="F952" s="43"/>
      <c r="G952" s="43"/>
      <c r="H952" s="43"/>
      <c r="I952" s="43"/>
      <c r="J952" s="242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</row>
    <row r="953" spans="1:28">
      <c r="A953" s="43"/>
      <c r="B953" s="43"/>
      <c r="C953" s="243"/>
      <c r="D953" s="43"/>
      <c r="E953" s="43"/>
      <c r="F953" s="43"/>
      <c r="G953" s="43"/>
      <c r="H953" s="43"/>
      <c r="I953" s="43"/>
      <c r="J953" s="242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</row>
    <row r="954" spans="1:28">
      <c r="A954" s="43"/>
      <c r="B954" s="43"/>
      <c r="C954" s="243"/>
      <c r="D954" s="43"/>
      <c r="E954" s="43"/>
      <c r="F954" s="43"/>
      <c r="G954" s="43"/>
      <c r="H954" s="43"/>
      <c r="I954" s="43"/>
      <c r="J954" s="242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</row>
    <row r="955" spans="1:28">
      <c r="A955" s="43"/>
      <c r="B955" s="43"/>
      <c r="C955" s="243"/>
      <c r="D955" s="43"/>
      <c r="E955" s="43"/>
      <c r="F955" s="43"/>
      <c r="G955" s="43"/>
      <c r="H955" s="43"/>
      <c r="I955" s="43"/>
      <c r="J955" s="242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</row>
    <row r="956" spans="1:28">
      <c r="A956" s="43"/>
      <c r="B956" s="43"/>
      <c r="C956" s="243"/>
      <c r="D956" s="43"/>
      <c r="E956" s="43"/>
      <c r="F956" s="43"/>
      <c r="G956" s="43"/>
      <c r="H956" s="43"/>
      <c r="I956" s="43"/>
      <c r="J956" s="242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</row>
    <row r="957" spans="1:28">
      <c r="A957" s="43"/>
      <c r="B957" s="43"/>
      <c r="C957" s="243"/>
      <c r="D957" s="43"/>
      <c r="E957" s="43"/>
      <c r="F957" s="43"/>
      <c r="G957" s="43"/>
      <c r="H957" s="43"/>
      <c r="I957" s="43"/>
      <c r="J957" s="242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</row>
    <row r="958" spans="1:28">
      <c r="A958" s="43"/>
      <c r="B958" s="43"/>
      <c r="C958" s="243"/>
      <c r="D958" s="43"/>
      <c r="E958" s="43"/>
      <c r="F958" s="43"/>
      <c r="G958" s="43"/>
      <c r="H958" s="43"/>
      <c r="I958" s="43"/>
      <c r="J958" s="242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</row>
    <row r="959" spans="1:28">
      <c r="A959" s="43"/>
      <c r="B959" s="43"/>
      <c r="C959" s="243"/>
      <c r="D959" s="43"/>
      <c r="E959" s="43"/>
      <c r="F959" s="43"/>
      <c r="G959" s="43"/>
      <c r="H959" s="43"/>
      <c r="I959" s="43"/>
      <c r="J959" s="242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</row>
    <row r="960" spans="1:28">
      <c r="A960" s="43"/>
      <c r="B960" s="43"/>
      <c r="C960" s="243"/>
      <c r="D960" s="43"/>
      <c r="E960" s="43"/>
      <c r="F960" s="43"/>
      <c r="G960" s="43"/>
      <c r="H960" s="43"/>
      <c r="I960" s="43"/>
      <c r="J960" s="242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</row>
    <row r="961" spans="1:28">
      <c r="A961" s="43"/>
      <c r="B961" s="43"/>
      <c r="C961" s="243"/>
      <c r="D961" s="43"/>
      <c r="E961" s="43"/>
      <c r="F961" s="43"/>
      <c r="G961" s="43"/>
      <c r="H961" s="43"/>
      <c r="I961" s="43"/>
      <c r="J961" s="242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</row>
    <row r="962" spans="1:28">
      <c r="A962" s="43"/>
      <c r="B962" s="43"/>
      <c r="C962" s="243"/>
      <c r="D962" s="43"/>
      <c r="E962" s="43"/>
      <c r="F962" s="43"/>
      <c r="G962" s="43"/>
      <c r="H962" s="43"/>
      <c r="I962" s="43"/>
      <c r="J962" s="242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</row>
    <row r="963" spans="1:28">
      <c r="A963" s="43"/>
      <c r="B963" s="43"/>
      <c r="C963" s="243"/>
      <c r="D963" s="43"/>
      <c r="E963" s="43"/>
      <c r="F963" s="43"/>
      <c r="G963" s="43"/>
      <c r="H963" s="43"/>
      <c r="I963" s="43"/>
      <c r="J963" s="242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</row>
    <row r="964" spans="1:28">
      <c r="A964" s="43"/>
      <c r="B964" s="43"/>
      <c r="C964" s="243"/>
      <c r="D964" s="43"/>
      <c r="E964" s="43"/>
      <c r="F964" s="43"/>
      <c r="G964" s="43"/>
      <c r="H964" s="43"/>
      <c r="I964" s="43"/>
      <c r="J964" s="242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</row>
    <row r="965" spans="1:28">
      <c r="A965" s="43"/>
      <c r="B965" s="43"/>
      <c r="C965" s="243"/>
      <c r="D965" s="43"/>
      <c r="E965" s="43"/>
      <c r="F965" s="43"/>
      <c r="G965" s="43"/>
      <c r="H965" s="43"/>
      <c r="I965" s="43"/>
      <c r="J965" s="242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</row>
    <row r="966" spans="1:28">
      <c r="A966" s="43"/>
      <c r="B966" s="43"/>
      <c r="C966" s="243"/>
      <c r="D966" s="43"/>
      <c r="E966" s="43"/>
      <c r="F966" s="43"/>
      <c r="G966" s="43"/>
      <c r="H966" s="43"/>
      <c r="I966" s="43"/>
      <c r="J966" s="242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</row>
    <row r="967" spans="1:28">
      <c r="A967" s="43"/>
      <c r="B967" s="43"/>
      <c r="C967" s="243"/>
      <c r="D967" s="43"/>
      <c r="E967" s="43"/>
      <c r="F967" s="43"/>
      <c r="G967" s="43"/>
      <c r="H967" s="43"/>
      <c r="I967" s="43"/>
      <c r="J967" s="242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</row>
    <row r="968" spans="1:28">
      <c r="A968" s="43"/>
      <c r="B968" s="43"/>
      <c r="C968" s="243"/>
      <c r="D968" s="43"/>
      <c r="E968" s="43"/>
      <c r="F968" s="43"/>
      <c r="G968" s="43"/>
      <c r="H968" s="43"/>
      <c r="I968" s="43"/>
      <c r="J968" s="242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</row>
    <row r="969" spans="1:28">
      <c r="A969" s="43"/>
      <c r="B969" s="43"/>
      <c r="C969" s="243"/>
      <c r="D969" s="43"/>
      <c r="E969" s="43"/>
      <c r="F969" s="43"/>
      <c r="G969" s="43"/>
      <c r="H969" s="43"/>
      <c r="I969" s="43"/>
      <c r="J969" s="242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</row>
    <row r="970" spans="1:28">
      <c r="A970" s="43"/>
      <c r="B970" s="43"/>
      <c r="C970" s="243"/>
      <c r="D970" s="43"/>
      <c r="E970" s="43"/>
      <c r="F970" s="43"/>
      <c r="G970" s="43"/>
      <c r="H970" s="43"/>
      <c r="I970" s="43"/>
      <c r="J970" s="242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</row>
    <row r="971" spans="1:28">
      <c r="A971" s="43"/>
      <c r="B971" s="43"/>
      <c r="C971" s="243"/>
      <c r="D971" s="43"/>
      <c r="E971" s="43"/>
      <c r="F971" s="43"/>
      <c r="G971" s="43"/>
      <c r="H971" s="43"/>
      <c r="I971" s="43"/>
      <c r="J971" s="242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</row>
    <row r="972" spans="1:28">
      <c r="A972" s="43"/>
      <c r="B972" s="43"/>
      <c r="C972" s="243"/>
      <c r="D972" s="43"/>
      <c r="E972" s="43"/>
      <c r="F972" s="43"/>
      <c r="G972" s="43"/>
      <c r="H972" s="43"/>
      <c r="I972" s="43"/>
      <c r="J972" s="242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</row>
    <row r="973" spans="1:28">
      <c r="A973" s="43"/>
      <c r="B973" s="43"/>
      <c r="C973" s="243"/>
      <c r="D973" s="43"/>
      <c r="E973" s="43"/>
      <c r="F973" s="43"/>
      <c r="G973" s="43"/>
      <c r="H973" s="43"/>
      <c r="I973" s="43"/>
      <c r="J973" s="242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</row>
    <row r="974" spans="1:28">
      <c r="A974" s="43"/>
      <c r="B974" s="43"/>
      <c r="C974" s="243"/>
      <c r="D974" s="43"/>
      <c r="E974" s="43"/>
      <c r="F974" s="43"/>
      <c r="G974" s="43"/>
      <c r="H974" s="43"/>
      <c r="I974" s="43"/>
      <c r="J974" s="242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</row>
    <row r="975" spans="1:28">
      <c r="A975" s="43"/>
      <c r="B975" s="43"/>
      <c r="C975" s="243"/>
      <c r="D975" s="43"/>
      <c r="E975" s="43"/>
      <c r="F975" s="43"/>
      <c r="G975" s="43"/>
      <c r="H975" s="43"/>
      <c r="I975" s="43"/>
      <c r="J975" s="242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</row>
    <row r="976" spans="1:28">
      <c r="A976" s="43"/>
      <c r="B976" s="43"/>
      <c r="C976" s="243"/>
      <c r="D976" s="43"/>
      <c r="E976" s="43"/>
      <c r="F976" s="43"/>
      <c r="G976" s="43"/>
      <c r="H976" s="43"/>
      <c r="I976" s="43"/>
      <c r="J976" s="242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</row>
    <row r="977" spans="1:28">
      <c r="A977" s="43"/>
      <c r="B977" s="43"/>
      <c r="C977" s="243"/>
      <c r="D977" s="43"/>
      <c r="E977" s="43"/>
      <c r="F977" s="43"/>
      <c r="G977" s="43"/>
      <c r="H977" s="43"/>
      <c r="I977" s="43"/>
      <c r="J977" s="242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</row>
    <row r="978" spans="1:28">
      <c r="A978" s="43"/>
      <c r="B978" s="43"/>
      <c r="C978" s="243"/>
      <c r="D978" s="43"/>
      <c r="E978" s="43"/>
      <c r="F978" s="43"/>
      <c r="G978" s="43"/>
      <c r="H978" s="43"/>
      <c r="I978" s="43"/>
      <c r="J978" s="242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</row>
    <row r="979" spans="1:28">
      <c r="A979" s="43"/>
      <c r="B979" s="43"/>
      <c r="C979" s="243"/>
      <c r="D979" s="43"/>
      <c r="E979" s="43"/>
      <c r="F979" s="43"/>
      <c r="G979" s="43"/>
      <c r="H979" s="43"/>
      <c r="I979" s="43"/>
      <c r="J979" s="242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</row>
    <row r="980" spans="1:28">
      <c r="A980" s="43"/>
      <c r="B980" s="43"/>
      <c r="C980" s="243"/>
      <c r="D980" s="43"/>
      <c r="E980" s="43"/>
      <c r="F980" s="43"/>
      <c r="G980" s="43"/>
      <c r="H980" s="43"/>
      <c r="I980" s="43"/>
      <c r="J980" s="242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</row>
    <row r="981" spans="1:28">
      <c r="A981" s="43"/>
      <c r="B981" s="43"/>
      <c r="C981" s="243"/>
      <c r="D981" s="43"/>
      <c r="E981" s="43"/>
      <c r="F981" s="43"/>
      <c r="G981" s="43"/>
      <c r="H981" s="43"/>
      <c r="I981" s="43"/>
      <c r="J981" s="242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</row>
    <row r="982" spans="1:28">
      <c r="A982" s="43"/>
      <c r="B982" s="43"/>
      <c r="C982" s="243"/>
      <c r="D982" s="43"/>
      <c r="E982" s="43"/>
      <c r="F982" s="43"/>
      <c r="G982" s="43"/>
      <c r="H982" s="43"/>
      <c r="I982" s="43"/>
      <c r="J982" s="242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</row>
    <row r="983" spans="1:28">
      <c r="A983" s="43"/>
      <c r="B983" s="43"/>
      <c r="C983" s="243"/>
      <c r="D983" s="43"/>
      <c r="E983" s="43"/>
      <c r="F983" s="43"/>
      <c r="G983" s="43"/>
      <c r="H983" s="43"/>
      <c r="I983" s="43"/>
      <c r="J983" s="242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</row>
    <row r="984" spans="1:28">
      <c r="A984" s="43"/>
      <c r="B984" s="43"/>
      <c r="C984" s="243"/>
      <c r="D984" s="43"/>
      <c r="E984" s="43"/>
      <c r="F984" s="43"/>
      <c r="G984" s="43"/>
      <c r="H984" s="43"/>
      <c r="I984" s="43"/>
      <c r="J984" s="242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</row>
    <row r="985" spans="1:28">
      <c r="A985" s="43"/>
      <c r="B985" s="43"/>
      <c r="C985" s="243"/>
      <c r="D985" s="43"/>
      <c r="E985" s="43"/>
      <c r="F985" s="43"/>
      <c r="G985" s="43"/>
      <c r="H985" s="43"/>
      <c r="I985" s="43"/>
      <c r="J985" s="242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</row>
    <row r="986" spans="1:28">
      <c r="A986" s="43"/>
      <c r="B986" s="43"/>
      <c r="C986" s="243"/>
      <c r="D986" s="43"/>
      <c r="E986" s="43"/>
      <c r="F986" s="43"/>
      <c r="G986" s="43"/>
      <c r="H986" s="43"/>
      <c r="I986" s="43"/>
      <c r="J986" s="242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</row>
    <row r="987" spans="1:28">
      <c r="A987" s="43"/>
      <c r="B987" s="43"/>
      <c r="C987" s="243"/>
      <c r="D987" s="43"/>
      <c r="E987" s="43"/>
      <c r="F987" s="43"/>
      <c r="G987" s="43"/>
      <c r="H987" s="43"/>
      <c r="I987" s="43"/>
      <c r="J987" s="242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</row>
    <row r="988" spans="1:28">
      <c r="A988" s="43"/>
      <c r="B988" s="43"/>
      <c r="C988" s="243"/>
      <c r="D988" s="43"/>
      <c r="E988" s="43"/>
      <c r="F988" s="43"/>
      <c r="G988" s="43"/>
      <c r="H988" s="43"/>
      <c r="I988" s="43"/>
      <c r="J988" s="242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</row>
    <row r="989" spans="1:28">
      <c r="A989" s="43"/>
      <c r="B989" s="43"/>
      <c r="C989" s="243"/>
      <c r="D989" s="43"/>
      <c r="E989" s="43"/>
      <c r="F989" s="43"/>
      <c r="G989" s="43"/>
      <c r="H989" s="43"/>
      <c r="I989" s="43"/>
      <c r="J989" s="242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</row>
    <row r="990" spans="1:28">
      <c r="A990" s="43"/>
      <c r="B990" s="43"/>
      <c r="C990" s="243"/>
      <c r="D990" s="43"/>
      <c r="E990" s="43"/>
      <c r="F990" s="43"/>
      <c r="G990" s="43"/>
      <c r="H990" s="43"/>
      <c r="I990" s="43"/>
      <c r="J990" s="242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</row>
    <row r="991" spans="1:28">
      <c r="A991" s="43"/>
      <c r="B991" s="43"/>
      <c r="C991" s="243"/>
      <c r="D991" s="43"/>
      <c r="E991" s="43"/>
      <c r="F991" s="43"/>
      <c r="G991" s="43"/>
      <c r="H991" s="43"/>
      <c r="I991" s="43"/>
      <c r="J991" s="242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</row>
    <row r="992" spans="1:28">
      <c r="A992" s="43"/>
      <c r="B992" s="43"/>
      <c r="C992" s="243"/>
      <c r="D992" s="43"/>
      <c r="E992" s="43"/>
      <c r="F992" s="43"/>
      <c r="G992" s="43"/>
      <c r="H992" s="43"/>
      <c r="I992" s="43"/>
      <c r="J992" s="242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</row>
    <row r="993" spans="1:28">
      <c r="A993" s="43"/>
      <c r="B993" s="43"/>
      <c r="C993" s="243"/>
      <c r="D993" s="43"/>
      <c r="E993" s="43"/>
      <c r="F993" s="43"/>
      <c r="G993" s="43"/>
      <c r="H993" s="43"/>
      <c r="I993" s="43"/>
      <c r="J993" s="242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</row>
    <row r="994" spans="1:28">
      <c r="A994" s="43"/>
      <c r="B994" s="43"/>
      <c r="C994" s="243"/>
      <c r="D994" s="43"/>
      <c r="E994" s="43"/>
      <c r="F994" s="43"/>
      <c r="G994" s="43"/>
      <c r="H994" s="43"/>
      <c r="I994" s="43"/>
      <c r="J994" s="242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</row>
    <row r="995" spans="1:28">
      <c r="A995" s="43"/>
      <c r="B995" s="43"/>
      <c r="C995" s="243"/>
      <c r="D995" s="43"/>
      <c r="E995" s="43"/>
      <c r="F995" s="43"/>
      <c r="G995" s="43"/>
      <c r="H995" s="43"/>
      <c r="I995" s="43"/>
      <c r="J995" s="242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</row>
    <row r="996" spans="1:28">
      <c r="A996" s="43"/>
      <c r="B996" s="43"/>
      <c r="C996" s="243"/>
      <c r="D996" s="43"/>
      <c r="E996" s="43"/>
      <c r="F996" s="43"/>
      <c r="G996" s="43"/>
      <c r="H996" s="43"/>
      <c r="I996" s="43"/>
      <c r="J996" s="242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</row>
    <row r="997" spans="1:28">
      <c r="A997" s="43"/>
      <c r="B997" s="43"/>
      <c r="C997" s="243"/>
      <c r="D997" s="43"/>
      <c r="E997" s="43"/>
      <c r="F997" s="43"/>
      <c r="G997" s="43"/>
      <c r="H997" s="43"/>
      <c r="I997" s="43"/>
      <c r="J997" s="242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</row>
    <row r="998" spans="1:28">
      <c r="A998" s="43"/>
      <c r="B998" s="43"/>
      <c r="C998" s="243"/>
      <c r="D998" s="43"/>
      <c r="E998" s="43"/>
      <c r="F998" s="43"/>
      <c r="G998" s="43"/>
      <c r="H998" s="43"/>
      <c r="I998" s="43"/>
      <c r="J998" s="242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</row>
    <row r="999" spans="1:28">
      <c r="A999" s="43"/>
      <c r="B999" s="43"/>
      <c r="C999" s="243"/>
      <c r="D999" s="43"/>
      <c r="E999" s="43"/>
      <c r="F999" s="43"/>
      <c r="G999" s="43"/>
      <c r="H999" s="43"/>
      <c r="I999" s="43"/>
      <c r="J999" s="242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</row>
    <row r="1000" spans="1:28">
      <c r="A1000" s="43"/>
      <c r="B1000" s="43"/>
      <c r="C1000" s="243"/>
      <c r="D1000" s="43"/>
      <c r="E1000" s="43"/>
      <c r="F1000" s="43"/>
      <c r="G1000" s="43"/>
      <c r="H1000" s="43"/>
      <c r="I1000" s="43"/>
      <c r="J1000" s="242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</row>
  </sheetData>
  <mergeCells count="1"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03"/>
  <sheetViews>
    <sheetView workbookViewId="0"/>
  </sheetViews>
  <sheetFormatPr defaultColWidth="12.6640625" defaultRowHeight="15.75" customHeight="1"/>
  <cols>
    <col min="1" max="1" width="31.44140625" customWidth="1"/>
    <col min="2" max="2" width="29.33203125" customWidth="1"/>
    <col min="3" max="4" width="25.77734375" customWidth="1"/>
    <col min="5" max="5" width="26" customWidth="1"/>
    <col min="6" max="6" width="26.44140625" customWidth="1"/>
    <col min="7" max="7" width="26.6640625" customWidth="1"/>
    <col min="8" max="8" width="26.109375" customWidth="1"/>
    <col min="9" max="9" width="26.44140625" customWidth="1"/>
    <col min="10" max="10" width="26" customWidth="1"/>
    <col min="11" max="11" width="27.109375" customWidth="1"/>
    <col min="12" max="12" width="26.88671875" customWidth="1"/>
    <col min="13" max="13" width="27.33203125" customWidth="1"/>
    <col min="14" max="14" width="26.21875" customWidth="1"/>
    <col min="15" max="15" width="27.33203125" customWidth="1"/>
    <col min="16" max="16" width="21.77734375" customWidth="1"/>
    <col min="17" max="17" width="21.44140625" customWidth="1"/>
    <col min="18" max="18" width="21.21875" customWidth="1"/>
    <col min="19" max="19" width="22" customWidth="1"/>
  </cols>
  <sheetData>
    <row r="1" spans="1:31" ht="13.2">
      <c r="A1" s="12" t="s">
        <v>9</v>
      </c>
      <c r="B1" s="12"/>
      <c r="C1" s="12"/>
      <c r="D1" s="12" t="s">
        <v>18</v>
      </c>
      <c r="E1" s="12" t="s">
        <v>19</v>
      </c>
      <c r="F1" s="12" t="s">
        <v>20</v>
      </c>
      <c r="G1" s="12" t="s">
        <v>22</v>
      </c>
      <c r="H1" s="12" t="s">
        <v>18</v>
      </c>
      <c r="I1" s="12" t="s">
        <v>19</v>
      </c>
      <c r="J1" s="12" t="s">
        <v>20</v>
      </c>
      <c r="K1" s="12" t="s">
        <v>22</v>
      </c>
      <c r="L1" s="12" t="s">
        <v>18</v>
      </c>
      <c r="M1" s="12" t="s">
        <v>19</v>
      </c>
      <c r="N1" s="12" t="s">
        <v>20</v>
      </c>
      <c r="O1" s="12" t="s">
        <v>22</v>
      </c>
      <c r="P1" s="12" t="s">
        <v>18</v>
      </c>
      <c r="Q1" s="12" t="s">
        <v>19</v>
      </c>
      <c r="R1" s="12" t="s">
        <v>20</v>
      </c>
      <c r="S1" s="12" t="s">
        <v>22</v>
      </c>
      <c r="T1" s="12" t="s">
        <v>18</v>
      </c>
      <c r="U1" s="12" t="s">
        <v>19</v>
      </c>
      <c r="V1" s="12" t="s">
        <v>20</v>
      </c>
      <c r="W1" s="12" t="s">
        <v>22</v>
      </c>
      <c r="X1" s="12" t="s">
        <v>18</v>
      </c>
      <c r="Y1" s="12" t="s">
        <v>19</v>
      </c>
      <c r="Z1" s="12" t="s">
        <v>20</v>
      </c>
      <c r="AA1" s="12" t="s">
        <v>22</v>
      </c>
      <c r="AB1" s="12" t="s">
        <v>18</v>
      </c>
      <c r="AC1" s="12" t="s">
        <v>19</v>
      </c>
      <c r="AD1" s="12" t="s">
        <v>20</v>
      </c>
      <c r="AE1" s="12" t="s">
        <v>22</v>
      </c>
    </row>
    <row r="2" spans="1:31" ht="15.75" customHeight="1">
      <c r="A2" s="23" t="s">
        <v>30</v>
      </c>
      <c r="B2" s="24" t="s">
        <v>31</v>
      </c>
      <c r="C2" s="26" t="s">
        <v>32</v>
      </c>
      <c r="D2" s="26" t="s">
        <v>33</v>
      </c>
      <c r="E2" s="26" t="s">
        <v>34</v>
      </c>
      <c r="F2" s="26" t="s">
        <v>35</v>
      </c>
      <c r="G2" s="26" t="s">
        <v>36</v>
      </c>
      <c r="H2" s="23" t="s">
        <v>37</v>
      </c>
      <c r="I2" s="23" t="s">
        <v>38</v>
      </c>
      <c r="J2" s="23" t="s">
        <v>39</v>
      </c>
      <c r="K2" s="23" t="s">
        <v>41</v>
      </c>
      <c r="L2" s="26"/>
      <c r="M2" s="26"/>
      <c r="N2" s="26"/>
      <c r="O2" s="26"/>
      <c r="P2" s="26"/>
      <c r="Q2" s="26"/>
      <c r="R2" s="26"/>
      <c r="S2" s="26"/>
    </row>
    <row r="3" spans="1:31" ht="15.75" customHeight="1">
      <c r="A3" s="23" t="s">
        <v>42</v>
      </c>
      <c r="B3" s="32" t="s">
        <v>43</v>
      </c>
      <c r="C3" s="26" t="s">
        <v>45</v>
      </c>
      <c r="D3" s="26" t="s">
        <v>47</v>
      </c>
      <c r="E3" s="26" t="s">
        <v>48</v>
      </c>
      <c r="F3" s="26" t="s">
        <v>49</v>
      </c>
      <c r="G3" s="26" t="s">
        <v>50</v>
      </c>
      <c r="H3" s="23" t="s">
        <v>51</v>
      </c>
      <c r="I3" s="23" t="s">
        <v>52</v>
      </c>
      <c r="J3" s="23" t="s">
        <v>53</v>
      </c>
      <c r="K3" s="23" t="s">
        <v>54</v>
      </c>
    </row>
    <row r="4" spans="1:31" ht="15.75" customHeight="1">
      <c r="A4" s="23" t="s">
        <v>57</v>
      </c>
      <c r="B4" s="46" t="s">
        <v>60</v>
      </c>
      <c r="C4" s="26" t="s">
        <v>64</v>
      </c>
      <c r="D4" s="26" t="s">
        <v>65</v>
      </c>
      <c r="E4" s="26" t="s">
        <v>66</v>
      </c>
      <c r="F4" s="26" t="s">
        <v>67</v>
      </c>
      <c r="G4" s="26" t="s">
        <v>69</v>
      </c>
      <c r="H4" s="23" t="s">
        <v>71</v>
      </c>
      <c r="I4" s="23" t="s">
        <v>73</v>
      </c>
      <c r="J4" s="23" t="s">
        <v>75</v>
      </c>
      <c r="K4" s="23" t="s">
        <v>77</v>
      </c>
    </row>
    <row r="5" spans="1:31" ht="15.75" customHeight="1">
      <c r="A5" s="23" t="s">
        <v>76</v>
      </c>
      <c r="B5" s="51" t="s">
        <v>80</v>
      </c>
      <c r="C5" s="26" t="s">
        <v>82</v>
      </c>
      <c r="D5" s="26" t="s">
        <v>84</v>
      </c>
      <c r="E5" s="26" t="s">
        <v>85</v>
      </c>
      <c r="F5" s="26" t="s">
        <v>86</v>
      </c>
      <c r="G5" s="26" t="s">
        <v>87</v>
      </c>
      <c r="H5" s="23" t="s">
        <v>88</v>
      </c>
      <c r="I5" s="23" t="s">
        <v>89</v>
      </c>
      <c r="J5" s="23" t="s">
        <v>90</v>
      </c>
      <c r="K5" s="23" t="s">
        <v>70</v>
      </c>
    </row>
    <row r="6" spans="1:31" ht="15.75" customHeight="1">
      <c r="A6" s="23" t="s">
        <v>76</v>
      </c>
      <c r="B6" s="56" t="s">
        <v>92</v>
      </c>
      <c r="C6" s="26" t="s">
        <v>93</v>
      </c>
      <c r="D6" s="26" t="s">
        <v>94</v>
      </c>
      <c r="E6" s="26" t="s">
        <v>95</v>
      </c>
      <c r="F6" s="26" t="s">
        <v>96</v>
      </c>
      <c r="G6" s="26" t="s">
        <v>97</v>
      </c>
      <c r="H6" s="58" t="s">
        <v>98</v>
      </c>
      <c r="I6" s="58" t="s">
        <v>99</v>
      </c>
      <c r="J6" s="58" t="s">
        <v>100</v>
      </c>
      <c r="K6" s="58" t="s">
        <v>101</v>
      </c>
    </row>
    <row r="7" spans="1:31" ht="15.75" customHeight="1">
      <c r="A7" s="23" t="s">
        <v>81</v>
      </c>
      <c r="B7" s="24" t="s">
        <v>102</v>
      </c>
      <c r="C7" s="26" t="s">
        <v>32</v>
      </c>
      <c r="D7" s="26"/>
      <c r="E7" s="26"/>
      <c r="F7" s="26"/>
      <c r="G7" s="26"/>
      <c r="H7" s="23" t="s">
        <v>104</v>
      </c>
      <c r="I7" s="23" t="s">
        <v>105</v>
      </c>
      <c r="J7" s="23" t="s">
        <v>107</v>
      </c>
      <c r="K7" s="23" t="s">
        <v>108</v>
      </c>
    </row>
    <row r="8" spans="1:31" ht="15.75" customHeight="1">
      <c r="A8" s="61" t="s">
        <v>106</v>
      </c>
      <c r="B8" s="62" t="s">
        <v>109</v>
      </c>
      <c r="C8" s="26" t="s">
        <v>110</v>
      </c>
      <c r="D8" s="26" t="s">
        <v>111</v>
      </c>
      <c r="E8" s="26" t="s">
        <v>112</v>
      </c>
      <c r="F8" s="26" t="s">
        <v>113</v>
      </c>
      <c r="G8" s="26" t="s">
        <v>114</v>
      </c>
      <c r="H8" s="58" t="s">
        <v>115</v>
      </c>
      <c r="I8" s="58" t="s">
        <v>116</v>
      </c>
      <c r="J8" s="58" t="s">
        <v>117</v>
      </c>
      <c r="K8" s="58" t="s">
        <v>118</v>
      </c>
    </row>
    <row r="9" spans="1:31" ht="15.75" customHeight="1">
      <c r="A9" s="23" t="s">
        <v>119</v>
      </c>
      <c r="B9" s="46" t="s">
        <v>120</v>
      </c>
      <c r="C9" s="26" t="s">
        <v>64</v>
      </c>
      <c r="D9" s="26" t="s">
        <v>121</v>
      </c>
      <c r="E9" s="26" t="s">
        <v>122</v>
      </c>
      <c r="F9" s="26" t="s">
        <v>123</v>
      </c>
      <c r="G9" s="26" t="s">
        <v>125</v>
      </c>
      <c r="H9" s="23" t="s">
        <v>126</v>
      </c>
      <c r="I9" s="23" t="s">
        <v>127</v>
      </c>
      <c r="J9" s="23" t="s">
        <v>128</v>
      </c>
      <c r="K9" s="23" t="s">
        <v>129</v>
      </c>
    </row>
    <row r="10" spans="1:31" ht="15.75" customHeight="1">
      <c r="A10" s="52" t="s">
        <v>130</v>
      </c>
      <c r="B10" s="24" t="s">
        <v>131</v>
      </c>
      <c r="C10" s="26" t="s">
        <v>32</v>
      </c>
      <c r="D10" s="26" t="s">
        <v>132</v>
      </c>
      <c r="E10" s="26" t="s">
        <v>133</v>
      </c>
      <c r="F10" s="26" t="s">
        <v>134</v>
      </c>
      <c r="G10" s="26" t="s">
        <v>135</v>
      </c>
      <c r="H10" s="23" t="s">
        <v>136</v>
      </c>
      <c r="I10" s="23" t="s">
        <v>137</v>
      </c>
      <c r="J10" s="23" t="s">
        <v>138</v>
      </c>
      <c r="K10" s="23" t="s">
        <v>139</v>
      </c>
    </row>
    <row r="11" spans="1:31" ht="15.75" customHeight="1">
      <c r="A11" s="23" t="s">
        <v>130</v>
      </c>
      <c r="B11" s="62" t="s">
        <v>140</v>
      </c>
      <c r="C11" s="26" t="s">
        <v>110</v>
      </c>
      <c r="D11" s="26"/>
      <c r="E11" s="26"/>
      <c r="F11" s="26"/>
      <c r="G11" s="26"/>
      <c r="H11" s="58" t="s">
        <v>141</v>
      </c>
      <c r="I11" s="58" t="s">
        <v>142</v>
      </c>
      <c r="J11" s="58" t="s">
        <v>143</v>
      </c>
      <c r="K11" s="58" t="s">
        <v>144</v>
      </c>
    </row>
    <row r="12" spans="1:31" ht="15.75" customHeight="1">
      <c r="A12" s="23" t="s">
        <v>146</v>
      </c>
      <c r="B12" s="66" t="s">
        <v>147</v>
      </c>
      <c r="C12" s="26" t="s">
        <v>110</v>
      </c>
      <c r="D12" s="26" t="s">
        <v>148</v>
      </c>
      <c r="E12" s="26" t="s">
        <v>149</v>
      </c>
      <c r="F12" s="26" t="s">
        <v>150</v>
      </c>
      <c r="G12" s="26" t="s">
        <v>151</v>
      </c>
      <c r="H12" s="26" t="s">
        <v>152</v>
      </c>
      <c r="I12" s="26" t="s">
        <v>153</v>
      </c>
      <c r="J12" s="26" t="s">
        <v>154</v>
      </c>
      <c r="K12" s="26" t="s">
        <v>155</v>
      </c>
    </row>
    <row r="13" spans="1:31" ht="15.75" customHeight="1">
      <c r="A13" s="23" t="s">
        <v>156</v>
      </c>
      <c r="B13" s="66" t="s">
        <v>157</v>
      </c>
      <c r="C13" s="26" t="s">
        <v>32</v>
      </c>
      <c r="D13" s="26" t="s">
        <v>158</v>
      </c>
      <c r="E13" s="26" t="s">
        <v>159</v>
      </c>
      <c r="F13" s="26" t="s">
        <v>160</v>
      </c>
      <c r="G13" s="26" t="s">
        <v>161</v>
      </c>
      <c r="H13" s="23" t="s">
        <v>162</v>
      </c>
      <c r="I13" s="23" t="s">
        <v>163</v>
      </c>
      <c r="J13" s="23" t="s">
        <v>165</v>
      </c>
      <c r="K13" s="23" t="s">
        <v>166</v>
      </c>
    </row>
    <row r="14" spans="1:31" ht="15.75" customHeight="1">
      <c r="A14" s="23" t="s">
        <v>167</v>
      </c>
      <c r="B14" s="24" t="s">
        <v>168</v>
      </c>
      <c r="C14" s="26" t="s">
        <v>32</v>
      </c>
      <c r="D14" s="26"/>
      <c r="E14" s="26"/>
      <c r="F14" s="26"/>
      <c r="G14" s="26"/>
      <c r="H14" s="23" t="s">
        <v>169</v>
      </c>
      <c r="I14" s="23" t="s">
        <v>170</v>
      </c>
      <c r="J14" s="23" t="s">
        <v>171</v>
      </c>
      <c r="K14" s="23" t="s">
        <v>172</v>
      </c>
    </row>
    <row r="15" spans="1:31" ht="15.75" customHeight="1">
      <c r="A15" s="23" t="s">
        <v>173</v>
      </c>
      <c r="B15" s="24" t="s">
        <v>174</v>
      </c>
      <c r="C15" s="26" t="s">
        <v>32</v>
      </c>
      <c r="D15" s="26" t="s">
        <v>175</v>
      </c>
      <c r="E15" s="26" t="s">
        <v>176</v>
      </c>
      <c r="F15" s="26" t="s">
        <v>178</v>
      </c>
      <c r="G15" s="26" t="s">
        <v>179</v>
      </c>
      <c r="H15" s="23" t="s">
        <v>180</v>
      </c>
      <c r="I15" s="23" t="s">
        <v>181</v>
      </c>
      <c r="J15" s="23" t="s">
        <v>182</v>
      </c>
      <c r="K15" s="23" t="s">
        <v>183</v>
      </c>
    </row>
    <row r="16" spans="1:31" ht="15.75" customHeight="1">
      <c r="A16" s="23" t="s">
        <v>184</v>
      </c>
      <c r="B16" s="70" t="s">
        <v>185</v>
      </c>
      <c r="C16" s="26" t="s">
        <v>187</v>
      </c>
      <c r="D16" s="26" t="s">
        <v>188</v>
      </c>
      <c r="E16" s="26" t="s">
        <v>189</v>
      </c>
      <c r="F16" s="26" t="s">
        <v>190</v>
      </c>
      <c r="G16" s="26" t="s">
        <v>191</v>
      </c>
      <c r="H16" s="23" t="s">
        <v>192</v>
      </c>
      <c r="I16" s="23" t="s">
        <v>194</v>
      </c>
      <c r="J16" s="23" t="s">
        <v>195</v>
      </c>
      <c r="K16" s="23" t="s">
        <v>196</v>
      </c>
    </row>
    <row r="17" spans="1:31" ht="15.75" customHeight="1">
      <c r="A17" s="23" t="s">
        <v>197</v>
      </c>
      <c r="B17" s="71" t="s">
        <v>198</v>
      </c>
      <c r="C17" s="26" t="s">
        <v>64</v>
      </c>
      <c r="D17" s="26" t="s">
        <v>199</v>
      </c>
      <c r="E17" s="26" t="s">
        <v>200</v>
      </c>
      <c r="F17" s="26" t="s">
        <v>201</v>
      </c>
      <c r="G17" s="26" t="s">
        <v>202</v>
      </c>
      <c r="H17" s="23" t="s">
        <v>203</v>
      </c>
      <c r="I17" s="23" t="s">
        <v>204</v>
      </c>
      <c r="J17" s="23" t="s">
        <v>205</v>
      </c>
      <c r="K17" s="23" t="s">
        <v>206</v>
      </c>
    </row>
    <row r="18" spans="1:31" ht="15.75" customHeight="1">
      <c r="A18" s="23" t="s">
        <v>197</v>
      </c>
      <c r="B18" s="71" t="s">
        <v>207</v>
      </c>
      <c r="C18" s="26" t="s">
        <v>208</v>
      </c>
      <c r="D18" s="26"/>
      <c r="E18" s="26"/>
      <c r="F18" s="26"/>
      <c r="G18" s="26"/>
      <c r="H18" s="26" t="s">
        <v>209</v>
      </c>
      <c r="I18" s="26" t="s">
        <v>210</v>
      </c>
      <c r="J18" s="26" t="s">
        <v>211</v>
      </c>
      <c r="K18" s="26" t="s">
        <v>213</v>
      </c>
    </row>
    <row r="19" spans="1:31" ht="15.75" customHeight="1">
      <c r="A19" s="23" t="s">
        <v>214</v>
      </c>
      <c r="B19" s="24" t="s">
        <v>215</v>
      </c>
      <c r="C19" s="26" t="s">
        <v>32</v>
      </c>
      <c r="D19" s="26" t="s">
        <v>216</v>
      </c>
      <c r="E19" s="26" t="s">
        <v>217</v>
      </c>
      <c r="F19" s="26" t="s">
        <v>218</v>
      </c>
      <c r="G19" s="26" t="s">
        <v>219</v>
      </c>
      <c r="H19" s="23" t="s">
        <v>220</v>
      </c>
      <c r="I19" s="23" t="s">
        <v>221</v>
      </c>
      <c r="J19" s="23" t="s">
        <v>222</v>
      </c>
      <c r="K19" s="23" t="s">
        <v>223</v>
      </c>
    </row>
    <row r="20" spans="1:31" ht="15.75" customHeight="1">
      <c r="A20" s="23" t="s">
        <v>224</v>
      </c>
      <c r="B20" s="24" t="s">
        <v>226</v>
      </c>
      <c r="C20" s="26" t="s">
        <v>32</v>
      </c>
      <c r="D20" s="26"/>
      <c r="E20" s="26"/>
      <c r="F20" s="26"/>
      <c r="G20" s="26"/>
      <c r="H20" s="23" t="s">
        <v>227</v>
      </c>
      <c r="I20" s="23" t="s">
        <v>228</v>
      </c>
      <c r="J20" s="23" t="s">
        <v>229</v>
      </c>
      <c r="K20" s="23" t="s">
        <v>230</v>
      </c>
      <c r="AB20" s="23"/>
      <c r="AC20" s="23"/>
      <c r="AD20" s="23"/>
      <c r="AE20" s="74"/>
    </row>
    <row r="21" spans="1:31" ht="15.75" customHeight="1">
      <c r="A21" s="23" t="s">
        <v>234</v>
      </c>
      <c r="B21" s="62" t="s">
        <v>238</v>
      </c>
      <c r="C21" s="12" t="s">
        <v>32</v>
      </c>
      <c r="H21" s="23" t="s">
        <v>240</v>
      </c>
      <c r="I21" s="23" t="s">
        <v>241</v>
      </c>
      <c r="J21" s="23" t="s">
        <v>242</v>
      </c>
      <c r="K21" s="23" t="s">
        <v>243</v>
      </c>
    </row>
    <row r="22" spans="1:31" ht="15.75" customHeight="1">
      <c r="A22" s="23" t="s">
        <v>234</v>
      </c>
      <c r="B22" s="75" t="s">
        <v>245</v>
      </c>
      <c r="C22" s="12" t="s">
        <v>45</v>
      </c>
      <c r="H22" s="23" t="s">
        <v>247</v>
      </c>
      <c r="I22" s="23" t="s">
        <v>251</v>
      </c>
      <c r="J22" s="23" t="s">
        <v>252</v>
      </c>
      <c r="K22" s="23" t="s">
        <v>253</v>
      </c>
    </row>
    <row r="23" spans="1:31" ht="15.75" customHeight="1">
      <c r="A23" s="23" t="s">
        <v>234</v>
      </c>
      <c r="B23" s="77" t="s">
        <v>254</v>
      </c>
      <c r="C23" s="26" t="s">
        <v>187</v>
      </c>
      <c r="D23" s="26"/>
      <c r="E23" s="26"/>
      <c r="F23" s="26"/>
      <c r="G23" s="26"/>
      <c r="H23" s="23" t="s">
        <v>257</v>
      </c>
      <c r="I23" s="23" t="s">
        <v>258</v>
      </c>
      <c r="J23" s="23" t="s">
        <v>259</v>
      </c>
      <c r="K23" s="23" t="s">
        <v>260</v>
      </c>
    </row>
    <row r="24" spans="1:31" ht="15.75" customHeight="1">
      <c r="A24" s="23" t="s">
        <v>236</v>
      </c>
      <c r="B24" s="24" t="s">
        <v>263</v>
      </c>
      <c r="C24" s="26" t="s">
        <v>32</v>
      </c>
      <c r="D24" s="26"/>
      <c r="E24" s="26"/>
      <c r="F24" s="26"/>
      <c r="G24" s="26"/>
      <c r="H24" s="23" t="s">
        <v>264</v>
      </c>
      <c r="I24" s="23" t="s">
        <v>265</v>
      </c>
      <c r="J24" s="23" t="s">
        <v>267</v>
      </c>
      <c r="K24" s="23" t="s">
        <v>269</v>
      </c>
    </row>
    <row r="25" spans="1:31" ht="15.75" customHeight="1">
      <c r="A25" s="23" t="s">
        <v>239</v>
      </c>
      <c r="B25" s="24" t="s">
        <v>270</v>
      </c>
      <c r="C25" s="26" t="s">
        <v>82</v>
      </c>
      <c r="D25" s="26" t="s">
        <v>271</v>
      </c>
      <c r="E25" s="26" t="s">
        <v>272</v>
      </c>
      <c r="F25" s="26" t="s">
        <v>274</v>
      </c>
      <c r="G25" s="26" t="s">
        <v>275</v>
      </c>
      <c r="H25" s="26" t="s">
        <v>277</v>
      </c>
      <c r="I25" s="26" t="s">
        <v>278</v>
      </c>
      <c r="J25" s="26" t="s">
        <v>279</v>
      </c>
      <c r="K25" s="26" t="s">
        <v>280</v>
      </c>
    </row>
    <row r="26" spans="1:31" ht="15.75" customHeight="1">
      <c r="A26" s="23" t="s">
        <v>246</v>
      </c>
      <c r="B26" s="24" t="s">
        <v>282</v>
      </c>
      <c r="C26" s="26" t="s">
        <v>32</v>
      </c>
      <c r="D26" s="26" t="s">
        <v>283</v>
      </c>
      <c r="E26" s="26" t="s">
        <v>284</v>
      </c>
      <c r="F26" s="26" t="s">
        <v>285</v>
      </c>
      <c r="G26" s="26" t="s">
        <v>286</v>
      </c>
      <c r="H26" s="23" t="s">
        <v>287</v>
      </c>
      <c r="I26" s="23" t="s">
        <v>288</v>
      </c>
      <c r="J26" s="23" t="s">
        <v>289</v>
      </c>
      <c r="K26" s="23" t="s">
        <v>290</v>
      </c>
    </row>
    <row r="27" spans="1:31" ht="15.75" customHeight="1">
      <c r="A27" s="23" t="s">
        <v>246</v>
      </c>
      <c r="B27" s="62" t="s">
        <v>292</v>
      </c>
      <c r="C27" s="12" t="s">
        <v>110</v>
      </c>
      <c r="D27" s="26"/>
      <c r="E27" s="26"/>
      <c r="F27" s="26"/>
      <c r="G27" s="26"/>
      <c r="H27" s="26" t="s">
        <v>294</v>
      </c>
      <c r="I27" s="26" t="s">
        <v>295</v>
      </c>
      <c r="J27" s="26" t="s">
        <v>296</v>
      </c>
      <c r="K27" s="26" t="s">
        <v>297</v>
      </c>
    </row>
    <row r="28" spans="1:31" ht="15.6">
      <c r="A28" s="23" t="s">
        <v>250</v>
      </c>
      <c r="B28" s="79" t="s">
        <v>298</v>
      </c>
      <c r="C28" s="26" t="s">
        <v>301</v>
      </c>
      <c r="D28" s="26" t="s">
        <v>302</v>
      </c>
      <c r="E28" s="26" t="s">
        <v>303</v>
      </c>
      <c r="F28" s="26" t="s">
        <v>304</v>
      </c>
      <c r="G28" s="26" t="s">
        <v>305</v>
      </c>
      <c r="H28" s="61" t="s">
        <v>306</v>
      </c>
      <c r="I28" s="61" t="s">
        <v>308</v>
      </c>
      <c r="J28" s="61" t="s">
        <v>309</v>
      </c>
      <c r="K28" s="61" t="s">
        <v>310</v>
      </c>
    </row>
    <row r="29" spans="1:31" ht="15.6">
      <c r="A29" s="23" t="s">
        <v>256</v>
      </c>
      <c r="B29" s="80" t="s">
        <v>311</v>
      </c>
      <c r="C29" s="26" t="s">
        <v>313</v>
      </c>
      <c r="D29" s="26" t="s">
        <v>314</v>
      </c>
      <c r="E29" s="26" t="s">
        <v>315</v>
      </c>
      <c r="F29" s="26" t="s">
        <v>316</v>
      </c>
      <c r="G29" s="26" t="s">
        <v>317</v>
      </c>
      <c r="H29" s="23" t="s">
        <v>318</v>
      </c>
      <c r="I29" s="23" t="s">
        <v>319</v>
      </c>
      <c r="J29" s="23" t="s">
        <v>320</v>
      </c>
      <c r="K29" s="23" t="s">
        <v>321</v>
      </c>
    </row>
    <row r="30" spans="1:31" ht="15.6">
      <c r="A30" s="23" t="s">
        <v>262</v>
      </c>
      <c r="B30" s="81" t="s">
        <v>323</v>
      </c>
      <c r="C30" s="26" t="s">
        <v>324</v>
      </c>
      <c r="D30" s="26" t="s">
        <v>326</v>
      </c>
      <c r="E30" s="26" t="s">
        <v>327</v>
      </c>
      <c r="F30" s="26" t="s">
        <v>328</v>
      </c>
      <c r="G30" s="26" t="s">
        <v>329</v>
      </c>
      <c r="H30" s="23" t="s">
        <v>330</v>
      </c>
      <c r="I30" s="23" t="s">
        <v>331</v>
      </c>
      <c r="J30" s="23" t="s">
        <v>332</v>
      </c>
      <c r="K30" s="23" t="s">
        <v>333</v>
      </c>
      <c r="L30" s="26"/>
    </row>
    <row r="31" spans="1:31" ht="15.6">
      <c r="A31" s="23" t="s">
        <v>268</v>
      </c>
      <c r="B31" s="82" t="s">
        <v>336</v>
      </c>
      <c r="C31" s="26" t="s">
        <v>337</v>
      </c>
      <c r="D31" s="26" t="s">
        <v>338</v>
      </c>
      <c r="E31" s="26" t="s">
        <v>339</v>
      </c>
      <c r="F31" s="26" t="s">
        <v>340</v>
      </c>
      <c r="G31" s="26" t="s">
        <v>341</v>
      </c>
      <c r="H31" s="23" t="s">
        <v>342</v>
      </c>
      <c r="I31" s="23" t="s">
        <v>344</v>
      </c>
      <c r="J31" s="23" t="s">
        <v>345</v>
      </c>
      <c r="K31" s="23" t="s">
        <v>346</v>
      </c>
    </row>
    <row r="32" spans="1:31" ht="15.6">
      <c r="A32" s="23" t="s">
        <v>268</v>
      </c>
      <c r="B32" s="62" t="s">
        <v>347</v>
      </c>
      <c r="C32" s="26" t="s">
        <v>32</v>
      </c>
      <c r="D32" s="26" t="s">
        <v>349</v>
      </c>
      <c r="E32" s="26" t="s">
        <v>350</v>
      </c>
      <c r="F32" s="26" t="s">
        <v>351</v>
      </c>
      <c r="G32" s="26" t="s">
        <v>352</v>
      </c>
      <c r="H32" s="23" t="s">
        <v>353</v>
      </c>
      <c r="I32" s="23" t="s">
        <v>354</v>
      </c>
      <c r="J32" s="23" t="s">
        <v>355</v>
      </c>
      <c r="K32" s="23" t="s">
        <v>356</v>
      </c>
    </row>
    <row r="33" spans="1:11" ht="15.6">
      <c r="A33" s="23" t="s">
        <v>281</v>
      </c>
      <c r="B33" s="83" t="s">
        <v>357</v>
      </c>
      <c r="C33" s="26"/>
      <c r="D33" s="26"/>
      <c r="E33" s="26"/>
      <c r="F33" s="26"/>
      <c r="G33" s="26"/>
      <c r="H33" s="23"/>
      <c r="I33" s="23"/>
      <c r="J33" s="23"/>
      <c r="K33" s="23"/>
    </row>
    <row r="34" spans="1:11" ht="15.6">
      <c r="A34" s="23" t="s">
        <v>291</v>
      </c>
      <c r="B34" s="71" t="s">
        <v>360</v>
      </c>
      <c r="C34" s="26" t="s">
        <v>64</v>
      </c>
      <c r="D34" s="26" t="s">
        <v>361</v>
      </c>
      <c r="E34" s="26" t="s">
        <v>362</v>
      </c>
      <c r="F34" s="26" t="s">
        <v>364</v>
      </c>
      <c r="G34" s="26" t="s">
        <v>365</v>
      </c>
      <c r="H34" s="23" t="s">
        <v>366</v>
      </c>
      <c r="I34" s="23" t="s">
        <v>367</v>
      </c>
      <c r="J34" s="23" t="s">
        <v>368</v>
      </c>
      <c r="K34" s="23" t="s">
        <v>369</v>
      </c>
    </row>
    <row r="35" spans="1:11" ht="15.6">
      <c r="A35" s="23" t="s">
        <v>291</v>
      </c>
      <c r="B35" s="84" t="s">
        <v>371</v>
      </c>
      <c r="C35" s="26" t="s">
        <v>32</v>
      </c>
      <c r="D35" s="26" t="s">
        <v>372</v>
      </c>
      <c r="E35" s="26" t="s">
        <v>373</v>
      </c>
      <c r="F35" s="26" t="s">
        <v>374</v>
      </c>
      <c r="G35" s="26" t="s">
        <v>375</v>
      </c>
      <c r="H35" s="23" t="s">
        <v>376</v>
      </c>
      <c r="I35" s="23" t="s">
        <v>377</v>
      </c>
      <c r="J35" s="23" t="s">
        <v>378</v>
      </c>
      <c r="K35" s="23" t="s">
        <v>379</v>
      </c>
    </row>
    <row r="36" spans="1:11" ht="15.6">
      <c r="A36" s="23" t="s">
        <v>293</v>
      </c>
      <c r="B36" s="86" t="s">
        <v>381</v>
      </c>
      <c r="C36" s="26" t="s">
        <v>382</v>
      </c>
      <c r="D36" s="26" t="s">
        <v>383</v>
      </c>
      <c r="E36" s="26" t="s">
        <v>384</v>
      </c>
      <c r="F36" s="26" t="s">
        <v>385</v>
      </c>
      <c r="G36" s="26" t="s">
        <v>386</v>
      </c>
      <c r="H36" s="23" t="s">
        <v>387</v>
      </c>
      <c r="I36" s="23" t="s">
        <v>388</v>
      </c>
      <c r="J36" s="23" t="s">
        <v>389</v>
      </c>
      <c r="K36" s="23" t="s">
        <v>390</v>
      </c>
    </row>
    <row r="37" spans="1:11" ht="15.6">
      <c r="A37" s="23" t="s">
        <v>299</v>
      </c>
      <c r="B37" s="32" t="s">
        <v>392</v>
      </c>
      <c r="C37" s="26" t="s">
        <v>45</v>
      </c>
      <c r="D37" s="26" t="s">
        <v>393</v>
      </c>
      <c r="E37" s="26" t="s">
        <v>394</v>
      </c>
      <c r="F37" s="26" t="s">
        <v>395</v>
      </c>
      <c r="G37" s="26" t="s">
        <v>396</v>
      </c>
      <c r="H37" s="23" t="s">
        <v>397</v>
      </c>
      <c r="I37" s="23" t="s">
        <v>398</v>
      </c>
      <c r="J37" s="23" t="s">
        <v>399</v>
      </c>
      <c r="K37" s="23" t="s">
        <v>400</v>
      </c>
    </row>
    <row r="38" spans="1:11" ht="15.6">
      <c r="A38" s="61" t="s">
        <v>300</v>
      </c>
      <c r="B38" s="87" t="s">
        <v>401</v>
      </c>
      <c r="C38" s="26" t="s">
        <v>402</v>
      </c>
      <c r="D38" s="26" t="s">
        <v>403</v>
      </c>
      <c r="E38" s="26" t="s">
        <v>404</v>
      </c>
      <c r="F38" s="26" t="s">
        <v>405</v>
      </c>
      <c r="G38" s="26" t="s">
        <v>406</v>
      </c>
      <c r="H38" s="23" t="s">
        <v>407</v>
      </c>
      <c r="I38" s="23" t="s">
        <v>408</v>
      </c>
      <c r="J38" s="23" t="s">
        <v>409</v>
      </c>
      <c r="K38" s="61" t="s">
        <v>410</v>
      </c>
    </row>
    <row r="39" spans="1:11" ht="15.6">
      <c r="A39" s="23" t="s">
        <v>307</v>
      </c>
      <c r="B39" s="24" t="s">
        <v>411</v>
      </c>
      <c r="C39" s="26" t="s">
        <v>82</v>
      </c>
      <c r="D39" s="26" t="s">
        <v>412</v>
      </c>
      <c r="E39" s="26" t="s">
        <v>413</v>
      </c>
      <c r="F39" s="26" t="s">
        <v>414</v>
      </c>
      <c r="G39" s="26" t="s">
        <v>415</v>
      </c>
      <c r="H39" s="23" t="s">
        <v>416</v>
      </c>
      <c r="I39" s="23" t="s">
        <v>417</v>
      </c>
      <c r="J39" s="23" t="s">
        <v>418</v>
      </c>
      <c r="K39" s="23" t="s">
        <v>419</v>
      </c>
    </row>
    <row r="40" spans="1:11" ht="15.6">
      <c r="A40" s="23" t="s">
        <v>307</v>
      </c>
      <c r="B40" s="62" t="s">
        <v>420</v>
      </c>
      <c r="C40" s="26" t="s">
        <v>93</v>
      </c>
      <c r="D40" s="26" t="s">
        <v>421</v>
      </c>
      <c r="E40" s="26" t="s">
        <v>422</v>
      </c>
      <c r="F40" s="26" t="s">
        <v>423</v>
      </c>
      <c r="G40" s="26" t="s">
        <v>424</v>
      </c>
      <c r="H40" s="58" t="s">
        <v>425</v>
      </c>
      <c r="I40" s="58" t="s">
        <v>426</v>
      </c>
      <c r="J40" s="58" t="s">
        <v>427</v>
      </c>
      <c r="K40" s="58" t="s">
        <v>428</v>
      </c>
    </row>
    <row r="41" spans="1:11" ht="15.6">
      <c r="A41" s="23" t="s">
        <v>312</v>
      </c>
      <c r="B41" s="32" t="s">
        <v>429</v>
      </c>
      <c r="C41" s="26" t="s">
        <v>45</v>
      </c>
      <c r="D41" s="26" t="s">
        <v>430</v>
      </c>
      <c r="E41" s="26" t="s">
        <v>431</v>
      </c>
      <c r="F41" s="26" t="s">
        <v>432</v>
      </c>
      <c r="G41" s="26" t="s">
        <v>433</v>
      </c>
      <c r="H41" s="23" t="s">
        <v>434</v>
      </c>
      <c r="I41" s="23" t="s">
        <v>435</v>
      </c>
      <c r="J41" s="23" t="s">
        <v>436</v>
      </c>
      <c r="K41" s="23" t="s">
        <v>437</v>
      </c>
    </row>
    <row r="42" spans="1:11" ht="15.6">
      <c r="A42" s="23" t="s">
        <v>322</v>
      </c>
      <c r="B42" s="75" t="s">
        <v>438</v>
      </c>
      <c r="C42" s="26" t="s">
        <v>45</v>
      </c>
      <c r="D42" s="26" t="s">
        <v>439</v>
      </c>
      <c r="E42" s="26" t="s">
        <v>440</v>
      </c>
      <c r="F42" s="26" t="s">
        <v>441</v>
      </c>
      <c r="G42" s="26" t="s">
        <v>442</v>
      </c>
      <c r="H42" s="23" t="s">
        <v>443</v>
      </c>
      <c r="I42" s="23" t="s">
        <v>444</v>
      </c>
      <c r="J42" s="23" t="s">
        <v>445</v>
      </c>
      <c r="K42" s="23" t="s">
        <v>446</v>
      </c>
    </row>
    <row r="43" spans="1:11" ht="15.6">
      <c r="A43" s="23" t="s">
        <v>322</v>
      </c>
      <c r="B43" s="77" t="s">
        <v>447</v>
      </c>
      <c r="C43" s="26" t="s">
        <v>187</v>
      </c>
      <c r="D43" s="26" t="s">
        <v>448</v>
      </c>
      <c r="E43" s="26" t="s">
        <v>449</v>
      </c>
      <c r="F43" s="26" t="s">
        <v>450</v>
      </c>
      <c r="G43" s="26" t="s">
        <v>451</v>
      </c>
      <c r="H43" s="23" t="s">
        <v>452</v>
      </c>
      <c r="I43" s="23" t="s">
        <v>453</v>
      </c>
      <c r="J43" s="23" t="s">
        <v>454</v>
      </c>
      <c r="K43" s="23" t="s">
        <v>455</v>
      </c>
    </row>
    <row r="44" spans="1:11" ht="15.6">
      <c r="A44" s="23" t="s">
        <v>325</v>
      </c>
      <c r="B44" s="24" t="s">
        <v>456</v>
      </c>
      <c r="C44" s="26" t="s">
        <v>32</v>
      </c>
      <c r="D44" s="26" t="s">
        <v>457</v>
      </c>
      <c r="E44" s="26" t="s">
        <v>458</v>
      </c>
      <c r="F44" s="26" t="s">
        <v>459</v>
      </c>
      <c r="G44" s="26" t="s">
        <v>461</v>
      </c>
      <c r="H44" s="23" t="s">
        <v>462</v>
      </c>
      <c r="I44" s="23" t="s">
        <v>463</v>
      </c>
      <c r="J44" s="23" t="s">
        <v>464</v>
      </c>
      <c r="K44" s="23" t="s">
        <v>465</v>
      </c>
    </row>
    <row r="45" spans="1:11" ht="15.6">
      <c r="A45" s="23" t="s">
        <v>335</v>
      </c>
      <c r="B45" s="70" t="s">
        <v>466</v>
      </c>
      <c r="C45" s="26" t="s">
        <v>187</v>
      </c>
      <c r="D45" s="26" t="s">
        <v>467</v>
      </c>
      <c r="E45" s="26" t="s">
        <v>468</v>
      </c>
      <c r="F45" s="26" t="s">
        <v>469</v>
      </c>
      <c r="G45" s="26" t="s">
        <v>470</v>
      </c>
      <c r="H45" s="23" t="s">
        <v>471</v>
      </c>
      <c r="I45" s="23" t="s">
        <v>472</v>
      </c>
      <c r="J45" s="23" t="s">
        <v>473</v>
      </c>
      <c r="K45" s="23" t="s">
        <v>474</v>
      </c>
    </row>
    <row r="46" spans="1:11" ht="15.6">
      <c r="A46" s="23" t="s">
        <v>343</v>
      </c>
      <c r="B46" s="70" t="s">
        <v>476</v>
      </c>
      <c r="C46" s="26" t="s">
        <v>187</v>
      </c>
      <c r="D46" s="26" t="s">
        <v>477</v>
      </c>
      <c r="E46" s="26" t="s">
        <v>478</v>
      </c>
      <c r="F46" s="26" t="s">
        <v>479</v>
      </c>
      <c r="G46" s="26" t="s">
        <v>480</v>
      </c>
      <c r="H46" s="23" t="s">
        <v>481</v>
      </c>
      <c r="I46" s="23" t="s">
        <v>482</v>
      </c>
      <c r="J46" s="23" t="s">
        <v>483</v>
      </c>
      <c r="K46" s="23" t="s">
        <v>484</v>
      </c>
    </row>
    <row r="47" spans="1:11" ht="15.6">
      <c r="A47" s="23" t="s">
        <v>348</v>
      </c>
      <c r="B47" s="32" t="s">
        <v>485</v>
      </c>
      <c r="C47" s="26" t="s">
        <v>45</v>
      </c>
      <c r="D47" s="26" t="s">
        <v>486</v>
      </c>
      <c r="E47" s="26" t="s">
        <v>487</v>
      </c>
      <c r="F47" s="26" t="s">
        <v>488</v>
      </c>
      <c r="G47" s="26" t="s">
        <v>489</v>
      </c>
      <c r="H47" s="23" t="s">
        <v>490</v>
      </c>
      <c r="I47" s="23" t="s">
        <v>491</v>
      </c>
      <c r="J47" s="23" t="s">
        <v>78</v>
      </c>
      <c r="K47" s="23" t="s">
        <v>492</v>
      </c>
    </row>
    <row r="48" spans="1:11" ht="15.6">
      <c r="A48" s="23" t="s">
        <v>359</v>
      </c>
      <c r="B48" s="88" t="s">
        <v>493</v>
      </c>
      <c r="C48" s="26" t="s">
        <v>301</v>
      </c>
      <c r="D48" s="26" t="s">
        <v>494</v>
      </c>
      <c r="E48" s="26" t="s">
        <v>495</v>
      </c>
      <c r="F48" s="26" t="s">
        <v>496</v>
      </c>
      <c r="G48" s="26" t="s">
        <v>498</v>
      </c>
      <c r="H48" s="23" t="s">
        <v>499</v>
      </c>
      <c r="I48" s="23" t="s">
        <v>500</v>
      </c>
      <c r="J48" s="23" t="s">
        <v>501</v>
      </c>
      <c r="K48" s="23" t="s">
        <v>502</v>
      </c>
    </row>
    <row r="49" spans="1:19" ht="15.6">
      <c r="A49" s="23" t="s">
        <v>363</v>
      </c>
      <c r="B49" s="89" t="s">
        <v>503</v>
      </c>
      <c r="C49" s="26" t="s">
        <v>301</v>
      </c>
    </row>
    <row r="50" spans="1:19" ht="15.6">
      <c r="A50" s="23" t="s">
        <v>370</v>
      </c>
      <c r="B50" s="32" t="s">
        <v>504</v>
      </c>
      <c r="C50" s="26" t="s">
        <v>45</v>
      </c>
      <c r="D50" s="26" t="s">
        <v>505</v>
      </c>
      <c r="E50" s="26" t="s">
        <v>506</v>
      </c>
      <c r="F50" s="26" t="s">
        <v>507</v>
      </c>
      <c r="G50" s="26" t="s">
        <v>508</v>
      </c>
      <c r="H50" s="23" t="s">
        <v>509</v>
      </c>
      <c r="I50" s="23" t="s">
        <v>510</v>
      </c>
      <c r="J50" s="23" t="s">
        <v>511</v>
      </c>
      <c r="K50" s="23" t="s">
        <v>512</v>
      </c>
    </row>
    <row r="51" spans="1:19" ht="15.6">
      <c r="A51" s="23" t="s">
        <v>380</v>
      </c>
      <c r="B51" s="90" t="s">
        <v>513</v>
      </c>
      <c r="C51" s="26" t="s">
        <v>337</v>
      </c>
      <c r="D51" s="26" t="s">
        <v>514</v>
      </c>
      <c r="E51" s="26" t="s">
        <v>515</v>
      </c>
      <c r="F51" s="26" t="s">
        <v>516</v>
      </c>
      <c r="G51" s="26" t="s">
        <v>517</v>
      </c>
      <c r="H51" s="23" t="s">
        <v>518</v>
      </c>
      <c r="I51" s="23" t="s">
        <v>519</v>
      </c>
      <c r="J51" s="23" t="s">
        <v>520</v>
      </c>
      <c r="K51" s="23" t="s">
        <v>521</v>
      </c>
    </row>
    <row r="52" spans="1:19" ht="15.6">
      <c r="A52" s="23" t="s">
        <v>391</v>
      </c>
      <c r="B52" s="91" t="s">
        <v>522</v>
      </c>
      <c r="C52" s="26" t="s">
        <v>32</v>
      </c>
      <c r="D52" s="26" t="s">
        <v>524</v>
      </c>
      <c r="E52" s="26" t="s">
        <v>525</v>
      </c>
      <c r="F52" s="26" t="s">
        <v>526</v>
      </c>
      <c r="G52" s="26" t="s">
        <v>527</v>
      </c>
      <c r="H52" s="23" t="s">
        <v>528</v>
      </c>
      <c r="I52" s="23" t="s">
        <v>529</v>
      </c>
      <c r="J52" s="23" t="s">
        <v>530</v>
      </c>
      <c r="K52" s="23" t="s">
        <v>531</v>
      </c>
    </row>
    <row r="53" spans="1:19" ht="15.6">
      <c r="A53" s="23" t="s">
        <v>391</v>
      </c>
      <c r="B53" s="92" t="s">
        <v>532</v>
      </c>
      <c r="C53" s="26" t="s">
        <v>110</v>
      </c>
      <c r="H53" s="12" t="s">
        <v>533</v>
      </c>
      <c r="I53" s="12" t="s">
        <v>534</v>
      </c>
      <c r="J53" s="12" t="s">
        <v>535</v>
      </c>
      <c r="K53" s="12" t="s">
        <v>536</v>
      </c>
      <c r="L53" s="12" t="s">
        <v>538</v>
      </c>
      <c r="M53" s="12" t="s">
        <v>539</v>
      </c>
      <c r="N53" s="12" t="s">
        <v>540</v>
      </c>
      <c r="O53" s="12" t="s">
        <v>541</v>
      </c>
    </row>
    <row r="54" spans="1:19" ht="15.6">
      <c r="A54" s="23" t="s">
        <v>460</v>
      </c>
      <c r="B54" s="24" t="s">
        <v>542</v>
      </c>
      <c r="C54" s="26" t="s">
        <v>32</v>
      </c>
      <c r="D54" s="26"/>
      <c r="E54" s="26"/>
      <c r="F54" s="26"/>
      <c r="G54" s="26"/>
      <c r="H54" s="23" t="s">
        <v>543</v>
      </c>
      <c r="I54" s="23" t="s">
        <v>544</v>
      </c>
      <c r="J54" s="23" t="s">
        <v>545</v>
      </c>
      <c r="K54" s="23" t="s">
        <v>546</v>
      </c>
    </row>
    <row r="55" spans="1:19" ht="15.6">
      <c r="A55" s="23" t="s">
        <v>475</v>
      </c>
      <c r="B55" s="24" t="s">
        <v>547</v>
      </c>
      <c r="C55" s="26" t="s">
        <v>32</v>
      </c>
      <c r="D55" s="26"/>
      <c r="E55" s="26"/>
      <c r="F55" s="26"/>
      <c r="G55" s="26"/>
      <c r="H55" s="23" t="s">
        <v>548</v>
      </c>
      <c r="I55" s="23" t="s">
        <v>549</v>
      </c>
      <c r="J55" s="23" t="s">
        <v>550</v>
      </c>
      <c r="K55" s="23" t="s">
        <v>551</v>
      </c>
    </row>
    <row r="56" spans="1:19" ht="15.6">
      <c r="A56" s="23" t="s">
        <v>497</v>
      </c>
      <c r="B56" s="24" t="s">
        <v>553</v>
      </c>
      <c r="C56" s="26" t="s">
        <v>32</v>
      </c>
      <c r="D56" s="26" t="s">
        <v>554</v>
      </c>
      <c r="E56" s="26" t="s">
        <v>555</v>
      </c>
      <c r="F56" s="26" t="s">
        <v>556</v>
      </c>
      <c r="G56" s="26" t="s">
        <v>557</v>
      </c>
      <c r="H56" s="23" t="s">
        <v>558</v>
      </c>
      <c r="I56" s="23" t="s">
        <v>559</v>
      </c>
      <c r="J56" s="23" t="s">
        <v>560</v>
      </c>
      <c r="K56" s="23" t="s">
        <v>561</v>
      </c>
    </row>
    <row r="57" spans="1:19" ht="15.6">
      <c r="A57" s="23" t="s">
        <v>523</v>
      </c>
      <c r="B57" s="24" t="s">
        <v>562</v>
      </c>
      <c r="C57" s="12" t="s">
        <v>32</v>
      </c>
      <c r="H57" s="23" t="s">
        <v>563</v>
      </c>
      <c r="I57" s="23" t="s">
        <v>564</v>
      </c>
      <c r="J57" s="23" t="s">
        <v>565</v>
      </c>
      <c r="K57" s="23" t="s">
        <v>566</v>
      </c>
      <c r="L57" s="26"/>
      <c r="M57" s="26"/>
      <c r="N57" s="26"/>
      <c r="O57" s="26"/>
      <c r="P57" s="26"/>
      <c r="Q57" s="26"/>
      <c r="R57" s="26"/>
      <c r="S57" s="26"/>
    </row>
    <row r="58" spans="1:19" ht="15.6">
      <c r="A58" s="23" t="s">
        <v>537</v>
      </c>
      <c r="B58" s="24" t="s">
        <v>568</v>
      </c>
      <c r="C58" s="26" t="s">
        <v>32</v>
      </c>
      <c r="D58" s="26"/>
      <c r="E58" s="26"/>
      <c r="F58" s="26"/>
      <c r="G58" s="26"/>
      <c r="H58" s="23" t="s">
        <v>569</v>
      </c>
      <c r="I58" s="23" t="s">
        <v>570</v>
      </c>
      <c r="J58" s="23" t="s">
        <v>571</v>
      </c>
      <c r="K58" s="23" t="s">
        <v>572</v>
      </c>
    </row>
    <row r="59" spans="1:19" ht="15.6">
      <c r="A59" s="23" t="s">
        <v>552</v>
      </c>
      <c r="B59" s="24" t="s">
        <v>573</v>
      </c>
      <c r="C59" s="26" t="s">
        <v>32</v>
      </c>
      <c r="D59" s="26" t="s">
        <v>574</v>
      </c>
      <c r="E59" s="26" t="s">
        <v>575</v>
      </c>
      <c r="F59" s="26" t="s">
        <v>576</v>
      </c>
      <c r="G59" s="26" t="s">
        <v>577</v>
      </c>
      <c r="H59" s="23" t="s">
        <v>578</v>
      </c>
      <c r="I59" s="23" t="s">
        <v>579</v>
      </c>
      <c r="J59" s="23" t="s">
        <v>580</v>
      </c>
      <c r="K59" s="23" t="s">
        <v>581</v>
      </c>
    </row>
    <row r="60" spans="1:19" ht="15.6">
      <c r="A60" s="23" t="s">
        <v>567</v>
      </c>
      <c r="B60" s="46" t="s">
        <v>582</v>
      </c>
      <c r="C60" s="26" t="s">
        <v>64</v>
      </c>
      <c r="D60" s="26" t="s">
        <v>583</v>
      </c>
      <c r="E60" s="26" t="s">
        <v>584</v>
      </c>
      <c r="F60" s="26" t="s">
        <v>585</v>
      </c>
      <c r="G60" s="26" t="s">
        <v>586</v>
      </c>
      <c r="H60" s="23" t="s">
        <v>587</v>
      </c>
      <c r="I60" s="23" t="s">
        <v>588</v>
      </c>
      <c r="J60" s="23" t="s">
        <v>589</v>
      </c>
      <c r="K60" s="23" t="s">
        <v>590</v>
      </c>
      <c r="L60" s="58"/>
      <c r="M60" s="58"/>
      <c r="N60" s="58"/>
      <c r="O60" s="58"/>
    </row>
    <row r="61" spans="1:19" ht="15.6">
      <c r="A61" s="23" t="s">
        <v>567</v>
      </c>
      <c r="B61" s="71" t="s">
        <v>591</v>
      </c>
      <c r="C61" s="26" t="s">
        <v>208</v>
      </c>
      <c r="D61" s="26"/>
      <c r="E61" s="26"/>
      <c r="F61" s="26"/>
      <c r="G61" s="26"/>
      <c r="H61" s="58" t="s">
        <v>592</v>
      </c>
      <c r="I61" s="58" t="s">
        <v>593</v>
      </c>
      <c r="J61" s="58" t="s">
        <v>594</v>
      </c>
      <c r="K61" s="58" t="s">
        <v>595</v>
      </c>
    </row>
    <row r="62" spans="1:19" ht="15.6">
      <c r="A62" s="23" t="s">
        <v>596</v>
      </c>
      <c r="B62" s="93" t="s">
        <v>598</v>
      </c>
      <c r="C62" s="26" t="s">
        <v>32</v>
      </c>
      <c r="D62" s="26" t="s">
        <v>599</v>
      </c>
      <c r="E62" s="26" t="s">
        <v>600</v>
      </c>
      <c r="F62" s="26" t="s">
        <v>601</v>
      </c>
      <c r="G62" s="26" t="s">
        <v>602</v>
      </c>
      <c r="H62" s="23" t="s">
        <v>603</v>
      </c>
      <c r="I62" s="23" t="s">
        <v>604</v>
      </c>
      <c r="J62" s="23" t="s">
        <v>605</v>
      </c>
      <c r="K62" s="23" t="s">
        <v>606</v>
      </c>
    </row>
    <row r="63" spans="1:19" ht="15.6">
      <c r="A63" s="23" t="s">
        <v>596</v>
      </c>
      <c r="B63" s="84" t="s">
        <v>607</v>
      </c>
      <c r="C63" s="26" t="s">
        <v>110</v>
      </c>
      <c r="D63" s="58" t="s">
        <v>608</v>
      </c>
      <c r="E63" s="58" t="s">
        <v>609</v>
      </c>
      <c r="F63" s="58" t="s">
        <v>610</v>
      </c>
      <c r="G63" s="58" t="s">
        <v>611</v>
      </c>
      <c r="H63" s="23"/>
      <c r="I63" s="23"/>
      <c r="J63" s="23"/>
      <c r="K63" s="23"/>
    </row>
    <row r="64" spans="1:19" ht="15.6">
      <c r="A64" s="23" t="s">
        <v>612</v>
      </c>
      <c r="B64" s="94" t="s">
        <v>613</v>
      </c>
      <c r="C64" s="26" t="s">
        <v>614</v>
      </c>
      <c r="D64" s="26" t="s">
        <v>615</v>
      </c>
      <c r="E64" s="26" t="s">
        <v>616</v>
      </c>
      <c r="F64" s="26" t="s">
        <v>617</v>
      </c>
      <c r="G64" s="26" t="s">
        <v>618</v>
      </c>
      <c r="H64" s="95" t="s">
        <v>619</v>
      </c>
      <c r="I64" s="23" t="s">
        <v>620</v>
      </c>
      <c r="J64" s="23" t="s">
        <v>621</v>
      </c>
      <c r="K64" s="23" t="s">
        <v>622</v>
      </c>
    </row>
    <row r="65" spans="1:15" ht="15.6">
      <c r="A65" s="23" t="s">
        <v>623</v>
      </c>
      <c r="B65" s="32" t="s">
        <v>624</v>
      </c>
      <c r="C65" s="26" t="s">
        <v>45</v>
      </c>
      <c r="D65" s="26" t="s">
        <v>625</v>
      </c>
      <c r="E65" s="26" t="s">
        <v>626</v>
      </c>
      <c r="F65" s="26" t="s">
        <v>627</v>
      </c>
      <c r="G65" s="26" t="s">
        <v>628</v>
      </c>
      <c r="H65" s="23" t="s">
        <v>629</v>
      </c>
      <c r="I65" s="23" t="s">
        <v>630</v>
      </c>
      <c r="J65" s="23" t="s">
        <v>631</v>
      </c>
      <c r="K65" s="23" t="s">
        <v>632</v>
      </c>
      <c r="L65" s="58" t="s">
        <v>633</v>
      </c>
      <c r="M65" s="58" t="s">
        <v>634</v>
      </c>
      <c r="N65" s="58" t="s">
        <v>635</v>
      </c>
      <c r="O65" s="58" t="s">
        <v>636</v>
      </c>
    </row>
    <row r="66" spans="1:15" ht="15.6">
      <c r="A66" s="23" t="s">
        <v>637</v>
      </c>
      <c r="B66" s="24" t="s">
        <v>638</v>
      </c>
      <c r="C66" s="26" t="s">
        <v>32</v>
      </c>
      <c r="D66" s="26" t="s">
        <v>639</v>
      </c>
      <c r="E66" s="26" t="s">
        <v>640</v>
      </c>
      <c r="F66" s="26" t="s">
        <v>641</v>
      </c>
      <c r="G66" s="26" t="s">
        <v>642</v>
      </c>
      <c r="H66" s="23" t="s">
        <v>643</v>
      </c>
      <c r="I66" s="23" t="s">
        <v>644</v>
      </c>
      <c r="J66" s="23" t="s">
        <v>645</v>
      </c>
      <c r="K66" s="23" t="s">
        <v>646</v>
      </c>
    </row>
    <row r="67" spans="1:15" ht="15.6">
      <c r="A67" s="23" t="s">
        <v>647</v>
      </c>
      <c r="B67" s="46" t="s">
        <v>648</v>
      </c>
      <c r="C67" s="26" t="s">
        <v>64</v>
      </c>
      <c r="D67" s="26" t="s">
        <v>649</v>
      </c>
      <c r="E67" s="26" t="s">
        <v>650</v>
      </c>
      <c r="F67" s="26" t="s">
        <v>651</v>
      </c>
      <c r="G67" s="26" t="s">
        <v>652</v>
      </c>
      <c r="H67" s="23" t="s">
        <v>653</v>
      </c>
      <c r="I67" s="23" t="s">
        <v>654</v>
      </c>
      <c r="J67" s="23" t="s">
        <v>655</v>
      </c>
      <c r="K67" s="23" t="s">
        <v>656</v>
      </c>
    </row>
    <row r="68" spans="1:15" ht="15.6">
      <c r="A68" s="23" t="s">
        <v>657</v>
      </c>
      <c r="B68" s="96" t="s">
        <v>658</v>
      </c>
      <c r="C68" s="26" t="s">
        <v>614</v>
      </c>
      <c r="D68" s="26" t="s">
        <v>659</v>
      </c>
      <c r="E68" s="26" t="s">
        <v>660</v>
      </c>
      <c r="F68" s="26" t="s">
        <v>661</v>
      </c>
      <c r="G68" s="26" t="s">
        <v>662</v>
      </c>
      <c r="H68" s="23" t="s">
        <v>663</v>
      </c>
      <c r="I68" s="23" t="s">
        <v>664</v>
      </c>
      <c r="J68" s="23" t="s">
        <v>665</v>
      </c>
      <c r="K68" s="23" t="s">
        <v>666</v>
      </c>
    </row>
    <row r="69" spans="1:15" ht="15.6">
      <c r="A69" s="23" t="s">
        <v>657</v>
      </c>
      <c r="B69" s="98" t="s">
        <v>668</v>
      </c>
      <c r="C69" s="26" t="s">
        <v>402</v>
      </c>
      <c r="D69" s="26" t="s">
        <v>669</v>
      </c>
      <c r="E69" s="26" t="s">
        <v>671</v>
      </c>
      <c r="F69" s="26" t="s">
        <v>672</v>
      </c>
      <c r="G69" s="26" t="s">
        <v>673</v>
      </c>
      <c r="H69" s="23" t="s">
        <v>674</v>
      </c>
      <c r="I69" s="23" t="s">
        <v>675</v>
      </c>
      <c r="J69" s="23" t="s">
        <v>676</v>
      </c>
      <c r="K69" s="23" t="s">
        <v>677</v>
      </c>
    </row>
    <row r="70" spans="1:15" ht="15.6">
      <c r="A70" s="23" t="s">
        <v>670</v>
      </c>
      <c r="B70" s="77" t="s">
        <v>678</v>
      </c>
      <c r="C70" s="26" t="s">
        <v>187</v>
      </c>
      <c r="D70" s="26" t="s">
        <v>679</v>
      </c>
      <c r="E70" s="26" t="s">
        <v>680</v>
      </c>
      <c r="F70" s="26" t="s">
        <v>681</v>
      </c>
      <c r="G70" s="26" t="s">
        <v>683</v>
      </c>
      <c r="H70" s="23" t="s">
        <v>684</v>
      </c>
      <c r="I70" s="23" t="s">
        <v>685</v>
      </c>
      <c r="J70" s="23" t="s">
        <v>686</v>
      </c>
      <c r="K70" s="61" t="s">
        <v>687</v>
      </c>
    </row>
    <row r="71" spans="1:15" ht="15.6">
      <c r="A71" s="23" t="s">
        <v>670</v>
      </c>
      <c r="B71" s="75" t="s">
        <v>688</v>
      </c>
      <c r="C71" s="26" t="s">
        <v>45</v>
      </c>
      <c r="D71" s="26" t="s">
        <v>689</v>
      </c>
      <c r="E71" s="26" t="s">
        <v>690</v>
      </c>
      <c r="F71" s="26" t="s">
        <v>691</v>
      </c>
      <c r="G71" s="26" t="s">
        <v>692</v>
      </c>
    </row>
    <row r="72" spans="1:15" ht="15.6">
      <c r="A72" s="61" t="s">
        <v>682</v>
      </c>
      <c r="B72" s="62" t="s">
        <v>695</v>
      </c>
      <c r="C72" s="26" t="s">
        <v>110</v>
      </c>
      <c r="D72" s="26" t="s">
        <v>696</v>
      </c>
      <c r="E72" s="26" t="s">
        <v>697</v>
      </c>
      <c r="F72" s="26" t="s">
        <v>698</v>
      </c>
      <c r="G72" s="26" t="s">
        <v>699</v>
      </c>
      <c r="H72" s="58" t="s">
        <v>700</v>
      </c>
      <c r="I72" s="58" t="s">
        <v>701</v>
      </c>
      <c r="J72" s="58" t="s">
        <v>702</v>
      </c>
      <c r="K72" s="58" t="s">
        <v>703</v>
      </c>
    </row>
    <row r="73" spans="1:15" ht="15.6">
      <c r="A73" s="23" t="s">
        <v>693</v>
      </c>
      <c r="B73" s="101" t="s">
        <v>704</v>
      </c>
      <c r="C73" s="26" t="s">
        <v>301</v>
      </c>
      <c r="D73" s="26" t="s">
        <v>706</v>
      </c>
      <c r="E73" s="26" t="s">
        <v>707</v>
      </c>
      <c r="F73" s="26" t="s">
        <v>708</v>
      </c>
      <c r="G73" s="26" t="s">
        <v>709</v>
      </c>
      <c r="H73" s="23" t="s">
        <v>710</v>
      </c>
      <c r="I73" s="23" t="s">
        <v>711</v>
      </c>
      <c r="J73" s="61" t="s">
        <v>712</v>
      </c>
      <c r="K73" s="23" t="s">
        <v>713</v>
      </c>
    </row>
    <row r="74" spans="1:15" ht="15.6">
      <c r="A74" s="23" t="s">
        <v>705</v>
      </c>
      <c r="B74" s="80" t="s">
        <v>714</v>
      </c>
      <c r="C74" s="26" t="s">
        <v>313</v>
      </c>
      <c r="D74" s="26" t="s">
        <v>715</v>
      </c>
      <c r="E74" s="26" t="s">
        <v>716</v>
      </c>
      <c r="F74" s="26" t="s">
        <v>717</v>
      </c>
      <c r="G74" s="26" t="s">
        <v>718</v>
      </c>
      <c r="H74" s="23" t="s">
        <v>719</v>
      </c>
      <c r="I74" s="23" t="s">
        <v>720</v>
      </c>
      <c r="J74" s="23" t="s">
        <v>721</v>
      </c>
      <c r="K74" s="23" t="s">
        <v>723</v>
      </c>
    </row>
    <row r="75" spans="1:15" ht="15.6">
      <c r="A75" s="23" t="s">
        <v>722</v>
      </c>
      <c r="B75" s="86" t="s">
        <v>724</v>
      </c>
      <c r="C75" s="26" t="s">
        <v>382</v>
      </c>
      <c r="D75" s="26" t="s">
        <v>725</v>
      </c>
      <c r="E75" s="26" t="s">
        <v>726</v>
      </c>
      <c r="F75" s="26" t="s">
        <v>727</v>
      </c>
      <c r="G75" s="26" t="s">
        <v>728</v>
      </c>
      <c r="H75" s="23" t="s">
        <v>729</v>
      </c>
      <c r="I75" s="23" t="s">
        <v>730</v>
      </c>
      <c r="J75" s="23" t="s">
        <v>731</v>
      </c>
      <c r="K75" s="23" t="s">
        <v>732</v>
      </c>
    </row>
    <row r="76" spans="1:15" ht="15.6">
      <c r="A76" s="23" t="s">
        <v>733</v>
      </c>
      <c r="B76" s="46" t="s">
        <v>734</v>
      </c>
      <c r="C76" s="12" t="s">
        <v>208</v>
      </c>
      <c r="D76" s="26" t="s">
        <v>735</v>
      </c>
      <c r="E76" s="26" t="s">
        <v>736</v>
      </c>
      <c r="F76" s="26" t="s">
        <v>737</v>
      </c>
      <c r="G76" s="26" t="s">
        <v>738</v>
      </c>
      <c r="H76" s="26" t="s">
        <v>739</v>
      </c>
      <c r="I76" s="26" t="s">
        <v>740</v>
      </c>
      <c r="J76" s="26" t="s">
        <v>741</v>
      </c>
      <c r="K76" s="26" t="s">
        <v>742</v>
      </c>
    </row>
    <row r="77" spans="1:15" ht="15.6">
      <c r="A77" s="35" t="s">
        <v>743</v>
      </c>
      <c r="B77" s="103" t="s">
        <v>744</v>
      </c>
      <c r="C77" s="26" t="s">
        <v>745</v>
      </c>
      <c r="D77" s="26" t="s">
        <v>746</v>
      </c>
      <c r="E77" s="26" t="s">
        <v>747</v>
      </c>
      <c r="F77" s="26" t="s">
        <v>748</v>
      </c>
      <c r="G77" s="26" t="s">
        <v>749</v>
      </c>
      <c r="H77" s="58" t="s">
        <v>750</v>
      </c>
      <c r="I77" s="58" t="s">
        <v>751</v>
      </c>
      <c r="J77" s="58" t="s">
        <v>752</v>
      </c>
      <c r="K77" s="58" t="s">
        <v>753</v>
      </c>
    </row>
    <row r="78" spans="1:15" ht="15.6">
      <c r="A78" s="44" t="s">
        <v>754</v>
      </c>
      <c r="B78" s="101" t="s">
        <v>755</v>
      </c>
      <c r="C78" s="26" t="s">
        <v>301</v>
      </c>
      <c r="D78" s="26" t="s">
        <v>756</v>
      </c>
      <c r="E78" s="26" t="s">
        <v>757</v>
      </c>
      <c r="F78" s="26" t="s">
        <v>758</v>
      </c>
      <c r="G78" s="26" t="s">
        <v>759</v>
      </c>
      <c r="H78" s="58" t="s">
        <v>760</v>
      </c>
      <c r="I78" s="58" t="s">
        <v>762</v>
      </c>
      <c r="J78" s="58" t="s">
        <v>763</v>
      </c>
      <c r="K78" s="58" t="s">
        <v>764</v>
      </c>
    </row>
    <row r="79" spans="1:15" ht="15.6">
      <c r="A79" s="35" t="s">
        <v>761</v>
      </c>
      <c r="B79" s="94" t="s">
        <v>765</v>
      </c>
      <c r="C79" s="12" t="s">
        <v>614</v>
      </c>
      <c r="D79" s="26" t="s">
        <v>767</v>
      </c>
      <c r="E79" s="26" t="s">
        <v>769</v>
      </c>
      <c r="F79" s="26" t="s">
        <v>770</v>
      </c>
      <c r="G79" s="26" t="s">
        <v>771</v>
      </c>
    </row>
    <row r="80" spans="1:15" ht="15.6">
      <c r="A80" s="35" t="s">
        <v>766</v>
      </c>
      <c r="B80" s="105" t="s">
        <v>772</v>
      </c>
      <c r="C80" s="26" t="s">
        <v>402</v>
      </c>
      <c r="D80" s="26" t="s">
        <v>773</v>
      </c>
      <c r="E80" s="26" t="s">
        <v>774</v>
      </c>
      <c r="F80" s="26" t="s">
        <v>775</v>
      </c>
      <c r="G80" s="26" t="s">
        <v>776</v>
      </c>
      <c r="H80" s="58" t="s">
        <v>777</v>
      </c>
      <c r="I80" s="58" t="s">
        <v>778</v>
      </c>
      <c r="J80" s="58" t="s">
        <v>779</v>
      </c>
      <c r="K80" s="58" t="s">
        <v>780</v>
      </c>
    </row>
    <row r="81" spans="1:15" ht="15.6">
      <c r="A81" s="35" t="s">
        <v>768</v>
      </c>
      <c r="B81" s="62" t="s">
        <v>782</v>
      </c>
      <c r="C81" s="12" t="s">
        <v>783</v>
      </c>
      <c r="D81" s="26" t="s">
        <v>784</v>
      </c>
      <c r="E81" s="26" t="s">
        <v>785</v>
      </c>
      <c r="F81" s="26" t="s">
        <v>786</v>
      </c>
      <c r="G81" s="26" t="s">
        <v>787</v>
      </c>
    </row>
    <row r="82" spans="1:15" ht="15.6">
      <c r="A82" s="35" t="s">
        <v>781</v>
      </c>
      <c r="B82" s="106" t="s">
        <v>789</v>
      </c>
      <c r="C82" s="26" t="s">
        <v>82</v>
      </c>
      <c r="D82" s="26" t="s">
        <v>790</v>
      </c>
      <c r="E82" s="26" t="s">
        <v>791</v>
      </c>
      <c r="F82" s="26" t="s">
        <v>792</v>
      </c>
      <c r="G82" s="26" t="s">
        <v>793</v>
      </c>
      <c r="H82" s="58" t="s">
        <v>794</v>
      </c>
      <c r="I82" s="58" t="s">
        <v>795</v>
      </c>
      <c r="J82" s="58" t="s">
        <v>796</v>
      </c>
      <c r="K82" s="58" t="s">
        <v>797</v>
      </c>
    </row>
    <row r="83" spans="1:15" ht="15.6">
      <c r="A83" s="35" t="s">
        <v>781</v>
      </c>
      <c r="B83" s="108" t="s">
        <v>798</v>
      </c>
      <c r="C83" s="26" t="s">
        <v>93</v>
      </c>
      <c r="D83" s="26"/>
      <c r="E83" s="26"/>
      <c r="F83" s="26"/>
      <c r="G83" s="26"/>
      <c r="H83" s="58" t="s">
        <v>799</v>
      </c>
      <c r="I83" s="58" t="s">
        <v>800</v>
      </c>
      <c r="J83" s="58" t="s">
        <v>801</v>
      </c>
      <c r="K83" s="58" t="s">
        <v>802</v>
      </c>
    </row>
    <row r="84" spans="1:15" ht="15.6">
      <c r="A84" s="37" t="s">
        <v>788</v>
      </c>
      <c r="B84" s="109" t="s">
        <v>803</v>
      </c>
      <c r="C84" s="26" t="s">
        <v>804</v>
      </c>
      <c r="D84" s="26" t="s">
        <v>805</v>
      </c>
      <c r="E84" s="26" t="s">
        <v>806</v>
      </c>
      <c r="F84" s="26" t="s">
        <v>808</v>
      </c>
      <c r="G84" s="26" t="s">
        <v>809</v>
      </c>
      <c r="H84" s="12" t="s">
        <v>810</v>
      </c>
      <c r="I84" s="12" t="s">
        <v>811</v>
      </c>
      <c r="J84" s="12" t="s">
        <v>812</v>
      </c>
      <c r="K84" s="12" t="s">
        <v>813</v>
      </c>
    </row>
    <row r="85" spans="1:15" ht="15.6">
      <c r="A85" s="37" t="s">
        <v>807</v>
      </c>
      <c r="B85" s="110" t="s">
        <v>814</v>
      </c>
      <c r="C85" s="26" t="s">
        <v>815</v>
      </c>
      <c r="D85" s="26" t="s">
        <v>816</v>
      </c>
      <c r="E85" s="26" t="s">
        <v>817</v>
      </c>
      <c r="F85" s="26" t="s">
        <v>818</v>
      </c>
      <c r="G85" s="26" t="s">
        <v>819</v>
      </c>
    </row>
    <row r="86" spans="1:15" ht="15.6">
      <c r="A86" s="37" t="s">
        <v>820</v>
      </c>
      <c r="B86" s="110" t="s">
        <v>821</v>
      </c>
      <c r="C86" s="12" t="s">
        <v>815</v>
      </c>
      <c r="D86" s="26" t="s">
        <v>822</v>
      </c>
      <c r="E86" s="26" t="s">
        <v>823</v>
      </c>
      <c r="F86" s="26" t="s">
        <v>824</v>
      </c>
      <c r="G86" s="26" t="s">
        <v>825</v>
      </c>
    </row>
    <row r="87" spans="1:15" ht="15.6">
      <c r="A87" s="37" t="s">
        <v>826</v>
      </c>
      <c r="B87" s="24" t="s">
        <v>827</v>
      </c>
      <c r="C87" s="26" t="s">
        <v>828</v>
      </c>
      <c r="D87" s="26" t="s">
        <v>829</v>
      </c>
      <c r="E87" s="26" t="s">
        <v>830</v>
      </c>
      <c r="F87" s="26" t="s">
        <v>831</v>
      </c>
      <c r="G87" s="26" t="s">
        <v>832</v>
      </c>
      <c r="H87" s="26" t="s">
        <v>833</v>
      </c>
      <c r="I87" s="26" t="s">
        <v>834</v>
      </c>
      <c r="J87" s="26" t="s">
        <v>835</v>
      </c>
      <c r="K87" s="26" t="s">
        <v>836</v>
      </c>
    </row>
    <row r="88" spans="1:15" ht="15.6">
      <c r="A88" s="37" t="s">
        <v>837</v>
      </c>
      <c r="B88" s="110" t="s">
        <v>838</v>
      </c>
      <c r="C88" s="26" t="s">
        <v>815</v>
      </c>
      <c r="D88" s="26" t="s">
        <v>839</v>
      </c>
      <c r="E88" s="26" t="s">
        <v>840</v>
      </c>
      <c r="F88" s="26" t="s">
        <v>841</v>
      </c>
      <c r="G88" s="26" t="s">
        <v>842</v>
      </c>
    </row>
    <row r="89" spans="1:15" ht="15.6">
      <c r="A89" s="37" t="s">
        <v>843</v>
      </c>
      <c r="B89" s="110" t="s">
        <v>844</v>
      </c>
      <c r="C89" s="26" t="s">
        <v>815</v>
      </c>
      <c r="D89" s="26" t="s">
        <v>845</v>
      </c>
      <c r="E89" s="26" t="s">
        <v>846</v>
      </c>
      <c r="F89" s="26" t="s">
        <v>847</v>
      </c>
      <c r="G89" s="26" t="s">
        <v>848</v>
      </c>
    </row>
    <row r="90" spans="1:15" ht="15.6">
      <c r="A90" s="37" t="s">
        <v>843</v>
      </c>
      <c r="B90" s="111" t="s">
        <v>849</v>
      </c>
      <c r="C90" s="26" t="s">
        <v>804</v>
      </c>
      <c r="D90" s="26" t="s">
        <v>850</v>
      </c>
      <c r="E90" s="26" t="s">
        <v>851</v>
      </c>
      <c r="F90" s="26" t="s">
        <v>852</v>
      </c>
      <c r="G90" s="26" t="s">
        <v>853</v>
      </c>
    </row>
    <row r="91" spans="1:15" ht="15.6">
      <c r="A91" s="37" t="s">
        <v>843</v>
      </c>
      <c r="B91" s="24" t="s">
        <v>854</v>
      </c>
      <c r="C91" s="26" t="s">
        <v>828</v>
      </c>
      <c r="D91" s="26" t="s">
        <v>855</v>
      </c>
      <c r="E91" s="26" t="s">
        <v>856</v>
      </c>
      <c r="F91" s="26" t="s">
        <v>857</v>
      </c>
      <c r="G91" s="26" t="s">
        <v>858</v>
      </c>
    </row>
    <row r="92" spans="1:15" ht="15.6">
      <c r="A92" s="112" t="s">
        <v>859</v>
      </c>
      <c r="B92" s="62" t="s">
        <v>860</v>
      </c>
      <c r="C92" s="26" t="s">
        <v>110</v>
      </c>
      <c r="D92" s="26" t="s">
        <v>861</v>
      </c>
      <c r="E92" s="26" t="s">
        <v>862</v>
      </c>
      <c r="F92" s="26" t="s">
        <v>863</v>
      </c>
      <c r="G92" s="26" t="s">
        <v>864</v>
      </c>
      <c r="H92" s="26" t="s">
        <v>865</v>
      </c>
      <c r="I92" s="26" t="s">
        <v>866</v>
      </c>
      <c r="J92" s="26" t="s">
        <v>867</v>
      </c>
      <c r="K92" s="26" t="s">
        <v>868</v>
      </c>
    </row>
    <row r="93" spans="1:15" ht="14.4">
      <c r="A93" s="113" t="s">
        <v>869</v>
      </c>
      <c r="B93" s="114" t="s">
        <v>870</v>
      </c>
      <c r="C93" s="12" t="s">
        <v>64</v>
      </c>
      <c r="D93" s="12" t="s">
        <v>871</v>
      </c>
      <c r="E93" s="12" t="s">
        <v>872</v>
      </c>
      <c r="F93" s="12" t="s">
        <v>873</v>
      </c>
      <c r="G93" s="12" t="s">
        <v>874</v>
      </c>
      <c r="H93" s="26" t="s">
        <v>875</v>
      </c>
      <c r="I93" s="26" t="s">
        <v>876</v>
      </c>
      <c r="J93" s="26" t="s">
        <v>877</v>
      </c>
      <c r="K93" s="26" t="s">
        <v>878</v>
      </c>
    </row>
    <row r="94" spans="1:15" ht="13.2">
      <c r="A94" s="35" t="s">
        <v>879</v>
      </c>
      <c r="B94" s="115" t="s">
        <v>880</v>
      </c>
      <c r="C94" s="12" t="s">
        <v>45</v>
      </c>
      <c r="D94" s="12" t="s">
        <v>881</v>
      </c>
      <c r="E94" s="12" t="s">
        <v>882</v>
      </c>
      <c r="F94" s="12" t="s">
        <v>883</v>
      </c>
      <c r="G94" s="12" t="s">
        <v>884</v>
      </c>
      <c r="H94" s="58" t="s">
        <v>885</v>
      </c>
      <c r="I94" s="58" t="s">
        <v>886</v>
      </c>
      <c r="J94" s="58" t="s">
        <v>887</v>
      </c>
      <c r="K94" s="58" t="s">
        <v>888</v>
      </c>
    </row>
    <row r="95" spans="1:15" ht="14.4">
      <c r="A95" s="44" t="s">
        <v>889</v>
      </c>
      <c r="B95" s="116" t="s">
        <v>890</v>
      </c>
      <c r="C95" s="12" t="s">
        <v>891</v>
      </c>
      <c r="D95" s="12" t="s">
        <v>892</v>
      </c>
      <c r="E95" s="12" t="s">
        <v>893</v>
      </c>
      <c r="F95" s="12" t="s">
        <v>894</v>
      </c>
      <c r="G95" s="12" t="s">
        <v>895</v>
      </c>
      <c r="H95" s="58" t="s">
        <v>896</v>
      </c>
      <c r="I95" s="58" t="s">
        <v>897</v>
      </c>
      <c r="J95" s="58" t="s">
        <v>898</v>
      </c>
      <c r="K95" s="58" t="s">
        <v>899</v>
      </c>
      <c r="L95" s="72" t="s">
        <v>900</v>
      </c>
      <c r="M95" s="72" t="s">
        <v>901</v>
      </c>
      <c r="N95" s="72" t="s">
        <v>902</v>
      </c>
      <c r="O95" s="72" t="s">
        <v>903</v>
      </c>
    </row>
    <row r="96" spans="1:15" ht="13.2">
      <c r="A96" s="44" t="s">
        <v>904</v>
      </c>
      <c r="B96" s="117" t="s">
        <v>905</v>
      </c>
      <c r="C96" s="12" t="s">
        <v>301</v>
      </c>
      <c r="D96" s="12" t="s">
        <v>906</v>
      </c>
      <c r="E96" s="12" t="s">
        <v>907</v>
      </c>
      <c r="F96" s="12" t="s">
        <v>908</v>
      </c>
      <c r="G96" s="12" t="s">
        <v>909</v>
      </c>
      <c r="H96" s="58" t="s">
        <v>910</v>
      </c>
      <c r="I96" s="58" t="s">
        <v>911</v>
      </c>
      <c r="J96" s="58" t="s">
        <v>912</v>
      </c>
      <c r="K96" s="58" t="s">
        <v>913</v>
      </c>
    </row>
    <row r="97" spans="1:11" ht="14.4">
      <c r="A97" s="113" t="s">
        <v>914</v>
      </c>
      <c r="B97" s="118" t="s">
        <v>915</v>
      </c>
      <c r="C97" s="26" t="s">
        <v>110</v>
      </c>
      <c r="D97" s="26" t="s">
        <v>916</v>
      </c>
      <c r="E97" s="26" t="s">
        <v>917</v>
      </c>
      <c r="F97" s="26" t="s">
        <v>918</v>
      </c>
      <c r="G97" s="26" t="s">
        <v>919</v>
      </c>
      <c r="H97" s="26" t="s">
        <v>920</v>
      </c>
      <c r="I97" s="26" t="s">
        <v>921</v>
      </c>
      <c r="J97" s="26" t="s">
        <v>922</v>
      </c>
      <c r="K97" s="26" t="s">
        <v>923</v>
      </c>
    </row>
    <row r="98" spans="1:11" ht="13.2">
      <c r="A98" s="44" t="s">
        <v>924</v>
      </c>
      <c r="B98" s="114" t="s">
        <v>925</v>
      </c>
      <c r="C98" s="12" t="s">
        <v>64</v>
      </c>
      <c r="D98" s="12" t="s">
        <v>926</v>
      </c>
      <c r="E98" s="12" t="s">
        <v>927</v>
      </c>
      <c r="F98" s="12" t="s">
        <v>928</v>
      </c>
      <c r="G98" s="12" t="s">
        <v>929</v>
      </c>
      <c r="H98" s="12" t="s">
        <v>930</v>
      </c>
      <c r="I98" s="12" t="s">
        <v>931</v>
      </c>
      <c r="J98" s="12" t="s">
        <v>932</v>
      </c>
      <c r="K98" s="12" t="s">
        <v>933</v>
      </c>
    </row>
    <row r="99" spans="1:11" ht="14.4">
      <c r="A99" s="44" t="s">
        <v>934</v>
      </c>
      <c r="B99" s="119" t="s">
        <v>935</v>
      </c>
      <c r="C99" s="26" t="s">
        <v>45</v>
      </c>
      <c r="D99" s="26" t="s">
        <v>936</v>
      </c>
      <c r="E99" s="26" t="s">
        <v>937</v>
      </c>
      <c r="F99" s="26" t="s">
        <v>938</v>
      </c>
      <c r="G99" s="26" t="s">
        <v>939</v>
      </c>
      <c r="H99" s="26" t="s">
        <v>940</v>
      </c>
      <c r="I99" s="26" t="s">
        <v>941</v>
      </c>
      <c r="J99" s="26" t="s">
        <v>942</v>
      </c>
      <c r="K99" s="26" t="s">
        <v>943</v>
      </c>
    </row>
    <row r="100" spans="1:11" ht="14.4">
      <c r="A100" s="44" t="s">
        <v>944</v>
      </c>
      <c r="B100" s="118" t="s">
        <v>945</v>
      </c>
      <c r="C100" s="26" t="s">
        <v>32</v>
      </c>
      <c r="D100" s="26" t="s">
        <v>946</v>
      </c>
      <c r="E100" s="26" t="s">
        <v>947</v>
      </c>
      <c r="F100" s="26" t="s">
        <v>948</v>
      </c>
      <c r="G100" s="26" t="s">
        <v>949</v>
      </c>
      <c r="H100" s="26" t="s">
        <v>950</v>
      </c>
      <c r="I100" s="26" t="s">
        <v>951</v>
      </c>
      <c r="J100" s="26" t="s">
        <v>952</v>
      </c>
      <c r="K100" s="26" t="s">
        <v>953</v>
      </c>
    </row>
    <row r="101" spans="1:11" ht="14.4">
      <c r="A101" s="44" t="s">
        <v>954</v>
      </c>
      <c r="B101" s="120" t="s">
        <v>955</v>
      </c>
      <c r="C101" s="26" t="s">
        <v>382</v>
      </c>
      <c r="D101" s="26" t="s">
        <v>956</v>
      </c>
      <c r="E101" s="26" t="s">
        <v>957</v>
      </c>
      <c r="F101" s="26" t="s">
        <v>958</v>
      </c>
      <c r="G101" s="26" t="s">
        <v>959</v>
      </c>
      <c r="H101" s="26" t="s">
        <v>960</v>
      </c>
      <c r="I101" s="26" t="s">
        <v>961</v>
      </c>
      <c r="J101" s="26" t="s">
        <v>962</v>
      </c>
      <c r="K101" s="26" t="s">
        <v>963</v>
      </c>
    </row>
    <row r="102" spans="1:11" ht="14.4">
      <c r="A102" s="44" t="s">
        <v>964</v>
      </c>
      <c r="B102" s="121" t="s">
        <v>965</v>
      </c>
      <c r="C102" s="26" t="s">
        <v>614</v>
      </c>
      <c r="D102" s="26" t="s">
        <v>966</v>
      </c>
      <c r="E102" s="26" t="s">
        <v>967</v>
      </c>
      <c r="F102" s="26" t="s">
        <v>968</v>
      </c>
      <c r="G102" s="26" t="s">
        <v>969</v>
      </c>
      <c r="H102" s="26" t="s">
        <v>970</v>
      </c>
      <c r="I102" s="26" t="s">
        <v>971</v>
      </c>
      <c r="J102" s="26" t="s">
        <v>972</v>
      </c>
      <c r="K102" s="26" t="s">
        <v>973</v>
      </c>
    </row>
    <row r="103" spans="1:11" ht="14.4">
      <c r="A103" s="44" t="s">
        <v>974</v>
      </c>
      <c r="B103" s="114" t="s">
        <v>975</v>
      </c>
      <c r="C103" s="26" t="s">
        <v>64</v>
      </c>
      <c r="D103" s="26" t="s">
        <v>976</v>
      </c>
      <c r="E103" s="26" t="s">
        <v>977</v>
      </c>
      <c r="F103" s="26" t="s">
        <v>978</v>
      </c>
      <c r="G103" s="26" t="s">
        <v>979</v>
      </c>
      <c r="H103" s="26" t="s">
        <v>980</v>
      </c>
      <c r="I103" s="26" t="s">
        <v>981</v>
      </c>
      <c r="J103" s="26" t="s">
        <v>982</v>
      </c>
      <c r="K103" s="26" t="s">
        <v>983</v>
      </c>
    </row>
    <row r="104" spans="1:11" ht="14.4">
      <c r="A104" s="44" t="s">
        <v>984</v>
      </c>
      <c r="B104" s="119" t="s">
        <v>985</v>
      </c>
      <c r="C104" s="26" t="s">
        <v>45</v>
      </c>
      <c r="D104" s="26" t="s">
        <v>986</v>
      </c>
      <c r="E104" s="26" t="s">
        <v>987</v>
      </c>
      <c r="F104" s="26" t="s">
        <v>988</v>
      </c>
      <c r="G104" s="26" t="s">
        <v>989</v>
      </c>
    </row>
    <row r="105" spans="1:11" ht="14.4">
      <c r="A105" s="44" t="s">
        <v>990</v>
      </c>
      <c r="B105" s="122" t="s">
        <v>991</v>
      </c>
      <c r="C105" s="26" t="s">
        <v>891</v>
      </c>
      <c r="D105" s="26" t="s">
        <v>992</v>
      </c>
      <c r="E105" s="26" t="s">
        <v>993</v>
      </c>
      <c r="F105" s="26" t="s">
        <v>994</v>
      </c>
      <c r="G105" s="26" t="s">
        <v>995</v>
      </c>
    </row>
    <row r="106" spans="1:11" ht="14.4">
      <c r="A106" s="44" t="s">
        <v>996</v>
      </c>
      <c r="B106" s="118" t="s">
        <v>997</v>
      </c>
      <c r="C106" s="26" t="s">
        <v>32</v>
      </c>
      <c r="D106" s="26" t="s">
        <v>998</v>
      </c>
      <c r="E106" s="26" t="s">
        <v>999</v>
      </c>
      <c r="F106" s="26" t="s">
        <v>1000</v>
      </c>
      <c r="G106" s="26" t="s">
        <v>1001</v>
      </c>
      <c r="H106" s="26" t="s">
        <v>1002</v>
      </c>
      <c r="I106" s="26" t="s">
        <v>1003</v>
      </c>
      <c r="J106" s="26" t="s">
        <v>1004</v>
      </c>
      <c r="K106" s="26" t="s">
        <v>1005</v>
      </c>
    </row>
    <row r="107" spans="1:11" ht="14.4">
      <c r="A107" s="44" t="s">
        <v>1006</v>
      </c>
      <c r="B107" s="123" t="s">
        <v>1007</v>
      </c>
      <c r="C107" s="26" t="s">
        <v>45</v>
      </c>
      <c r="D107" s="26" t="s">
        <v>1008</v>
      </c>
      <c r="E107" s="26" t="s">
        <v>1009</v>
      </c>
      <c r="F107" s="26" t="s">
        <v>1010</v>
      </c>
      <c r="G107" s="26" t="s">
        <v>1011</v>
      </c>
    </row>
    <row r="108" spans="1:11" ht="14.4">
      <c r="A108" s="44" t="s">
        <v>1012</v>
      </c>
      <c r="B108" s="114" t="s">
        <v>1013</v>
      </c>
      <c r="C108" s="26" t="s">
        <v>64</v>
      </c>
      <c r="D108" s="26" t="s">
        <v>1014</v>
      </c>
      <c r="E108" s="26" t="s">
        <v>1015</v>
      </c>
      <c r="F108" s="26" t="s">
        <v>1016</v>
      </c>
      <c r="G108" s="26" t="s">
        <v>1017</v>
      </c>
      <c r="H108" s="26" t="s">
        <v>1018</v>
      </c>
      <c r="I108" s="26" t="s">
        <v>1019</v>
      </c>
      <c r="J108" s="26" t="s">
        <v>1020</v>
      </c>
      <c r="K108" s="26" t="s">
        <v>1021</v>
      </c>
    </row>
    <row r="109" spans="1:11" ht="14.4">
      <c r="A109" s="44" t="s">
        <v>1022</v>
      </c>
      <c r="B109" s="120" t="s">
        <v>1023</v>
      </c>
      <c r="C109" s="26" t="s">
        <v>382</v>
      </c>
      <c r="D109" s="26" t="s">
        <v>1024</v>
      </c>
      <c r="E109" s="26" t="s">
        <v>1025</v>
      </c>
      <c r="F109" s="26" t="s">
        <v>1026</v>
      </c>
      <c r="G109" s="26" t="s">
        <v>1027</v>
      </c>
      <c r="H109" s="26" t="s">
        <v>1028</v>
      </c>
      <c r="I109" s="26" t="s">
        <v>1029</v>
      </c>
      <c r="J109" s="26" t="s">
        <v>1030</v>
      </c>
      <c r="K109" s="26" t="s">
        <v>1031</v>
      </c>
    </row>
    <row r="110" spans="1:11" ht="14.4">
      <c r="A110" s="44" t="s">
        <v>1032</v>
      </c>
      <c r="B110" s="124" t="s">
        <v>1033</v>
      </c>
      <c r="C110" s="26" t="s">
        <v>301</v>
      </c>
      <c r="D110" s="26" t="s">
        <v>1034</v>
      </c>
      <c r="E110" s="26" t="s">
        <v>1035</v>
      </c>
      <c r="F110" s="26" t="s">
        <v>1036</v>
      </c>
      <c r="G110" s="26" t="s">
        <v>1037</v>
      </c>
      <c r="H110" s="26" t="s">
        <v>1038</v>
      </c>
      <c r="I110" s="26" t="s">
        <v>1039</v>
      </c>
      <c r="J110" s="26" t="s">
        <v>1040</v>
      </c>
      <c r="K110" s="26" t="s">
        <v>1041</v>
      </c>
    </row>
    <row r="111" spans="1:11" ht="14.4">
      <c r="A111" s="44" t="s">
        <v>1042</v>
      </c>
      <c r="B111" s="125" t="s">
        <v>1043</v>
      </c>
      <c r="C111" s="26" t="s">
        <v>208</v>
      </c>
      <c r="D111" s="26" t="s">
        <v>1044</v>
      </c>
      <c r="E111" s="26" t="s">
        <v>1045</v>
      </c>
      <c r="F111" s="26" t="s">
        <v>1046</v>
      </c>
      <c r="G111" s="26" t="s">
        <v>1047</v>
      </c>
      <c r="H111" s="26" t="s">
        <v>1048</v>
      </c>
      <c r="I111" s="26" t="s">
        <v>1049</v>
      </c>
      <c r="J111" s="26" t="s">
        <v>1050</v>
      </c>
      <c r="K111" s="26" t="s">
        <v>1051</v>
      </c>
    </row>
    <row r="112" spans="1:11" ht="14.4">
      <c r="A112" s="44"/>
      <c r="B112" s="126" t="s">
        <v>1052</v>
      </c>
      <c r="C112" s="12" t="s">
        <v>1053</v>
      </c>
      <c r="H112" s="26" t="s">
        <v>1054</v>
      </c>
      <c r="I112" s="26" t="s">
        <v>1055</v>
      </c>
      <c r="J112" s="26" t="s">
        <v>1056</v>
      </c>
      <c r="K112" s="26" t="s">
        <v>1057</v>
      </c>
    </row>
    <row r="113" spans="1:11" ht="14.4">
      <c r="A113" s="44"/>
      <c r="B113" s="118" t="s">
        <v>1058</v>
      </c>
      <c r="C113" s="12" t="s">
        <v>1059</v>
      </c>
      <c r="H113" s="26" t="s">
        <v>1060</v>
      </c>
      <c r="I113" s="26" t="s">
        <v>1061</v>
      </c>
      <c r="J113" s="26" t="s">
        <v>1062</v>
      </c>
      <c r="K113" s="26" t="s">
        <v>1063</v>
      </c>
    </row>
    <row r="114" spans="1:11" ht="14.4">
      <c r="A114" s="127" t="s">
        <v>343</v>
      </c>
      <c r="B114" s="114" t="s">
        <v>1064</v>
      </c>
      <c r="C114" s="12" t="s">
        <v>208</v>
      </c>
      <c r="D114" s="12" t="s">
        <v>1065</v>
      </c>
      <c r="E114" s="12" t="s">
        <v>1066</v>
      </c>
      <c r="F114" s="12" t="s">
        <v>1067</v>
      </c>
      <c r="G114" s="12" t="s">
        <v>1068</v>
      </c>
      <c r="H114" s="26" t="s">
        <v>1069</v>
      </c>
      <c r="I114" s="26" t="s">
        <v>1070</v>
      </c>
      <c r="J114" s="26" t="s">
        <v>1071</v>
      </c>
      <c r="K114" s="26" t="s">
        <v>1072</v>
      </c>
    </row>
    <row r="115" spans="1:11" ht="14.4">
      <c r="A115" s="37"/>
      <c r="B115" s="118" t="s">
        <v>1073</v>
      </c>
      <c r="C115" s="12" t="s">
        <v>1074</v>
      </c>
      <c r="D115" s="26" t="s">
        <v>1075</v>
      </c>
      <c r="E115" s="26" t="s">
        <v>1076</v>
      </c>
      <c r="F115" s="26" t="s">
        <v>1077</v>
      </c>
      <c r="G115" s="26" t="s">
        <v>1078</v>
      </c>
      <c r="H115" s="58" t="s">
        <v>1079</v>
      </c>
      <c r="I115" s="58" t="s">
        <v>1080</v>
      </c>
      <c r="J115" s="58" t="s">
        <v>1081</v>
      </c>
      <c r="K115" s="58" t="s">
        <v>1082</v>
      </c>
    </row>
    <row r="116" spans="1:11" ht="14.4">
      <c r="A116" s="37"/>
      <c r="B116" s="128" t="s">
        <v>1083</v>
      </c>
      <c r="C116" s="12" t="s">
        <v>1084</v>
      </c>
      <c r="D116" s="26" t="s">
        <v>1085</v>
      </c>
      <c r="E116" s="26" t="s">
        <v>1086</v>
      </c>
      <c r="F116" s="26" t="s">
        <v>1087</v>
      </c>
      <c r="G116" s="26" t="s">
        <v>1088</v>
      </c>
      <c r="H116" s="26" t="s">
        <v>1089</v>
      </c>
      <c r="I116" s="26" t="s">
        <v>1090</v>
      </c>
      <c r="J116" s="26" t="s">
        <v>1091</v>
      </c>
      <c r="K116" s="26" t="s">
        <v>1092</v>
      </c>
    </row>
    <row r="117" spans="1:11" ht="14.4">
      <c r="A117" s="37"/>
      <c r="B117" s="118" t="s">
        <v>1093</v>
      </c>
      <c r="C117" s="12" t="s">
        <v>1094</v>
      </c>
      <c r="D117" s="26" t="s">
        <v>1095</v>
      </c>
      <c r="E117" s="26" t="s">
        <v>1096</v>
      </c>
      <c r="F117" s="26" t="s">
        <v>1097</v>
      </c>
      <c r="G117" s="26" t="s">
        <v>1098</v>
      </c>
      <c r="H117" s="26" t="s">
        <v>1099</v>
      </c>
      <c r="I117" s="26" t="s">
        <v>1100</v>
      </c>
      <c r="J117" s="26" t="s">
        <v>1101</v>
      </c>
      <c r="K117" s="26" t="s">
        <v>1102</v>
      </c>
    </row>
    <row r="118" spans="1:11" ht="14.4">
      <c r="A118" s="37"/>
      <c r="B118" s="129" t="s">
        <v>1103</v>
      </c>
      <c r="C118" s="12" t="s">
        <v>1104</v>
      </c>
      <c r="D118" s="26" t="s">
        <v>1105</v>
      </c>
      <c r="E118" s="26" t="s">
        <v>1106</v>
      </c>
      <c r="F118" s="26" t="s">
        <v>1107</v>
      </c>
      <c r="G118" s="26" t="s">
        <v>1108</v>
      </c>
      <c r="H118" s="26" t="s">
        <v>1109</v>
      </c>
      <c r="I118" s="26" t="s">
        <v>1110</v>
      </c>
      <c r="J118" s="26" t="s">
        <v>1111</v>
      </c>
      <c r="K118" s="26" t="s">
        <v>1112</v>
      </c>
    </row>
    <row r="119" spans="1:11" ht="14.4">
      <c r="A119" s="37"/>
      <c r="B119" s="130" t="s">
        <v>1113</v>
      </c>
      <c r="C119" s="12" t="s">
        <v>1114</v>
      </c>
      <c r="D119" s="26" t="s">
        <v>1115</v>
      </c>
      <c r="E119" s="26" t="s">
        <v>1116</v>
      </c>
      <c r="F119" s="26" t="s">
        <v>1117</v>
      </c>
      <c r="G119" s="26" t="s">
        <v>1118</v>
      </c>
    </row>
    <row r="120" spans="1:11" ht="14.4">
      <c r="A120" s="37"/>
      <c r="B120" s="118" t="s">
        <v>1119</v>
      </c>
      <c r="C120" s="12" t="s">
        <v>1120</v>
      </c>
      <c r="D120" s="26" t="s">
        <v>1121</v>
      </c>
      <c r="E120" s="26" t="s">
        <v>1122</v>
      </c>
      <c r="F120" s="26" t="s">
        <v>1123</v>
      </c>
      <c r="G120" s="26" t="s">
        <v>1124</v>
      </c>
    </row>
    <row r="121" spans="1:11" ht="13.2">
      <c r="A121" s="35"/>
      <c r="B121" s="118" t="s">
        <v>1125</v>
      </c>
      <c r="C121" s="12" t="s">
        <v>1126</v>
      </c>
      <c r="D121" s="12" t="s">
        <v>1127</v>
      </c>
      <c r="E121" s="12" t="s">
        <v>1128</v>
      </c>
      <c r="F121" s="12" t="s">
        <v>1129</v>
      </c>
      <c r="G121" s="12" t="s">
        <v>1130</v>
      </c>
    </row>
    <row r="122" spans="1:11" ht="14.4">
      <c r="A122" s="35"/>
      <c r="B122" s="119" t="s">
        <v>1131</v>
      </c>
      <c r="C122" s="26"/>
      <c r="D122" s="26" t="s">
        <v>1132</v>
      </c>
      <c r="E122" s="26" t="s">
        <v>1133</v>
      </c>
      <c r="F122" s="26" t="s">
        <v>1134</v>
      </c>
      <c r="G122" s="26" t="s">
        <v>1135</v>
      </c>
    </row>
    <row r="123" spans="1:11" ht="14.4">
      <c r="A123" s="44"/>
      <c r="B123" s="119" t="s">
        <v>1136</v>
      </c>
      <c r="C123" s="26"/>
      <c r="D123" s="26" t="s">
        <v>1137</v>
      </c>
      <c r="E123" s="26" t="s">
        <v>1138</v>
      </c>
      <c r="F123" s="26" t="s">
        <v>1139</v>
      </c>
      <c r="G123" s="26" t="s">
        <v>1140</v>
      </c>
    </row>
    <row r="124" spans="1:11" ht="14.4">
      <c r="A124" s="44"/>
      <c r="B124" s="118" t="s">
        <v>1141</v>
      </c>
      <c r="C124" s="26"/>
      <c r="D124" s="26" t="s">
        <v>574</v>
      </c>
      <c r="E124" s="26" t="s">
        <v>575</v>
      </c>
      <c r="F124" s="26" t="s">
        <v>576</v>
      </c>
      <c r="G124" s="26" t="s">
        <v>577</v>
      </c>
    </row>
    <row r="125" spans="1:11" ht="14.4">
      <c r="A125" s="113"/>
      <c r="B125" s="118" t="s">
        <v>1142</v>
      </c>
      <c r="C125" s="26"/>
      <c r="D125" s="26" t="s">
        <v>1143</v>
      </c>
      <c r="E125" s="26" t="s">
        <v>1144</v>
      </c>
      <c r="F125" s="26" t="s">
        <v>1145</v>
      </c>
      <c r="G125" s="26" t="s">
        <v>1146</v>
      </c>
    </row>
    <row r="126" spans="1:11" ht="13.2">
      <c r="A126" s="113"/>
      <c r="B126" s="119" t="s">
        <v>1147</v>
      </c>
      <c r="C126" s="12"/>
      <c r="D126" s="12" t="s">
        <v>1148</v>
      </c>
      <c r="E126" s="12" t="s">
        <v>1149</v>
      </c>
      <c r="F126" s="12" t="s">
        <v>1150</v>
      </c>
      <c r="G126" s="12" t="s">
        <v>1151</v>
      </c>
    </row>
    <row r="127" spans="1:11" ht="14.4">
      <c r="A127" s="113"/>
      <c r="B127" s="114" t="s">
        <v>1152</v>
      </c>
      <c r="C127" s="12" t="s">
        <v>64</v>
      </c>
      <c r="H127" s="26" t="s">
        <v>1153</v>
      </c>
      <c r="I127" s="26" t="s">
        <v>1154</v>
      </c>
      <c r="J127" s="26" t="s">
        <v>1155</v>
      </c>
      <c r="K127" s="26" t="s">
        <v>1156</v>
      </c>
    </row>
    <row r="128" spans="1:11" ht="14.4">
      <c r="A128" s="113"/>
      <c r="B128" s="131" t="s">
        <v>1157</v>
      </c>
      <c r="C128" s="12" t="s">
        <v>313</v>
      </c>
      <c r="H128" s="26" t="s">
        <v>1158</v>
      </c>
      <c r="I128" s="26" t="s">
        <v>1159</v>
      </c>
      <c r="J128" s="26" t="s">
        <v>1160</v>
      </c>
      <c r="K128" s="26" t="s">
        <v>1161</v>
      </c>
    </row>
    <row r="129" spans="1:11" ht="14.4">
      <c r="A129" s="113"/>
      <c r="B129" s="132" t="s">
        <v>1162</v>
      </c>
      <c r="C129" s="12" t="s">
        <v>324</v>
      </c>
      <c r="H129" s="26" t="s">
        <v>1163</v>
      </c>
      <c r="I129" s="26" t="s">
        <v>1164</v>
      </c>
      <c r="J129" s="26" t="s">
        <v>1165</v>
      </c>
      <c r="K129" s="26" t="s">
        <v>1166</v>
      </c>
    </row>
    <row r="130" spans="1:11" ht="14.4">
      <c r="A130" s="113"/>
      <c r="B130" s="133" t="s">
        <v>1167</v>
      </c>
      <c r="C130" s="12" t="s">
        <v>187</v>
      </c>
      <c r="H130" s="26" t="s">
        <v>1168</v>
      </c>
      <c r="I130" s="26" t="s">
        <v>1169</v>
      </c>
      <c r="J130" s="26" t="s">
        <v>1170</v>
      </c>
      <c r="K130" s="26" t="s">
        <v>1171</v>
      </c>
    </row>
    <row r="131" spans="1:11" ht="14.4">
      <c r="A131" s="113"/>
      <c r="B131" s="118" t="s">
        <v>1172</v>
      </c>
      <c r="C131" s="26" t="s">
        <v>82</v>
      </c>
      <c r="H131" s="26" t="s">
        <v>1173</v>
      </c>
      <c r="I131" s="26" t="s">
        <v>1174</v>
      </c>
      <c r="J131" s="26" t="s">
        <v>1175</v>
      </c>
      <c r="K131" s="26" t="s">
        <v>1176</v>
      </c>
    </row>
    <row r="132" spans="1:11" ht="14.4">
      <c r="A132" s="113"/>
      <c r="B132" s="121" t="s">
        <v>1177</v>
      </c>
      <c r="C132" s="12" t="s">
        <v>614</v>
      </c>
      <c r="H132" s="26" t="s">
        <v>1178</v>
      </c>
      <c r="I132" s="26" t="s">
        <v>1179</v>
      </c>
      <c r="J132" s="26" t="s">
        <v>1180</v>
      </c>
      <c r="K132" s="26" t="s">
        <v>1181</v>
      </c>
    </row>
    <row r="133" spans="1:11" ht="14.4">
      <c r="A133" s="113"/>
      <c r="B133" s="134" t="s">
        <v>1182</v>
      </c>
      <c r="C133" s="12" t="s">
        <v>301</v>
      </c>
      <c r="H133" s="26" t="s">
        <v>1183</v>
      </c>
      <c r="I133" s="26" t="s">
        <v>1184</v>
      </c>
      <c r="J133" s="26" t="s">
        <v>1185</v>
      </c>
      <c r="K133" s="26" t="s">
        <v>1186</v>
      </c>
    </row>
    <row r="134" spans="1:11" ht="14.4">
      <c r="A134" s="113"/>
      <c r="B134" s="118" t="s">
        <v>1187</v>
      </c>
      <c r="C134" s="12" t="s">
        <v>32</v>
      </c>
      <c r="H134" s="26" t="s">
        <v>1188</v>
      </c>
      <c r="I134" s="26" t="s">
        <v>1189</v>
      </c>
      <c r="J134" s="26" t="s">
        <v>1190</v>
      </c>
      <c r="K134" s="26" t="s">
        <v>1191</v>
      </c>
    </row>
    <row r="135" spans="1:11" ht="14.4">
      <c r="A135" s="113"/>
      <c r="B135" s="135" t="s">
        <v>1192</v>
      </c>
      <c r="C135" s="12" t="s">
        <v>402</v>
      </c>
      <c r="H135" s="26" t="s">
        <v>1193</v>
      </c>
      <c r="I135" s="26" t="s">
        <v>1194</v>
      </c>
      <c r="J135" s="26" t="s">
        <v>1195</v>
      </c>
      <c r="K135" s="26" t="s">
        <v>1196</v>
      </c>
    </row>
    <row r="136" spans="1:11" ht="14.4">
      <c r="A136" s="113"/>
      <c r="B136" s="136" t="s">
        <v>1197</v>
      </c>
      <c r="C136" s="12" t="s">
        <v>337</v>
      </c>
      <c r="H136" s="26" t="s">
        <v>1198</v>
      </c>
      <c r="I136" s="26" t="s">
        <v>1199</v>
      </c>
      <c r="J136" s="26" t="s">
        <v>1200</v>
      </c>
      <c r="K136" s="26" t="s">
        <v>1201</v>
      </c>
    </row>
    <row r="137" spans="1:11" ht="14.4">
      <c r="B137" s="119" t="s">
        <v>1202</v>
      </c>
      <c r="C137" s="12" t="s">
        <v>45</v>
      </c>
      <c r="H137" s="26" t="s">
        <v>1203</v>
      </c>
      <c r="I137" s="26" t="s">
        <v>1204</v>
      </c>
      <c r="J137" s="26" t="s">
        <v>1205</v>
      </c>
      <c r="K137" s="26" t="s">
        <v>1206</v>
      </c>
    </row>
    <row r="138" spans="1:11" ht="14.4">
      <c r="B138" s="116" t="s">
        <v>1207</v>
      </c>
      <c r="C138" s="12" t="s">
        <v>891</v>
      </c>
      <c r="H138" s="26" t="s">
        <v>1208</v>
      </c>
      <c r="I138" s="26" t="s">
        <v>1209</v>
      </c>
      <c r="J138" s="26" t="s">
        <v>1210</v>
      </c>
      <c r="K138" s="26" t="s">
        <v>1211</v>
      </c>
    </row>
    <row r="139" spans="1:11" ht="14.4">
      <c r="B139" s="137" t="s">
        <v>1212</v>
      </c>
      <c r="C139" s="12" t="s">
        <v>745</v>
      </c>
      <c r="H139" s="26" t="s">
        <v>1213</v>
      </c>
      <c r="I139" s="26" t="s">
        <v>1214</v>
      </c>
      <c r="J139" s="26" t="s">
        <v>1215</v>
      </c>
      <c r="K139" s="26" t="s">
        <v>1216</v>
      </c>
    </row>
    <row r="140" spans="1:11" ht="14.4">
      <c r="B140" s="120" t="s">
        <v>1217</v>
      </c>
      <c r="C140" s="12" t="s">
        <v>382</v>
      </c>
      <c r="H140" s="26" t="s">
        <v>1218</v>
      </c>
      <c r="I140" s="26" t="s">
        <v>1219</v>
      </c>
      <c r="J140" s="26" t="s">
        <v>1220</v>
      </c>
      <c r="K140" s="26" t="s">
        <v>1221</v>
      </c>
    </row>
    <row r="141" spans="1:11" ht="14.4">
      <c r="A141" s="113"/>
      <c r="B141" s="118" t="s">
        <v>1222</v>
      </c>
      <c r="C141" s="12" t="s">
        <v>110</v>
      </c>
      <c r="H141" s="26" t="s">
        <v>1223</v>
      </c>
      <c r="I141" s="26" t="s">
        <v>1224</v>
      </c>
      <c r="J141" s="26" t="s">
        <v>1225</v>
      </c>
      <c r="K141" s="26" t="s">
        <v>1226</v>
      </c>
    </row>
    <row r="142" spans="1:11" ht="14.4">
      <c r="A142" s="113"/>
      <c r="B142" s="114" t="s">
        <v>1227</v>
      </c>
      <c r="C142" s="12" t="s">
        <v>208</v>
      </c>
      <c r="H142" s="26" t="s">
        <v>1228</v>
      </c>
      <c r="I142" s="26" t="s">
        <v>1229</v>
      </c>
      <c r="J142" s="26" t="s">
        <v>1230</v>
      </c>
      <c r="K142" s="26" t="s">
        <v>1231</v>
      </c>
    </row>
    <row r="143" spans="1:11" ht="13.2">
      <c r="A143" s="113" t="s">
        <v>1232</v>
      </c>
      <c r="B143" s="138" t="s">
        <v>1233</v>
      </c>
      <c r="C143" s="12" t="s">
        <v>1234</v>
      </c>
      <c r="H143" s="12" t="s">
        <v>1235</v>
      </c>
      <c r="I143" s="12" t="s">
        <v>1236</v>
      </c>
      <c r="J143" s="12" t="s">
        <v>1237</v>
      </c>
      <c r="K143" s="12" t="s">
        <v>1238</v>
      </c>
    </row>
    <row r="144" spans="1:11" ht="13.2">
      <c r="A144" s="44" t="s">
        <v>1239</v>
      </c>
      <c r="B144" s="114" t="s">
        <v>1240</v>
      </c>
      <c r="C144" s="12" t="s">
        <v>208</v>
      </c>
      <c r="H144" s="12" t="s">
        <v>1241</v>
      </c>
      <c r="I144" s="12" t="s">
        <v>1242</v>
      </c>
      <c r="J144" s="12" t="s">
        <v>1243</v>
      </c>
      <c r="K144" s="12" t="s">
        <v>1244</v>
      </c>
    </row>
    <row r="145" spans="1:31" ht="13.2">
      <c r="A145" s="44" t="s">
        <v>1239</v>
      </c>
      <c r="B145" s="114" t="s">
        <v>1245</v>
      </c>
      <c r="C145" s="12" t="s">
        <v>64</v>
      </c>
      <c r="D145" s="58" t="s">
        <v>1246</v>
      </c>
      <c r="E145" s="58" t="s">
        <v>1247</v>
      </c>
      <c r="F145" s="58" t="s">
        <v>1248</v>
      </c>
      <c r="G145" s="58" t="s">
        <v>1249</v>
      </c>
      <c r="H145" s="12"/>
      <c r="I145" s="12"/>
      <c r="J145" s="12"/>
      <c r="K145" s="12"/>
    </row>
    <row r="146" spans="1:31" ht="13.2">
      <c r="A146" s="44" t="s">
        <v>1250</v>
      </c>
      <c r="B146" s="118" t="s">
        <v>1251</v>
      </c>
      <c r="C146" s="12" t="s">
        <v>110</v>
      </c>
      <c r="D146" s="12" t="s">
        <v>1252</v>
      </c>
      <c r="E146" s="12" t="s">
        <v>1253</v>
      </c>
      <c r="F146" s="12" t="s">
        <v>1254</v>
      </c>
      <c r="G146" s="12" t="s">
        <v>1255</v>
      </c>
      <c r="H146" s="12" t="s">
        <v>1256</v>
      </c>
      <c r="I146" s="12" t="s">
        <v>1257</v>
      </c>
      <c r="J146" s="12" t="s">
        <v>1258</v>
      </c>
      <c r="K146" s="12" t="s">
        <v>1259</v>
      </c>
    </row>
    <row r="147" spans="1:31" ht="13.2">
      <c r="A147" s="44" t="s">
        <v>1260</v>
      </c>
      <c r="B147" s="138" t="s">
        <v>1261</v>
      </c>
      <c r="C147" s="12" t="s">
        <v>1234</v>
      </c>
      <c r="H147" s="12" t="s">
        <v>1262</v>
      </c>
      <c r="I147" s="12" t="s">
        <v>1263</v>
      </c>
      <c r="J147" s="12" t="s">
        <v>1264</v>
      </c>
      <c r="K147" s="12" t="s">
        <v>1265</v>
      </c>
    </row>
    <row r="148" spans="1:31" ht="13.2">
      <c r="A148" s="113"/>
      <c r="B148" s="138" t="s">
        <v>1266</v>
      </c>
      <c r="C148" s="12" t="s">
        <v>1234</v>
      </c>
      <c r="H148" s="58" t="s">
        <v>1267</v>
      </c>
      <c r="I148" s="58" t="s">
        <v>1268</v>
      </c>
      <c r="J148" s="58" t="s">
        <v>1269</v>
      </c>
      <c r="K148" s="58" t="s">
        <v>1270</v>
      </c>
    </row>
    <row r="149" spans="1:31" ht="13.2">
      <c r="A149" s="113" t="s">
        <v>1271</v>
      </c>
      <c r="B149" s="118" t="s">
        <v>1272</v>
      </c>
      <c r="C149" s="12" t="s">
        <v>110</v>
      </c>
      <c r="H149" s="58" t="s">
        <v>1273</v>
      </c>
      <c r="I149" s="58" t="s">
        <v>1274</v>
      </c>
      <c r="J149" s="58" t="s">
        <v>1275</v>
      </c>
      <c r="K149" s="58" t="s">
        <v>1276</v>
      </c>
    </row>
    <row r="150" spans="1:31" ht="14.4">
      <c r="A150" s="113"/>
      <c r="B150" s="118" t="s">
        <v>1277</v>
      </c>
      <c r="C150" s="26" t="s">
        <v>93</v>
      </c>
      <c r="H150" s="58" t="s">
        <v>1278</v>
      </c>
      <c r="I150" s="58" t="s">
        <v>1279</v>
      </c>
      <c r="J150" s="58" t="s">
        <v>1280</v>
      </c>
      <c r="K150" s="58" t="s">
        <v>1281</v>
      </c>
    </row>
    <row r="151" spans="1:31" ht="14.4">
      <c r="A151" s="113" t="s">
        <v>1282</v>
      </c>
      <c r="B151" s="149" t="s">
        <v>1283</v>
      </c>
      <c r="C151" s="72" t="s">
        <v>1284</v>
      </c>
      <c r="D151" s="49" t="s">
        <v>1285</v>
      </c>
      <c r="E151" s="49" t="s">
        <v>1286</v>
      </c>
      <c r="F151" s="49" t="s">
        <v>1287</v>
      </c>
      <c r="G151" s="49" t="s">
        <v>1288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</row>
    <row r="152" spans="1:31" ht="13.2">
      <c r="A152" s="113" t="s">
        <v>1289</v>
      </c>
      <c r="B152" s="150" t="s">
        <v>1290</v>
      </c>
      <c r="C152" s="12" t="s">
        <v>301</v>
      </c>
      <c r="D152" s="12" t="s">
        <v>1291</v>
      </c>
      <c r="E152" s="12" t="s">
        <v>1292</v>
      </c>
      <c r="F152" s="12" t="s">
        <v>1293</v>
      </c>
      <c r="G152" s="12" t="s">
        <v>1294</v>
      </c>
    </row>
    <row r="153" spans="1:31" ht="13.2">
      <c r="A153" s="113"/>
      <c r="B153" s="151" t="s">
        <v>1295</v>
      </c>
      <c r="C153" s="12" t="s">
        <v>1296</v>
      </c>
      <c r="D153" s="58" t="s">
        <v>1297</v>
      </c>
      <c r="E153" s="58" t="s">
        <v>1298</v>
      </c>
      <c r="F153" s="58" t="s">
        <v>1299</v>
      </c>
      <c r="G153" s="58" t="s">
        <v>1300</v>
      </c>
      <c r="H153" s="12" t="s">
        <v>1301</v>
      </c>
      <c r="I153" s="12" t="s">
        <v>1302</v>
      </c>
      <c r="J153" s="12" t="s">
        <v>1303</v>
      </c>
      <c r="K153" s="12" t="s">
        <v>1304</v>
      </c>
      <c r="L153" s="12" t="s">
        <v>1305</v>
      </c>
      <c r="M153" s="12" t="s">
        <v>1306</v>
      </c>
      <c r="N153" s="12" t="s">
        <v>1307</v>
      </c>
      <c r="O153" s="12" t="s">
        <v>1308</v>
      </c>
    </row>
    <row r="154" spans="1:31" ht="13.2">
      <c r="A154" s="44" t="s">
        <v>1309</v>
      </c>
      <c r="B154" s="152" t="s">
        <v>1310</v>
      </c>
      <c r="C154" s="12" t="s">
        <v>1311</v>
      </c>
      <c r="D154" s="12" t="s">
        <v>1312</v>
      </c>
      <c r="E154" s="12" t="s">
        <v>1313</v>
      </c>
      <c r="F154" s="12" t="s">
        <v>1314</v>
      </c>
      <c r="G154" s="12" t="s">
        <v>1315</v>
      </c>
    </row>
    <row r="155" spans="1:31" ht="13.2">
      <c r="A155" s="113" t="s">
        <v>1316</v>
      </c>
      <c r="B155" s="152" t="s">
        <v>1317</v>
      </c>
      <c r="C155" s="12" t="s">
        <v>1318</v>
      </c>
      <c r="D155" s="12" t="s">
        <v>1319</v>
      </c>
      <c r="E155" s="12" t="s">
        <v>1320</v>
      </c>
      <c r="F155" s="12" t="s">
        <v>1321</v>
      </c>
      <c r="G155" s="12" t="s">
        <v>1322</v>
      </c>
    </row>
    <row r="156" spans="1:31" ht="13.2">
      <c r="A156" s="113" t="s">
        <v>1323</v>
      </c>
      <c r="B156" s="150" t="s">
        <v>1324</v>
      </c>
      <c r="C156" s="12" t="s">
        <v>301</v>
      </c>
      <c r="D156" s="58" t="s">
        <v>1325</v>
      </c>
      <c r="E156" s="58" t="s">
        <v>1326</v>
      </c>
      <c r="F156" s="58" t="s">
        <v>1327</v>
      </c>
      <c r="G156" s="58" t="s">
        <v>1328</v>
      </c>
    </row>
    <row r="157" spans="1:31" ht="13.2">
      <c r="A157" s="113" t="s">
        <v>1329</v>
      </c>
      <c r="B157" s="122" t="s">
        <v>1330</v>
      </c>
      <c r="C157" s="12" t="s">
        <v>891</v>
      </c>
      <c r="D157" s="58" t="s">
        <v>1331</v>
      </c>
      <c r="E157" s="58" t="s">
        <v>1332</v>
      </c>
      <c r="F157" s="58" t="s">
        <v>1333</v>
      </c>
      <c r="G157" s="58" t="s">
        <v>1334</v>
      </c>
    </row>
    <row r="158" spans="1:31" ht="13.2">
      <c r="A158" s="113" t="s">
        <v>1335</v>
      </c>
      <c r="B158" s="122" t="s">
        <v>1336</v>
      </c>
      <c r="C158" s="12" t="s">
        <v>891</v>
      </c>
      <c r="D158" s="12" t="s">
        <v>1337</v>
      </c>
      <c r="E158" s="12" t="s">
        <v>1338</v>
      </c>
      <c r="F158" s="12" t="s">
        <v>1339</v>
      </c>
      <c r="G158" s="12" t="s">
        <v>1340</v>
      </c>
    </row>
    <row r="159" spans="1:31" ht="13.2">
      <c r="A159" s="113" t="s">
        <v>1341</v>
      </c>
      <c r="B159" s="151" t="s">
        <v>1342</v>
      </c>
      <c r="C159" s="12" t="s">
        <v>1343</v>
      </c>
      <c r="D159" s="58" t="s">
        <v>1344</v>
      </c>
      <c r="E159" s="58" t="s">
        <v>1345</v>
      </c>
      <c r="F159" s="58" t="s">
        <v>1346</v>
      </c>
      <c r="G159" s="58" t="s">
        <v>1347</v>
      </c>
    </row>
    <row r="160" spans="1:31" ht="13.2">
      <c r="A160" s="113" t="s">
        <v>1348</v>
      </c>
      <c r="B160" s="119" t="s">
        <v>1349</v>
      </c>
      <c r="C160" s="12" t="s">
        <v>45</v>
      </c>
      <c r="D160" s="58" t="s">
        <v>1350</v>
      </c>
      <c r="E160" s="58" t="s">
        <v>1351</v>
      </c>
      <c r="F160" s="58" t="s">
        <v>1352</v>
      </c>
      <c r="G160" s="58" t="s">
        <v>1353</v>
      </c>
    </row>
    <row r="161" spans="1:7" ht="13.2">
      <c r="A161" s="113" t="s">
        <v>1354</v>
      </c>
      <c r="B161" s="154" t="s">
        <v>1355</v>
      </c>
      <c r="C161" s="12" t="s">
        <v>1356</v>
      </c>
      <c r="D161" s="58" t="s">
        <v>1357</v>
      </c>
      <c r="E161" s="58" t="s">
        <v>1358</v>
      </c>
      <c r="F161" s="58" t="s">
        <v>1359</v>
      </c>
      <c r="G161" s="58" t="s">
        <v>1360</v>
      </c>
    </row>
    <row r="162" spans="1:7" ht="13.2">
      <c r="A162" s="113" t="s">
        <v>1361</v>
      </c>
      <c r="B162" s="155" t="s">
        <v>1362</v>
      </c>
      <c r="C162" s="12" t="s">
        <v>1311</v>
      </c>
      <c r="D162" s="12" t="s">
        <v>1363</v>
      </c>
      <c r="E162" s="12" t="s">
        <v>1364</v>
      </c>
      <c r="F162" s="12" t="s">
        <v>1365</v>
      </c>
      <c r="G162" s="12" t="s">
        <v>1366</v>
      </c>
    </row>
    <row r="163" spans="1:7" ht="13.2">
      <c r="A163" s="113" t="s">
        <v>1367</v>
      </c>
      <c r="B163" s="155" t="s">
        <v>1368</v>
      </c>
      <c r="C163" s="12" t="s">
        <v>1311</v>
      </c>
      <c r="D163" s="12" t="s">
        <v>1369</v>
      </c>
      <c r="E163" s="12" t="s">
        <v>1370</v>
      </c>
      <c r="F163" s="12" t="s">
        <v>1371</v>
      </c>
      <c r="G163" s="12" t="s">
        <v>1372</v>
      </c>
    </row>
    <row r="164" spans="1:7" ht="13.2">
      <c r="A164" s="113" t="s">
        <v>1373</v>
      </c>
      <c r="B164" s="156" t="s">
        <v>1374</v>
      </c>
      <c r="C164" s="12" t="s">
        <v>1311</v>
      </c>
      <c r="D164" s="12" t="s">
        <v>1375</v>
      </c>
      <c r="E164" s="12" t="s">
        <v>1376</v>
      </c>
      <c r="F164" s="12" t="s">
        <v>1377</v>
      </c>
      <c r="G164" s="12" t="s">
        <v>1378</v>
      </c>
    </row>
    <row r="165" spans="1:7" ht="13.2">
      <c r="A165" s="113" t="s">
        <v>1379</v>
      </c>
      <c r="B165" s="158" t="s">
        <v>1380</v>
      </c>
      <c r="C165" s="12" t="s">
        <v>1311</v>
      </c>
      <c r="D165" s="12" t="s">
        <v>1381</v>
      </c>
      <c r="E165" s="12" t="s">
        <v>1382</v>
      </c>
      <c r="F165" s="12" t="s">
        <v>1383</v>
      </c>
      <c r="G165" s="12" t="s">
        <v>1384</v>
      </c>
    </row>
    <row r="166" spans="1:7" ht="14.4">
      <c r="A166" s="113" t="s">
        <v>1385</v>
      </c>
      <c r="B166" s="114" t="s">
        <v>1386</v>
      </c>
      <c r="C166" s="12" t="s">
        <v>64</v>
      </c>
      <c r="D166" s="26" t="s">
        <v>1387</v>
      </c>
      <c r="E166" s="26" t="s">
        <v>1388</v>
      </c>
      <c r="F166" s="26" t="s">
        <v>1389</v>
      </c>
      <c r="G166" s="26" t="s">
        <v>1390</v>
      </c>
    </row>
    <row r="167" spans="1:7" ht="14.4">
      <c r="A167" s="113" t="s">
        <v>1391</v>
      </c>
      <c r="B167" s="132" t="s">
        <v>1392</v>
      </c>
      <c r="C167" s="12" t="s">
        <v>324</v>
      </c>
      <c r="D167" s="26" t="s">
        <v>1393</v>
      </c>
      <c r="E167" s="26" t="s">
        <v>55</v>
      </c>
      <c r="F167" s="26" t="s">
        <v>1394</v>
      </c>
      <c r="G167" s="26" t="s">
        <v>1395</v>
      </c>
    </row>
    <row r="168" spans="1:7" ht="14.4">
      <c r="A168" s="113" t="s">
        <v>1396</v>
      </c>
      <c r="B168" s="159" t="s">
        <v>1397</v>
      </c>
      <c r="C168" s="12" t="s">
        <v>32</v>
      </c>
      <c r="D168" s="26" t="s">
        <v>1398</v>
      </c>
      <c r="E168" s="26" t="s">
        <v>1399</v>
      </c>
      <c r="F168" s="26" t="s">
        <v>1400</v>
      </c>
      <c r="G168" s="26" t="s">
        <v>1401</v>
      </c>
    </row>
    <row r="169" spans="1:7" ht="14.4">
      <c r="A169" s="44" t="s">
        <v>1402</v>
      </c>
      <c r="B169" s="121" t="s">
        <v>1403</v>
      </c>
      <c r="C169" s="12" t="s">
        <v>614</v>
      </c>
      <c r="D169" s="26" t="s">
        <v>1404</v>
      </c>
      <c r="E169" s="26" t="s">
        <v>1405</v>
      </c>
      <c r="F169" s="26" t="s">
        <v>1406</v>
      </c>
      <c r="G169" s="26" t="s">
        <v>1407</v>
      </c>
    </row>
    <row r="170" spans="1:7" ht="14.4">
      <c r="A170" s="113" t="s">
        <v>1408</v>
      </c>
      <c r="B170" s="137" t="s">
        <v>1409</v>
      </c>
      <c r="C170" s="12" t="s">
        <v>745</v>
      </c>
      <c r="D170" s="26" t="s">
        <v>1410</v>
      </c>
      <c r="E170" s="26" t="s">
        <v>1411</v>
      </c>
      <c r="F170" s="26" t="s">
        <v>1412</v>
      </c>
      <c r="G170" s="26" t="s">
        <v>1413</v>
      </c>
    </row>
    <row r="171" spans="1:7" ht="14.4">
      <c r="A171" s="113" t="s">
        <v>1414</v>
      </c>
      <c r="B171" s="113" t="s">
        <v>1415</v>
      </c>
      <c r="C171" s="12" t="s">
        <v>45</v>
      </c>
      <c r="D171" s="26" t="s">
        <v>1416</v>
      </c>
      <c r="E171" s="26" t="s">
        <v>1417</v>
      </c>
      <c r="F171" s="26" t="s">
        <v>1418</v>
      </c>
      <c r="G171" s="26" t="s">
        <v>1419</v>
      </c>
    </row>
    <row r="172" spans="1:7" ht="14.4">
      <c r="A172" s="113" t="s">
        <v>1420</v>
      </c>
      <c r="B172" s="114" t="s">
        <v>1421</v>
      </c>
      <c r="C172" s="12" t="s">
        <v>64</v>
      </c>
      <c r="D172" s="26" t="s">
        <v>1422</v>
      </c>
      <c r="E172" s="26" t="s">
        <v>1423</v>
      </c>
      <c r="F172" s="26" t="s">
        <v>1424</v>
      </c>
      <c r="G172" s="26" t="s">
        <v>1425</v>
      </c>
    </row>
    <row r="173" spans="1:7" ht="14.4">
      <c r="A173" s="44" t="s">
        <v>1426</v>
      </c>
      <c r="B173" s="134" t="s">
        <v>1427</v>
      </c>
      <c r="C173" s="12" t="s">
        <v>301</v>
      </c>
      <c r="D173" s="26" t="s">
        <v>1428</v>
      </c>
      <c r="E173" s="26" t="s">
        <v>1429</v>
      </c>
      <c r="F173" s="26" t="s">
        <v>1430</v>
      </c>
      <c r="G173" s="26" t="s">
        <v>1431</v>
      </c>
    </row>
    <row r="174" spans="1:7" ht="14.4">
      <c r="A174" s="113" t="s">
        <v>1432</v>
      </c>
      <c r="B174" s="121" t="s">
        <v>1433</v>
      </c>
      <c r="C174" s="12" t="s">
        <v>614</v>
      </c>
      <c r="D174" s="26" t="s">
        <v>1434</v>
      </c>
      <c r="E174" s="26" t="s">
        <v>1435</v>
      </c>
      <c r="F174" s="26" t="s">
        <v>1436</v>
      </c>
      <c r="G174" s="26" t="s">
        <v>1437</v>
      </c>
    </row>
    <row r="175" spans="1:7" ht="14.4">
      <c r="A175" s="113" t="s">
        <v>1438</v>
      </c>
      <c r="B175" s="116" t="s">
        <v>1439</v>
      </c>
      <c r="C175" s="12" t="s">
        <v>891</v>
      </c>
      <c r="D175" s="26" t="s">
        <v>1440</v>
      </c>
      <c r="E175" s="26" t="s">
        <v>1441</v>
      </c>
      <c r="F175" s="26" t="s">
        <v>1442</v>
      </c>
      <c r="G175" s="26" t="s">
        <v>1443</v>
      </c>
    </row>
    <row r="176" spans="1:7" ht="14.4">
      <c r="A176" s="113" t="s">
        <v>1444</v>
      </c>
      <c r="B176" s="114" t="s">
        <v>1445</v>
      </c>
      <c r="C176" s="12" t="s">
        <v>64</v>
      </c>
      <c r="D176" s="26" t="s">
        <v>1446</v>
      </c>
      <c r="E176" s="26" t="s">
        <v>1447</v>
      </c>
      <c r="F176" s="26" t="s">
        <v>1448</v>
      </c>
      <c r="G176" s="26" t="s">
        <v>1449</v>
      </c>
    </row>
    <row r="177" spans="1:7" ht="14.4">
      <c r="A177" s="113" t="s">
        <v>1450</v>
      </c>
      <c r="B177" s="160" t="s">
        <v>1451</v>
      </c>
      <c r="C177" s="12" t="s">
        <v>45</v>
      </c>
      <c r="D177" s="26" t="s">
        <v>1452</v>
      </c>
      <c r="E177" s="26" t="s">
        <v>1453</v>
      </c>
      <c r="F177" s="26" t="s">
        <v>1454</v>
      </c>
      <c r="G177" s="26" t="s">
        <v>1455</v>
      </c>
    </row>
    <row r="178" spans="1:7" ht="14.4">
      <c r="A178" s="113" t="s">
        <v>1456</v>
      </c>
      <c r="B178" s="152" t="s">
        <v>1457</v>
      </c>
      <c r="C178" s="12" t="s">
        <v>32</v>
      </c>
      <c r="D178" s="26" t="s">
        <v>1458</v>
      </c>
      <c r="E178" s="26" t="s">
        <v>1459</v>
      </c>
      <c r="F178" s="26" t="s">
        <v>1460</v>
      </c>
      <c r="G178" s="26" t="s">
        <v>1461</v>
      </c>
    </row>
    <row r="179" spans="1:7" ht="14.4">
      <c r="A179" s="113" t="s">
        <v>1462</v>
      </c>
      <c r="B179" s="136" t="s">
        <v>1463</v>
      </c>
      <c r="C179" s="12" t="s">
        <v>337</v>
      </c>
      <c r="D179" s="26" t="s">
        <v>1464</v>
      </c>
      <c r="E179" s="26" t="s">
        <v>1465</v>
      </c>
      <c r="F179" s="26" t="s">
        <v>1466</v>
      </c>
      <c r="G179" s="26" t="s">
        <v>1467</v>
      </c>
    </row>
    <row r="180" spans="1:7" ht="14.4">
      <c r="A180" s="113" t="s">
        <v>1468</v>
      </c>
      <c r="B180" s="114" t="s">
        <v>1469</v>
      </c>
      <c r="C180" s="12" t="s">
        <v>64</v>
      </c>
      <c r="D180" s="26" t="s">
        <v>1470</v>
      </c>
      <c r="E180" s="26" t="s">
        <v>1471</v>
      </c>
      <c r="F180" s="26" t="s">
        <v>1472</v>
      </c>
      <c r="G180" s="26" t="s">
        <v>1473</v>
      </c>
    </row>
    <row r="181" spans="1:7" ht="14.4">
      <c r="A181" s="113" t="s">
        <v>1474</v>
      </c>
      <c r="B181" s="118" t="s">
        <v>1475</v>
      </c>
      <c r="C181" s="26" t="s">
        <v>82</v>
      </c>
      <c r="D181" s="26" t="s">
        <v>1476</v>
      </c>
      <c r="E181" s="26" t="s">
        <v>1477</v>
      </c>
      <c r="F181" s="26" t="s">
        <v>1478</v>
      </c>
      <c r="G181" s="26" t="s">
        <v>1479</v>
      </c>
    </row>
    <row r="182" spans="1:7" ht="13.2">
      <c r="A182" s="44" t="s">
        <v>1480</v>
      </c>
      <c r="B182" s="118" t="s">
        <v>1481</v>
      </c>
      <c r="C182" s="12" t="s">
        <v>1482</v>
      </c>
    </row>
    <row r="183" spans="1:7" ht="13.2">
      <c r="A183" s="113" t="s">
        <v>1483</v>
      </c>
      <c r="B183" s="118" t="s">
        <v>1484</v>
      </c>
      <c r="C183" s="12" t="s">
        <v>1311</v>
      </c>
      <c r="D183" s="12" t="s">
        <v>1485</v>
      </c>
      <c r="E183" s="12" t="s">
        <v>1486</v>
      </c>
      <c r="F183" s="12" t="s">
        <v>1487</v>
      </c>
      <c r="G183" s="12" t="s">
        <v>1488</v>
      </c>
    </row>
    <row r="184" spans="1:7" ht="13.2">
      <c r="A184" s="113" t="s">
        <v>1489</v>
      </c>
      <c r="B184" s="118" t="s">
        <v>1490</v>
      </c>
      <c r="C184" s="12" t="s">
        <v>1311</v>
      </c>
      <c r="D184" s="12" t="s">
        <v>1491</v>
      </c>
      <c r="E184" s="12" t="s">
        <v>1492</v>
      </c>
      <c r="F184" s="12" t="s">
        <v>1493</v>
      </c>
      <c r="G184" s="12" t="s">
        <v>1494</v>
      </c>
    </row>
    <row r="185" spans="1:7" ht="13.2">
      <c r="A185" s="113"/>
      <c r="B185" s="161" t="s">
        <v>1495</v>
      </c>
      <c r="C185" s="12" t="s">
        <v>1496</v>
      </c>
      <c r="D185" s="12" t="s">
        <v>1497</v>
      </c>
      <c r="E185" s="12" t="s">
        <v>1498</v>
      </c>
      <c r="F185" s="12" t="s">
        <v>1499</v>
      </c>
      <c r="G185" s="12" t="s">
        <v>1500</v>
      </c>
    </row>
    <row r="186" spans="1:7" ht="14.4">
      <c r="A186" s="113" t="s">
        <v>1501</v>
      </c>
      <c r="B186" s="118" t="s">
        <v>1502</v>
      </c>
      <c r="C186" s="26" t="s">
        <v>82</v>
      </c>
      <c r="D186" s="12" t="s">
        <v>1503</v>
      </c>
      <c r="E186" s="12" t="s">
        <v>1504</v>
      </c>
      <c r="F186" s="12" t="s">
        <v>1505</v>
      </c>
      <c r="G186" s="12" t="s">
        <v>1506</v>
      </c>
    </row>
    <row r="187" spans="1:7" ht="13.2">
      <c r="A187" s="113" t="s">
        <v>1507</v>
      </c>
      <c r="B187" s="154" t="s">
        <v>1508</v>
      </c>
      <c r="C187" s="12" t="s">
        <v>1356</v>
      </c>
      <c r="D187" s="12" t="s">
        <v>1509</v>
      </c>
      <c r="E187" s="12" t="s">
        <v>1510</v>
      </c>
      <c r="F187" s="12" t="s">
        <v>1511</v>
      </c>
      <c r="G187" s="12" t="s">
        <v>1512</v>
      </c>
    </row>
    <row r="188" spans="1:7" ht="14.4">
      <c r="A188" s="113" t="s">
        <v>1513</v>
      </c>
      <c r="B188" s="162" t="s">
        <v>1514</v>
      </c>
      <c r="C188" s="26" t="s">
        <v>82</v>
      </c>
      <c r="D188" s="12" t="s">
        <v>1515</v>
      </c>
      <c r="E188" s="12" t="s">
        <v>1516</v>
      </c>
      <c r="F188" s="12" t="s">
        <v>1517</v>
      </c>
      <c r="G188" s="12" t="s">
        <v>1518</v>
      </c>
    </row>
    <row r="189" spans="1:7" ht="14.4">
      <c r="A189" s="113" t="s">
        <v>1519</v>
      </c>
      <c r="B189" s="162" t="s">
        <v>1520</v>
      </c>
      <c r="C189" s="26" t="s">
        <v>82</v>
      </c>
      <c r="D189" s="12" t="s">
        <v>1521</v>
      </c>
      <c r="E189" s="12" t="s">
        <v>1522</v>
      </c>
      <c r="F189" s="12" t="s">
        <v>1523</v>
      </c>
      <c r="G189" s="12" t="s">
        <v>1524</v>
      </c>
    </row>
    <row r="190" spans="1:7" ht="14.4">
      <c r="A190" s="113" t="s">
        <v>1525</v>
      </c>
      <c r="B190" s="162" t="s">
        <v>1526</v>
      </c>
      <c r="C190" s="26" t="s">
        <v>82</v>
      </c>
      <c r="D190" s="12" t="s">
        <v>1527</v>
      </c>
      <c r="E190" s="12" t="s">
        <v>1528</v>
      </c>
      <c r="F190" s="12" t="s">
        <v>1529</v>
      </c>
      <c r="G190" s="12" t="s">
        <v>1530</v>
      </c>
    </row>
    <row r="191" spans="1:7" ht="13.2">
      <c r="A191" s="113" t="s">
        <v>1531</v>
      </c>
      <c r="B191" s="154" t="s">
        <v>1532</v>
      </c>
      <c r="C191" s="12" t="s">
        <v>1356</v>
      </c>
      <c r="D191" s="12" t="s">
        <v>1533</v>
      </c>
      <c r="E191" s="12" t="s">
        <v>1534</v>
      </c>
      <c r="F191" s="12" t="s">
        <v>1535</v>
      </c>
      <c r="G191" s="12" t="s">
        <v>1536</v>
      </c>
    </row>
    <row r="192" spans="1:7" ht="13.2">
      <c r="A192" s="113" t="s">
        <v>1537</v>
      </c>
      <c r="B192" s="160" t="s">
        <v>1538</v>
      </c>
      <c r="C192" s="12" t="s">
        <v>45</v>
      </c>
      <c r="D192" s="12" t="s">
        <v>1539</v>
      </c>
      <c r="E192" s="12" t="s">
        <v>1540</v>
      </c>
      <c r="F192" s="12" t="s">
        <v>1541</v>
      </c>
      <c r="G192" s="12" t="s">
        <v>1542</v>
      </c>
    </row>
    <row r="193" spans="1:7" ht="14.4">
      <c r="A193" s="113" t="s">
        <v>1543</v>
      </c>
      <c r="B193" s="162" t="s">
        <v>1544</v>
      </c>
      <c r="C193" s="26" t="s">
        <v>82</v>
      </c>
      <c r="D193" s="12" t="s">
        <v>1545</v>
      </c>
      <c r="E193" s="12" t="s">
        <v>1546</v>
      </c>
      <c r="F193" s="12" t="s">
        <v>1547</v>
      </c>
      <c r="G193" s="12" t="s">
        <v>1548</v>
      </c>
    </row>
    <row r="194" spans="1:7" ht="14.4">
      <c r="A194" s="113" t="s">
        <v>1549</v>
      </c>
      <c r="B194" s="162" t="s">
        <v>1550</v>
      </c>
      <c r="C194" s="26" t="s">
        <v>82</v>
      </c>
      <c r="D194" s="12" t="s">
        <v>1551</v>
      </c>
      <c r="E194" s="12" t="s">
        <v>1552</v>
      </c>
      <c r="F194" s="12" t="s">
        <v>1553</v>
      </c>
      <c r="G194" s="12" t="s">
        <v>1554</v>
      </c>
    </row>
    <row r="195" spans="1:7" ht="13.2">
      <c r="A195" s="113" t="s">
        <v>1555</v>
      </c>
      <c r="B195" s="116" t="s">
        <v>1556</v>
      </c>
      <c r="C195" s="12" t="s">
        <v>891</v>
      </c>
      <c r="D195" s="12" t="s">
        <v>1557</v>
      </c>
      <c r="E195" s="12" t="s">
        <v>1558</v>
      </c>
      <c r="F195" s="12" t="s">
        <v>1559</v>
      </c>
      <c r="G195" s="12" t="s">
        <v>1560</v>
      </c>
    </row>
    <row r="196" spans="1:7" ht="13.2">
      <c r="A196" s="113" t="s">
        <v>1561</v>
      </c>
      <c r="B196" s="162" t="s">
        <v>1562</v>
      </c>
      <c r="C196" s="12" t="s">
        <v>32</v>
      </c>
      <c r="D196" s="12" t="s">
        <v>1563</v>
      </c>
      <c r="E196" s="12" t="s">
        <v>1564</v>
      </c>
      <c r="F196" s="12" t="s">
        <v>1565</v>
      </c>
      <c r="G196" s="12" t="s">
        <v>1566</v>
      </c>
    </row>
    <row r="197" spans="1:7" ht="14.4">
      <c r="A197" s="113" t="s">
        <v>1567</v>
      </c>
      <c r="B197" s="162" t="s">
        <v>1568</v>
      </c>
      <c r="C197" s="26" t="s">
        <v>82</v>
      </c>
      <c r="D197" s="12" t="s">
        <v>1569</v>
      </c>
      <c r="E197" s="12" t="s">
        <v>1570</v>
      </c>
      <c r="F197" s="12" t="s">
        <v>1571</v>
      </c>
      <c r="G197" s="12" t="s">
        <v>1572</v>
      </c>
    </row>
    <row r="198" spans="1:7" ht="14.4">
      <c r="A198" s="113" t="s">
        <v>1573</v>
      </c>
      <c r="B198" s="162" t="s">
        <v>1574</v>
      </c>
      <c r="C198" s="26" t="s">
        <v>82</v>
      </c>
      <c r="D198" s="12" t="s">
        <v>1575</v>
      </c>
      <c r="E198" s="12" t="s">
        <v>1576</v>
      </c>
      <c r="F198" s="12" t="s">
        <v>1577</v>
      </c>
      <c r="G198" s="12" t="s">
        <v>1578</v>
      </c>
    </row>
    <row r="199" spans="1:7" ht="14.4">
      <c r="A199" s="113" t="s">
        <v>1579</v>
      </c>
      <c r="B199" s="162" t="s">
        <v>1580</v>
      </c>
      <c r="C199" s="26" t="s">
        <v>82</v>
      </c>
      <c r="D199" s="12" t="s">
        <v>1581</v>
      </c>
      <c r="E199" s="12" t="s">
        <v>1582</v>
      </c>
      <c r="F199" s="12" t="s">
        <v>1583</v>
      </c>
      <c r="G199" s="12" t="s">
        <v>1584</v>
      </c>
    </row>
    <row r="200" spans="1:7" ht="13.2">
      <c r="A200" s="113" t="s">
        <v>1585</v>
      </c>
      <c r="B200" s="132" t="s">
        <v>1586</v>
      </c>
      <c r="C200" s="12" t="s">
        <v>324</v>
      </c>
      <c r="D200" s="12" t="s">
        <v>1587</v>
      </c>
      <c r="E200" s="12" t="s">
        <v>1588</v>
      </c>
      <c r="F200" s="12" t="s">
        <v>1589</v>
      </c>
      <c r="G200" s="12" t="s">
        <v>1590</v>
      </c>
    </row>
    <row r="201" spans="1:7" ht="14.4">
      <c r="A201" s="113" t="s">
        <v>1591</v>
      </c>
      <c r="B201" s="162" t="s">
        <v>1592</v>
      </c>
      <c r="C201" s="26" t="s">
        <v>82</v>
      </c>
      <c r="D201" s="12" t="s">
        <v>1593</v>
      </c>
      <c r="E201" s="12" t="s">
        <v>1594</v>
      </c>
      <c r="F201" s="12" t="s">
        <v>1595</v>
      </c>
      <c r="G201" s="12" t="s">
        <v>1596</v>
      </c>
    </row>
    <row r="202" spans="1:7" ht="14.4">
      <c r="A202" s="113" t="s">
        <v>1597</v>
      </c>
      <c r="B202" s="162" t="s">
        <v>1598</v>
      </c>
      <c r="C202" s="26" t="s">
        <v>82</v>
      </c>
      <c r="D202" s="12" t="s">
        <v>1599</v>
      </c>
      <c r="E202" s="12" t="s">
        <v>1600</v>
      </c>
      <c r="F202" s="12" t="s">
        <v>1601</v>
      </c>
      <c r="G202" s="12" t="s">
        <v>1602</v>
      </c>
    </row>
    <row r="203" spans="1:7" ht="13.2">
      <c r="A203" s="113" t="s">
        <v>1603</v>
      </c>
      <c r="B203" s="160" t="s">
        <v>1604</v>
      </c>
      <c r="C203" s="12" t="s">
        <v>45</v>
      </c>
      <c r="D203" s="12" t="s">
        <v>1605</v>
      </c>
      <c r="E203" s="12" t="s">
        <v>1606</v>
      </c>
      <c r="F203" s="12" t="s">
        <v>1607</v>
      </c>
      <c r="G203" s="12" t="s">
        <v>1608</v>
      </c>
    </row>
    <row r="204" spans="1:7" ht="14.4">
      <c r="A204" s="113" t="s">
        <v>1609</v>
      </c>
      <c r="B204" s="162" t="s">
        <v>1610</v>
      </c>
      <c r="C204" s="26" t="s">
        <v>82</v>
      </c>
      <c r="D204" s="12" t="s">
        <v>1611</v>
      </c>
      <c r="E204" s="12" t="s">
        <v>1612</v>
      </c>
      <c r="F204" s="12" t="s">
        <v>1613</v>
      </c>
      <c r="G204" s="12" t="s">
        <v>1614</v>
      </c>
    </row>
    <row r="205" spans="1:7" ht="14.4">
      <c r="A205" s="113" t="s">
        <v>1615</v>
      </c>
      <c r="B205" s="162" t="s">
        <v>1616</v>
      </c>
      <c r="C205" s="26" t="s">
        <v>82</v>
      </c>
      <c r="D205" s="12" t="s">
        <v>1617</v>
      </c>
      <c r="E205" s="12" t="s">
        <v>1618</v>
      </c>
      <c r="F205" s="12" t="s">
        <v>1619</v>
      </c>
      <c r="G205" s="12" t="s">
        <v>1620</v>
      </c>
    </row>
    <row r="206" spans="1:7" ht="13.2">
      <c r="A206" s="113"/>
    </row>
    <row r="207" spans="1:7" ht="13.2">
      <c r="A207" s="113"/>
    </row>
    <row r="208" spans="1:7" ht="13.2">
      <c r="A208" s="113"/>
    </row>
    <row r="209" spans="1:1" ht="13.2">
      <c r="A209" s="113"/>
    </row>
    <row r="210" spans="1:1" ht="13.2">
      <c r="A210" s="113"/>
    </row>
    <row r="211" spans="1:1" ht="13.2">
      <c r="A211" s="113"/>
    </row>
    <row r="212" spans="1:1" ht="13.2">
      <c r="A212" s="113"/>
    </row>
    <row r="213" spans="1:1" ht="13.2">
      <c r="A213" s="113"/>
    </row>
    <row r="214" spans="1:1" ht="13.2">
      <c r="A214" s="113"/>
    </row>
    <row r="215" spans="1:1" ht="13.2">
      <c r="A215" s="113"/>
    </row>
    <row r="216" spans="1:1" ht="13.2">
      <c r="A216" s="113"/>
    </row>
    <row r="217" spans="1:1" ht="13.2">
      <c r="A217" s="113"/>
    </row>
    <row r="218" spans="1:1" ht="13.2">
      <c r="A218" s="113"/>
    </row>
    <row r="219" spans="1:1" ht="13.2">
      <c r="A219" s="113"/>
    </row>
    <row r="220" spans="1:1" ht="13.2">
      <c r="A220" s="113"/>
    </row>
    <row r="221" spans="1:1" ht="13.2">
      <c r="A221" s="113"/>
    </row>
    <row r="222" spans="1:1" ht="13.2">
      <c r="A222" s="113"/>
    </row>
    <row r="223" spans="1:1" ht="13.2">
      <c r="A223" s="113"/>
    </row>
    <row r="224" spans="1:1" ht="13.2">
      <c r="A224" s="113"/>
    </row>
    <row r="225" spans="1:1" ht="13.2">
      <c r="A225" s="113"/>
    </row>
    <row r="226" spans="1:1" ht="13.2">
      <c r="A226" s="113"/>
    </row>
    <row r="227" spans="1:1" ht="13.2">
      <c r="A227" s="113"/>
    </row>
    <row r="228" spans="1:1" ht="13.2">
      <c r="A228" s="113"/>
    </row>
    <row r="229" spans="1:1" ht="13.2">
      <c r="A229" s="113"/>
    </row>
    <row r="230" spans="1:1" ht="13.2">
      <c r="A230" s="113"/>
    </row>
    <row r="231" spans="1:1" ht="13.2">
      <c r="A231" s="113"/>
    </row>
    <row r="232" spans="1:1" ht="13.2">
      <c r="A232" s="113"/>
    </row>
    <row r="233" spans="1:1" ht="13.2">
      <c r="A233" s="113"/>
    </row>
    <row r="234" spans="1:1" ht="13.2">
      <c r="A234" s="113"/>
    </row>
    <row r="235" spans="1:1" ht="13.2">
      <c r="A235" s="113"/>
    </row>
    <row r="236" spans="1:1" ht="13.2">
      <c r="A236" s="113"/>
    </row>
    <row r="237" spans="1:1" ht="13.2">
      <c r="A237" s="113"/>
    </row>
    <row r="238" spans="1:1" ht="13.2">
      <c r="A238" s="113"/>
    </row>
    <row r="239" spans="1:1" ht="13.2">
      <c r="A239" s="113"/>
    </row>
    <row r="240" spans="1:1" ht="13.2">
      <c r="A240" s="113"/>
    </row>
    <row r="241" spans="1:1" ht="13.2">
      <c r="A241" s="113"/>
    </row>
    <row r="242" spans="1:1" ht="13.2">
      <c r="A242" s="113"/>
    </row>
    <row r="243" spans="1:1" ht="13.2">
      <c r="A243" s="113"/>
    </row>
    <row r="244" spans="1:1" ht="13.2">
      <c r="A244" s="113"/>
    </row>
    <row r="245" spans="1:1" ht="13.2">
      <c r="A245" s="113"/>
    </row>
    <row r="246" spans="1:1" ht="13.2">
      <c r="A246" s="113"/>
    </row>
    <row r="247" spans="1:1" ht="13.2">
      <c r="A247" s="113"/>
    </row>
    <row r="248" spans="1:1" ht="13.2">
      <c r="A248" s="113"/>
    </row>
    <row r="249" spans="1:1" ht="13.2">
      <c r="A249" s="113"/>
    </row>
    <row r="250" spans="1:1" ht="13.2">
      <c r="A250" s="113"/>
    </row>
    <row r="251" spans="1:1" ht="13.2">
      <c r="A251" s="113"/>
    </row>
    <row r="252" spans="1:1" ht="13.2">
      <c r="A252" s="113"/>
    </row>
    <row r="253" spans="1:1" ht="13.2">
      <c r="A253" s="113"/>
    </row>
    <row r="254" spans="1:1" ht="13.2">
      <c r="A254" s="113"/>
    </row>
    <row r="255" spans="1:1" ht="13.2">
      <c r="A255" s="113"/>
    </row>
    <row r="256" spans="1:1" ht="13.2">
      <c r="A256" s="113"/>
    </row>
    <row r="257" spans="1:1" ht="13.2">
      <c r="A257" s="113"/>
    </row>
    <row r="258" spans="1:1" ht="13.2">
      <c r="A258" s="113"/>
    </row>
    <row r="259" spans="1:1" ht="13.2">
      <c r="A259" s="113"/>
    </row>
    <row r="260" spans="1:1" ht="13.2">
      <c r="A260" s="113"/>
    </row>
    <row r="261" spans="1:1" ht="13.2">
      <c r="A261" s="113"/>
    </row>
    <row r="262" spans="1:1" ht="13.2">
      <c r="A262" s="113"/>
    </row>
    <row r="263" spans="1:1" ht="13.2">
      <c r="A263" s="113"/>
    </row>
    <row r="264" spans="1:1" ht="13.2">
      <c r="A264" s="113"/>
    </row>
    <row r="265" spans="1:1" ht="13.2">
      <c r="A265" s="113"/>
    </row>
    <row r="266" spans="1:1" ht="13.2">
      <c r="A266" s="113"/>
    </row>
    <row r="267" spans="1:1" ht="13.2">
      <c r="A267" s="113"/>
    </row>
    <row r="268" spans="1:1" ht="13.2">
      <c r="A268" s="113"/>
    </row>
    <row r="269" spans="1:1" ht="13.2">
      <c r="A269" s="113"/>
    </row>
    <row r="270" spans="1:1" ht="13.2">
      <c r="A270" s="113"/>
    </row>
    <row r="271" spans="1:1" ht="13.2">
      <c r="A271" s="113"/>
    </row>
    <row r="272" spans="1:1" ht="13.2">
      <c r="A272" s="113"/>
    </row>
    <row r="273" spans="1:1" ht="13.2">
      <c r="A273" s="113"/>
    </row>
    <row r="274" spans="1:1" ht="13.2">
      <c r="A274" s="113"/>
    </row>
    <row r="275" spans="1:1" ht="13.2">
      <c r="A275" s="113"/>
    </row>
    <row r="276" spans="1:1" ht="13.2">
      <c r="A276" s="113"/>
    </row>
    <row r="277" spans="1:1" ht="13.2">
      <c r="A277" s="113"/>
    </row>
    <row r="278" spans="1:1" ht="13.2">
      <c r="A278" s="113"/>
    </row>
    <row r="279" spans="1:1" ht="13.2">
      <c r="A279" s="113"/>
    </row>
    <row r="280" spans="1:1" ht="13.2">
      <c r="A280" s="113"/>
    </row>
    <row r="281" spans="1:1" ht="13.2">
      <c r="A281" s="113"/>
    </row>
    <row r="282" spans="1:1" ht="13.2">
      <c r="A282" s="113"/>
    </row>
    <row r="283" spans="1:1" ht="13.2">
      <c r="A283" s="113"/>
    </row>
    <row r="284" spans="1:1" ht="13.2">
      <c r="A284" s="113"/>
    </row>
    <row r="285" spans="1:1" ht="13.2">
      <c r="A285" s="113"/>
    </row>
    <row r="286" spans="1:1" ht="13.2">
      <c r="A286" s="113"/>
    </row>
    <row r="287" spans="1:1" ht="13.2">
      <c r="A287" s="113"/>
    </row>
    <row r="288" spans="1:1" ht="13.2">
      <c r="A288" s="113"/>
    </row>
    <row r="289" spans="1:1" ht="13.2">
      <c r="A289" s="113"/>
    </row>
    <row r="290" spans="1:1" ht="13.2">
      <c r="A290" s="113"/>
    </row>
    <row r="291" spans="1:1" ht="13.2">
      <c r="A291" s="113"/>
    </row>
    <row r="292" spans="1:1" ht="13.2">
      <c r="A292" s="113"/>
    </row>
    <row r="293" spans="1:1" ht="13.2">
      <c r="A293" s="113"/>
    </row>
    <row r="294" spans="1:1" ht="13.2">
      <c r="A294" s="113"/>
    </row>
    <row r="295" spans="1:1" ht="13.2">
      <c r="A295" s="113"/>
    </row>
    <row r="296" spans="1:1" ht="13.2">
      <c r="A296" s="113"/>
    </row>
    <row r="297" spans="1:1" ht="13.2">
      <c r="A297" s="113"/>
    </row>
    <row r="298" spans="1:1" ht="13.2">
      <c r="A298" s="113"/>
    </row>
    <row r="299" spans="1:1" ht="13.2">
      <c r="A299" s="113"/>
    </row>
    <row r="300" spans="1:1" ht="13.2">
      <c r="A300" s="113"/>
    </row>
    <row r="301" spans="1:1" ht="13.2">
      <c r="A301" s="113"/>
    </row>
    <row r="302" spans="1:1" ht="13.2">
      <c r="A302" s="113"/>
    </row>
    <row r="303" spans="1:1" ht="13.2">
      <c r="A303" s="113"/>
    </row>
    <row r="304" spans="1:1" ht="13.2">
      <c r="A304" s="113"/>
    </row>
    <row r="305" spans="1:1" ht="13.2">
      <c r="A305" s="113"/>
    </row>
    <row r="306" spans="1:1" ht="13.2">
      <c r="A306" s="113"/>
    </row>
    <row r="307" spans="1:1" ht="13.2">
      <c r="A307" s="113"/>
    </row>
    <row r="308" spans="1:1" ht="13.2">
      <c r="A308" s="113"/>
    </row>
    <row r="309" spans="1:1" ht="13.2">
      <c r="A309" s="113"/>
    </row>
    <row r="310" spans="1:1" ht="13.2">
      <c r="A310" s="113"/>
    </row>
    <row r="311" spans="1:1" ht="13.2">
      <c r="A311" s="113"/>
    </row>
    <row r="312" spans="1:1" ht="13.2">
      <c r="A312" s="113"/>
    </row>
    <row r="313" spans="1:1" ht="13.2">
      <c r="A313" s="113"/>
    </row>
    <row r="314" spans="1:1" ht="13.2">
      <c r="A314" s="113"/>
    </row>
    <row r="315" spans="1:1" ht="13.2">
      <c r="A315" s="113"/>
    </row>
    <row r="316" spans="1:1" ht="13.2">
      <c r="A316" s="113"/>
    </row>
    <row r="317" spans="1:1" ht="13.2">
      <c r="A317" s="113"/>
    </row>
    <row r="318" spans="1:1" ht="13.2">
      <c r="A318" s="113"/>
    </row>
    <row r="319" spans="1:1" ht="13.2">
      <c r="A319" s="113"/>
    </row>
    <row r="320" spans="1:1" ht="13.2">
      <c r="A320" s="113"/>
    </row>
    <row r="321" spans="1:1" ht="13.2">
      <c r="A321" s="113"/>
    </row>
    <row r="322" spans="1:1" ht="13.2">
      <c r="A322" s="113"/>
    </row>
    <row r="323" spans="1:1" ht="13.2">
      <c r="A323" s="113"/>
    </row>
    <row r="324" spans="1:1" ht="13.2">
      <c r="A324" s="113"/>
    </row>
    <row r="325" spans="1:1" ht="13.2">
      <c r="A325" s="113"/>
    </row>
    <row r="326" spans="1:1" ht="13.2">
      <c r="A326" s="113"/>
    </row>
    <row r="327" spans="1:1" ht="13.2">
      <c r="A327" s="113"/>
    </row>
    <row r="328" spans="1:1" ht="13.2">
      <c r="A328" s="113"/>
    </row>
    <row r="329" spans="1:1" ht="13.2">
      <c r="A329" s="113"/>
    </row>
    <row r="330" spans="1:1" ht="13.2">
      <c r="A330" s="113"/>
    </row>
    <row r="331" spans="1:1" ht="13.2">
      <c r="A331" s="113"/>
    </row>
    <row r="332" spans="1:1" ht="13.2">
      <c r="A332" s="113"/>
    </row>
    <row r="333" spans="1:1" ht="13.2">
      <c r="A333" s="113"/>
    </row>
    <row r="334" spans="1:1" ht="13.2">
      <c r="A334" s="113"/>
    </row>
    <row r="335" spans="1:1" ht="13.2">
      <c r="A335" s="113"/>
    </row>
    <row r="336" spans="1:1" ht="13.2">
      <c r="A336" s="113"/>
    </row>
    <row r="337" spans="1:1" ht="13.2">
      <c r="A337" s="113"/>
    </row>
    <row r="338" spans="1:1" ht="13.2">
      <c r="A338" s="113"/>
    </row>
    <row r="339" spans="1:1" ht="13.2">
      <c r="A339" s="113"/>
    </row>
    <row r="340" spans="1:1" ht="13.2">
      <c r="A340" s="113"/>
    </row>
    <row r="341" spans="1:1" ht="13.2">
      <c r="A341" s="113"/>
    </row>
    <row r="342" spans="1:1" ht="13.2">
      <c r="A342" s="113"/>
    </row>
    <row r="343" spans="1:1" ht="13.2">
      <c r="A343" s="113"/>
    </row>
    <row r="344" spans="1:1" ht="13.2">
      <c r="A344" s="113"/>
    </row>
    <row r="345" spans="1:1" ht="13.2">
      <c r="A345" s="113"/>
    </row>
    <row r="346" spans="1:1" ht="13.2">
      <c r="A346" s="113"/>
    </row>
    <row r="347" spans="1:1" ht="13.2">
      <c r="A347" s="113"/>
    </row>
    <row r="348" spans="1:1" ht="13.2">
      <c r="A348" s="113"/>
    </row>
    <row r="349" spans="1:1" ht="13.2">
      <c r="A349" s="113"/>
    </row>
    <row r="350" spans="1:1" ht="13.2">
      <c r="A350" s="113"/>
    </row>
    <row r="351" spans="1:1" ht="13.2">
      <c r="A351" s="113"/>
    </row>
    <row r="352" spans="1:1" ht="13.2">
      <c r="A352" s="113"/>
    </row>
    <row r="353" spans="1:1" ht="13.2">
      <c r="A353" s="113"/>
    </row>
    <row r="354" spans="1:1" ht="13.2">
      <c r="A354" s="113"/>
    </row>
    <row r="355" spans="1:1" ht="13.2">
      <c r="A355" s="113"/>
    </row>
    <row r="356" spans="1:1" ht="13.2">
      <c r="A356" s="113"/>
    </row>
    <row r="357" spans="1:1" ht="13.2">
      <c r="A357" s="113"/>
    </row>
    <row r="358" spans="1:1" ht="13.2">
      <c r="A358" s="113"/>
    </row>
    <row r="359" spans="1:1" ht="13.2">
      <c r="A359" s="113"/>
    </row>
    <row r="360" spans="1:1" ht="13.2">
      <c r="A360" s="113"/>
    </row>
    <row r="361" spans="1:1" ht="13.2">
      <c r="A361" s="113"/>
    </row>
    <row r="362" spans="1:1" ht="13.2">
      <c r="A362" s="113"/>
    </row>
    <row r="363" spans="1:1" ht="13.2">
      <c r="A363" s="113"/>
    </row>
    <row r="364" spans="1:1" ht="13.2">
      <c r="A364" s="113"/>
    </row>
    <row r="365" spans="1:1" ht="13.2">
      <c r="A365" s="113"/>
    </row>
    <row r="366" spans="1:1" ht="13.2">
      <c r="A366" s="113"/>
    </row>
    <row r="367" spans="1:1" ht="13.2">
      <c r="A367" s="113"/>
    </row>
    <row r="368" spans="1:1" ht="13.2">
      <c r="A368" s="113"/>
    </row>
    <row r="369" spans="1:1" ht="13.2">
      <c r="A369" s="113"/>
    </row>
    <row r="370" spans="1:1" ht="13.2">
      <c r="A370" s="113"/>
    </row>
    <row r="371" spans="1:1" ht="13.2">
      <c r="A371" s="113"/>
    </row>
    <row r="372" spans="1:1" ht="13.2">
      <c r="A372" s="113"/>
    </row>
    <row r="373" spans="1:1" ht="13.2">
      <c r="A373" s="113"/>
    </row>
    <row r="374" spans="1:1" ht="13.2">
      <c r="A374" s="113"/>
    </row>
    <row r="375" spans="1:1" ht="13.2">
      <c r="A375" s="113"/>
    </row>
    <row r="376" spans="1:1" ht="13.2">
      <c r="A376" s="113"/>
    </row>
    <row r="377" spans="1:1" ht="13.2">
      <c r="A377" s="113"/>
    </row>
    <row r="378" spans="1:1" ht="13.2">
      <c r="A378" s="113"/>
    </row>
    <row r="379" spans="1:1" ht="13.2">
      <c r="A379" s="113"/>
    </row>
    <row r="380" spans="1:1" ht="13.2">
      <c r="A380" s="113"/>
    </row>
    <row r="381" spans="1:1" ht="13.2">
      <c r="A381" s="113"/>
    </row>
    <row r="382" spans="1:1" ht="13.2">
      <c r="A382" s="113"/>
    </row>
    <row r="383" spans="1:1" ht="13.2">
      <c r="A383" s="113"/>
    </row>
    <row r="384" spans="1:1" ht="13.2">
      <c r="A384" s="113"/>
    </row>
    <row r="385" spans="1:1" ht="13.2">
      <c r="A385" s="113"/>
    </row>
    <row r="386" spans="1:1" ht="13.2">
      <c r="A386" s="113"/>
    </row>
    <row r="387" spans="1:1" ht="13.2">
      <c r="A387" s="113"/>
    </row>
    <row r="388" spans="1:1" ht="13.2">
      <c r="A388" s="113"/>
    </row>
    <row r="389" spans="1:1" ht="13.2">
      <c r="A389" s="113"/>
    </row>
    <row r="390" spans="1:1" ht="13.2">
      <c r="A390" s="113"/>
    </row>
    <row r="391" spans="1:1" ht="13.2">
      <c r="A391" s="113"/>
    </row>
    <row r="392" spans="1:1" ht="13.2">
      <c r="A392" s="113"/>
    </row>
    <row r="393" spans="1:1" ht="13.2">
      <c r="A393" s="113"/>
    </row>
    <row r="394" spans="1:1" ht="13.2">
      <c r="A394" s="113"/>
    </row>
    <row r="395" spans="1:1" ht="13.2">
      <c r="A395" s="113"/>
    </row>
    <row r="396" spans="1:1" ht="13.2">
      <c r="A396" s="113"/>
    </row>
    <row r="397" spans="1:1" ht="13.2">
      <c r="A397" s="113"/>
    </row>
    <row r="398" spans="1:1" ht="13.2">
      <c r="A398" s="113"/>
    </row>
    <row r="399" spans="1:1" ht="13.2">
      <c r="A399" s="113"/>
    </row>
    <row r="400" spans="1:1" ht="13.2">
      <c r="A400" s="113"/>
    </row>
    <row r="401" spans="1:1" ht="13.2">
      <c r="A401" s="113"/>
    </row>
    <row r="402" spans="1:1" ht="13.2">
      <c r="A402" s="113"/>
    </row>
    <row r="403" spans="1:1" ht="13.2">
      <c r="A403" s="113"/>
    </row>
    <row r="404" spans="1:1" ht="13.2">
      <c r="A404" s="113"/>
    </row>
    <row r="405" spans="1:1" ht="13.2">
      <c r="A405" s="113"/>
    </row>
    <row r="406" spans="1:1" ht="13.2">
      <c r="A406" s="113"/>
    </row>
    <row r="407" spans="1:1" ht="13.2">
      <c r="A407" s="113"/>
    </row>
    <row r="408" spans="1:1" ht="13.2">
      <c r="A408" s="113"/>
    </row>
    <row r="409" spans="1:1" ht="13.2">
      <c r="A409" s="113"/>
    </row>
    <row r="410" spans="1:1" ht="13.2">
      <c r="A410" s="113"/>
    </row>
    <row r="411" spans="1:1" ht="13.2">
      <c r="A411" s="113"/>
    </row>
    <row r="412" spans="1:1" ht="13.2">
      <c r="A412" s="113"/>
    </row>
    <row r="413" spans="1:1" ht="13.2">
      <c r="A413" s="113"/>
    </row>
    <row r="414" spans="1:1" ht="13.2">
      <c r="A414" s="113"/>
    </row>
    <row r="415" spans="1:1" ht="13.2">
      <c r="A415" s="113"/>
    </row>
    <row r="416" spans="1:1" ht="13.2">
      <c r="A416" s="113"/>
    </row>
    <row r="417" spans="1:1" ht="13.2">
      <c r="A417" s="113"/>
    </row>
    <row r="418" spans="1:1" ht="13.2">
      <c r="A418" s="113"/>
    </row>
    <row r="419" spans="1:1" ht="13.2">
      <c r="A419" s="113"/>
    </row>
    <row r="420" spans="1:1" ht="13.2">
      <c r="A420" s="113"/>
    </row>
    <row r="421" spans="1:1" ht="13.2">
      <c r="A421" s="113"/>
    </row>
    <row r="422" spans="1:1" ht="13.2">
      <c r="A422" s="113"/>
    </row>
    <row r="423" spans="1:1" ht="13.2">
      <c r="A423" s="113"/>
    </row>
    <row r="424" spans="1:1" ht="13.2">
      <c r="A424" s="113"/>
    </row>
    <row r="425" spans="1:1" ht="13.2">
      <c r="A425" s="113"/>
    </row>
    <row r="426" spans="1:1" ht="13.2">
      <c r="A426" s="113"/>
    </row>
    <row r="427" spans="1:1" ht="13.2">
      <c r="A427" s="113"/>
    </row>
    <row r="428" spans="1:1" ht="13.2">
      <c r="A428" s="113"/>
    </row>
    <row r="429" spans="1:1" ht="13.2">
      <c r="A429" s="113"/>
    </row>
    <row r="430" spans="1:1" ht="13.2">
      <c r="A430" s="113"/>
    </row>
    <row r="431" spans="1:1" ht="13.2">
      <c r="A431" s="113"/>
    </row>
    <row r="432" spans="1:1" ht="13.2">
      <c r="A432" s="113"/>
    </row>
    <row r="433" spans="1:1" ht="13.2">
      <c r="A433" s="113"/>
    </row>
    <row r="434" spans="1:1" ht="13.2">
      <c r="A434" s="113"/>
    </row>
    <row r="435" spans="1:1" ht="13.2">
      <c r="A435" s="113"/>
    </row>
    <row r="436" spans="1:1" ht="13.2">
      <c r="A436" s="113"/>
    </row>
    <row r="437" spans="1:1" ht="13.2">
      <c r="A437" s="113"/>
    </row>
    <row r="438" spans="1:1" ht="13.2">
      <c r="A438" s="113"/>
    </row>
    <row r="439" spans="1:1" ht="13.2">
      <c r="A439" s="113"/>
    </row>
    <row r="440" spans="1:1" ht="13.2">
      <c r="A440" s="113"/>
    </row>
    <row r="441" spans="1:1" ht="13.2">
      <c r="A441" s="113"/>
    </row>
    <row r="442" spans="1:1" ht="13.2">
      <c r="A442" s="113"/>
    </row>
    <row r="443" spans="1:1" ht="13.2">
      <c r="A443" s="113"/>
    </row>
    <row r="444" spans="1:1" ht="13.2">
      <c r="A444" s="113"/>
    </row>
    <row r="445" spans="1:1" ht="13.2">
      <c r="A445" s="113"/>
    </row>
    <row r="446" spans="1:1" ht="13.2">
      <c r="A446" s="113"/>
    </row>
    <row r="447" spans="1:1" ht="13.2">
      <c r="A447" s="113"/>
    </row>
    <row r="448" spans="1:1" ht="13.2">
      <c r="A448" s="113"/>
    </row>
    <row r="449" spans="1:1" ht="13.2">
      <c r="A449" s="113"/>
    </row>
    <row r="450" spans="1:1" ht="13.2">
      <c r="A450" s="113"/>
    </row>
    <row r="451" spans="1:1" ht="13.2">
      <c r="A451" s="113"/>
    </row>
    <row r="452" spans="1:1" ht="13.2">
      <c r="A452" s="113"/>
    </row>
    <row r="453" spans="1:1" ht="13.2">
      <c r="A453" s="113"/>
    </row>
    <row r="454" spans="1:1" ht="13.2">
      <c r="A454" s="113"/>
    </row>
    <row r="455" spans="1:1" ht="13.2">
      <c r="A455" s="113"/>
    </row>
    <row r="456" spans="1:1" ht="13.2">
      <c r="A456" s="113"/>
    </row>
    <row r="457" spans="1:1" ht="13.2">
      <c r="A457" s="113"/>
    </row>
    <row r="458" spans="1:1" ht="13.2">
      <c r="A458" s="113"/>
    </row>
    <row r="459" spans="1:1" ht="13.2">
      <c r="A459" s="113"/>
    </row>
    <row r="460" spans="1:1" ht="13.2">
      <c r="A460" s="113"/>
    </row>
    <row r="461" spans="1:1" ht="13.2">
      <c r="A461" s="113"/>
    </row>
    <row r="462" spans="1:1" ht="13.2">
      <c r="A462" s="113"/>
    </row>
    <row r="463" spans="1:1" ht="13.2">
      <c r="A463" s="113"/>
    </row>
    <row r="464" spans="1:1" ht="13.2">
      <c r="A464" s="113"/>
    </row>
    <row r="465" spans="1:1" ht="13.2">
      <c r="A465" s="113"/>
    </row>
    <row r="466" spans="1:1" ht="13.2">
      <c r="A466" s="113"/>
    </row>
    <row r="467" spans="1:1" ht="13.2">
      <c r="A467" s="113"/>
    </row>
    <row r="468" spans="1:1" ht="13.2">
      <c r="A468" s="113"/>
    </row>
    <row r="469" spans="1:1" ht="13.2">
      <c r="A469" s="113"/>
    </row>
    <row r="470" spans="1:1" ht="13.2">
      <c r="A470" s="113"/>
    </row>
    <row r="471" spans="1:1" ht="13.2">
      <c r="A471" s="113"/>
    </row>
    <row r="472" spans="1:1" ht="13.2">
      <c r="A472" s="113"/>
    </row>
    <row r="473" spans="1:1" ht="13.2">
      <c r="A473" s="113"/>
    </row>
    <row r="474" spans="1:1" ht="13.2">
      <c r="A474" s="113"/>
    </row>
    <row r="475" spans="1:1" ht="13.2">
      <c r="A475" s="113"/>
    </row>
    <row r="476" spans="1:1" ht="13.2">
      <c r="A476" s="113"/>
    </row>
    <row r="477" spans="1:1" ht="13.2">
      <c r="A477" s="113"/>
    </row>
    <row r="478" spans="1:1" ht="13.2">
      <c r="A478" s="113"/>
    </row>
    <row r="479" spans="1:1" ht="13.2">
      <c r="A479" s="113"/>
    </row>
    <row r="480" spans="1:1" ht="13.2">
      <c r="A480" s="113"/>
    </row>
    <row r="481" spans="1:1" ht="13.2">
      <c r="A481" s="113"/>
    </row>
    <row r="482" spans="1:1" ht="13.2">
      <c r="A482" s="113"/>
    </row>
    <row r="483" spans="1:1" ht="13.2">
      <c r="A483" s="113"/>
    </row>
    <row r="484" spans="1:1" ht="13.2">
      <c r="A484" s="113"/>
    </row>
    <row r="485" spans="1:1" ht="13.2">
      <c r="A485" s="113"/>
    </row>
    <row r="486" spans="1:1" ht="13.2">
      <c r="A486" s="113"/>
    </row>
    <row r="487" spans="1:1" ht="13.2">
      <c r="A487" s="113"/>
    </row>
    <row r="488" spans="1:1" ht="13.2">
      <c r="A488" s="113"/>
    </row>
    <row r="489" spans="1:1" ht="13.2">
      <c r="A489" s="113"/>
    </row>
    <row r="490" spans="1:1" ht="13.2">
      <c r="A490" s="113"/>
    </row>
    <row r="491" spans="1:1" ht="13.2">
      <c r="A491" s="113"/>
    </row>
    <row r="492" spans="1:1" ht="13.2">
      <c r="A492" s="113"/>
    </row>
    <row r="493" spans="1:1" ht="13.2">
      <c r="A493" s="113"/>
    </row>
    <row r="494" spans="1:1" ht="13.2">
      <c r="A494" s="113"/>
    </row>
    <row r="495" spans="1:1" ht="13.2">
      <c r="A495" s="113"/>
    </row>
    <row r="496" spans="1:1" ht="13.2">
      <c r="A496" s="113"/>
    </row>
    <row r="497" spans="1:1" ht="13.2">
      <c r="A497" s="113"/>
    </row>
    <row r="498" spans="1:1" ht="13.2">
      <c r="A498" s="113"/>
    </row>
    <row r="499" spans="1:1" ht="13.2">
      <c r="A499" s="113"/>
    </row>
    <row r="500" spans="1:1" ht="13.2">
      <c r="A500" s="113"/>
    </row>
    <row r="501" spans="1:1" ht="13.2">
      <c r="A501" s="113"/>
    </row>
    <row r="502" spans="1:1" ht="13.2">
      <c r="A502" s="113"/>
    </row>
    <row r="503" spans="1:1" ht="13.2">
      <c r="A503" s="113"/>
    </row>
    <row r="504" spans="1:1" ht="13.2">
      <c r="A504" s="113"/>
    </row>
    <row r="505" spans="1:1" ht="13.2">
      <c r="A505" s="113"/>
    </row>
    <row r="506" spans="1:1" ht="13.2">
      <c r="A506" s="113"/>
    </row>
    <row r="507" spans="1:1" ht="13.2">
      <c r="A507" s="113"/>
    </row>
    <row r="508" spans="1:1" ht="13.2">
      <c r="A508" s="113"/>
    </row>
    <row r="509" spans="1:1" ht="13.2">
      <c r="A509" s="113"/>
    </row>
    <row r="510" spans="1:1" ht="13.2">
      <c r="A510" s="113"/>
    </row>
    <row r="511" spans="1:1" ht="13.2">
      <c r="A511" s="113"/>
    </row>
    <row r="512" spans="1:1" ht="13.2">
      <c r="A512" s="113"/>
    </row>
    <row r="513" spans="1:1" ht="13.2">
      <c r="A513" s="113"/>
    </row>
    <row r="514" spans="1:1" ht="13.2">
      <c r="A514" s="113"/>
    </row>
    <row r="515" spans="1:1" ht="13.2">
      <c r="A515" s="113"/>
    </row>
    <row r="516" spans="1:1" ht="13.2">
      <c r="A516" s="113"/>
    </row>
    <row r="517" spans="1:1" ht="13.2">
      <c r="A517" s="113"/>
    </row>
    <row r="518" spans="1:1" ht="13.2">
      <c r="A518" s="113"/>
    </row>
    <row r="519" spans="1:1" ht="13.2">
      <c r="A519" s="113"/>
    </row>
    <row r="520" spans="1:1" ht="13.2">
      <c r="A520" s="113"/>
    </row>
    <row r="521" spans="1:1" ht="13.2">
      <c r="A521" s="113"/>
    </row>
    <row r="522" spans="1:1" ht="13.2">
      <c r="A522" s="113"/>
    </row>
    <row r="523" spans="1:1" ht="13.2">
      <c r="A523" s="113"/>
    </row>
    <row r="524" spans="1:1" ht="13.2">
      <c r="A524" s="113"/>
    </row>
    <row r="525" spans="1:1" ht="13.2">
      <c r="A525" s="113"/>
    </row>
    <row r="526" spans="1:1" ht="13.2">
      <c r="A526" s="113"/>
    </row>
    <row r="527" spans="1:1" ht="13.2">
      <c r="A527" s="113"/>
    </row>
    <row r="528" spans="1:1" ht="13.2">
      <c r="A528" s="113"/>
    </row>
    <row r="529" spans="1:1" ht="13.2">
      <c r="A529" s="113"/>
    </row>
    <row r="530" spans="1:1" ht="13.2">
      <c r="A530" s="113"/>
    </row>
    <row r="531" spans="1:1" ht="13.2">
      <c r="A531" s="113"/>
    </row>
    <row r="532" spans="1:1" ht="13.2">
      <c r="A532" s="113"/>
    </row>
    <row r="533" spans="1:1" ht="13.2">
      <c r="A533" s="113"/>
    </row>
    <row r="534" spans="1:1" ht="13.2">
      <c r="A534" s="113"/>
    </row>
    <row r="535" spans="1:1" ht="13.2">
      <c r="A535" s="113"/>
    </row>
    <row r="536" spans="1:1" ht="13.2">
      <c r="A536" s="113"/>
    </row>
    <row r="537" spans="1:1" ht="13.2">
      <c r="A537" s="113"/>
    </row>
    <row r="538" spans="1:1" ht="13.2">
      <c r="A538" s="113"/>
    </row>
    <row r="539" spans="1:1" ht="13.2">
      <c r="A539" s="113"/>
    </row>
    <row r="540" spans="1:1" ht="13.2">
      <c r="A540" s="113"/>
    </row>
    <row r="541" spans="1:1" ht="13.2">
      <c r="A541" s="113"/>
    </row>
    <row r="542" spans="1:1" ht="13.2">
      <c r="A542" s="113"/>
    </row>
    <row r="543" spans="1:1" ht="13.2">
      <c r="A543" s="113"/>
    </row>
    <row r="544" spans="1:1" ht="13.2">
      <c r="A544" s="113"/>
    </row>
    <row r="545" spans="1:1" ht="13.2">
      <c r="A545" s="113"/>
    </row>
    <row r="546" spans="1:1" ht="13.2">
      <c r="A546" s="113"/>
    </row>
    <row r="547" spans="1:1" ht="13.2">
      <c r="A547" s="113"/>
    </row>
    <row r="548" spans="1:1" ht="13.2">
      <c r="A548" s="113"/>
    </row>
    <row r="549" spans="1:1" ht="13.2">
      <c r="A549" s="113"/>
    </row>
    <row r="550" spans="1:1" ht="13.2">
      <c r="A550" s="113"/>
    </row>
    <row r="551" spans="1:1" ht="13.2">
      <c r="A551" s="113"/>
    </row>
    <row r="552" spans="1:1" ht="13.2">
      <c r="A552" s="113"/>
    </row>
    <row r="553" spans="1:1" ht="13.2">
      <c r="A553" s="113"/>
    </row>
    <row r="554" spans="1:1" ht="13.2">
      <c r="A554" s="113"/>
    </row>
    <row r="555" spans="1:1" ht="13.2">
      <c r="A555" s="113"/>
    </row>
    <row r="556" spans="1:1" ht="13.2">
      <c r="A556" s="113"/>
    </row>
    <row r="557" spans="1:1" ht="13.2">
      <c r="A557" s="113"/>
    </row>
    <row r="558" spans="1:1" ht="13.2">
      <c r="A558" s="113"/>
    </row>
    <row r="559" spans="1:1" ht="13.2">
      <c r="A559" s="113"/>
    </row>
    <row r="560" spans="1:1" ht="13.2">
      <c r="A560" s="113"/>
    </row>
    <row r="561" spans="1:1" ht="13.2">
      <c r="A561" s="113"/>
    </row>
    <row r="562" spans="1:1" ht="13.2">
      <c r="A562" s="113"/>
    </row>
    <row r="563" spans="1:1" ht="13.2">
      <c r="A563" s="113"/>
    </row>
    <row r="564" spans="1:1" ht="13.2">
      <c r="A564" s="113"/>
    </row>
    <row r="565" spans="1:1" ht="13.2">
      <c r="A565" s="113"/>
    </row>
    <row r="566" spans="1:1" ht="13.2">
      <c r="A566" s="113"/>
    </row>
    <row r="567" spans="1:1" ht="13.2">
      <c r="A567" s="113"/>
    </row>
    <row r="568" spans="1:1" ht="13.2">
      <c r="A568" s="113"/>
    </row>
    <row r="569" spans="1:1" ht="13.2">
      <c r="A569" s="113"/>
    </row>
    <row r="570" spans="1:1" ht="13.2">
      <c r="A570" s="113"/>
    </row>
    <row r="571" spans="1:1" ht="13.2">
      <c r="A571" s="113"/>
    </row>
    <row r="572" spans="1:1" ht="13.2">
      <c r="A572" s="113"/>
    </row>
    <row r="573" spans="1:1" ht="13.2">
      <c r="A573" s="113"/>
    </row>
    <row r="574" spans="1:1" ht="13.2">
      <c r="A574" s="113"/>
    </row>
    <row r="575" spans="1:1" ht="13.2">
      <c r="A575" s="113"/>
    </row>
    <row r="576" spans="1:1" ht="13.2">
      <c r="A576" s="113"/>
    </row>
    <row r="577" spans="1:1" ht="13.2">
      <c r="A577" s="113"/>
    </row>
    <row r="578" spans="1:1" ht="13.2">
      <c r="A578" s="113"/>
    </row>
    <row r="579" spans="1:1" ht="13.2">
      <c r="A579" s="113"/>
    </row>
    <row r="580" spans="1:1" ht="13.2">
      <c r="A580" s="113"/>
    </row>
    <row r="581" spans="1:1" ht="13.2">
      <c r="A581" s="113"/>
    </row>
    <row r="582" spans="1:1" ht="13.2">
      <c r="A582" s="113"/>
    </row>
    <row r="583" spans="1:1" ht="13.2">
      <c r="A583" s="113"/>
    </row>
    <row r="584" spans="1:1" ht="13.2">
      <c r="A584" s="113"/>
    </row>
    <row r="585" spans="1:1" ht="13.2">
      <c r="A585" s="113"/>
    </row>
    <row r="586" spans="1:1" ht="13.2">
      <c r="A586" s="113"/>
    </row>
    <row r="587" spans="1:1" ht="13.2">
      <c r="A587" s="113"/>
    </row>
    <row r="588" spans="1:1" ht="13.2">
      <c r="A588" s="113"/>
    </row>
    <row r="589" spans="1:1" ht="13.2">
      <c r="A589" s="113"/>
    </row>
    <row r="590" spans="1:1" ht="13.2">
      <c r="A590" s="113"/>
    </row>
    <row r="591" spans="1:1" ht="13.2">
      <c r="A591" s="113"/>
    </row>
    <row r="592" spans="1:1" ht="13.2">
      <c r="A592" s="113"/>
    </row>
    <row r="593" spans="1:1" ht="13.2">
      <c r="A593" s="113"/>
    </row>
    <row r="594" spans="1:1" ht="13.2">
      <c r="A594" s="113"/>
    </row>
    <row r="595" spans="1:1" ht="13.2">
      <c r="A595" s="113"/>
    </row>
    <row r="596" spans="1:1" ht="13.2">
      <c r="A596" s="113"/>
    </row>
    <row r="597" spans="1:1" ht="13.2">
      <c r="A597" s="113"/>
    </row>
    <row r="598" spans="1:1" ht="13.2">
      <c r="A598" s="113"/>
    </row>
    <row r="599" spans="1:1" ht="13.2">
      <c r="A599" s="113"/>
    </row>
    <row r="600" spans="1:1" ht="13.2">
      <c r="A600" s="113"/>
    </row>
    <row r="601" spans="1:1" ht="13.2">
      <c r="A601" s="113"/>
    </row>
    <row r="602" spans="1:1" ht="13.2">
      <c r="A602" s="113"/>
    </row>
    <row r="603" spans="1:1" ht="13.2">
      <c r="A603" s="113"/>
    </row>
    <row r="604" spans="1:1" ht="13.2">
      <c r="A604" s="113"/>
    </row>
    <row r="605" spans="1:1" ht="13.2">
      <c r="A605" s="113"/>
    </row>
    <row r="606" spans="1:1" ht="13.2">
      <c r="A606" s="113"/>
    </row>
    <row r="607" spans="1:1" ht="13.2">
      <c r="A607" s="113"/>
    </row>
    <row r="608" spans="1:1" ht="13.2">
      <c r="A608" s="113"/>
    </row>
    <row r="609" spans="1:1" ht="13.2">
      <c r="A609" s="113"/>
    </row>
    <row r="610" spans="1:1" ht="13.2">
      <c r="A610" s="113"/>
    </row>
    <row r="611" spans="1:1" ht="13.2">
      <c r="A611" s="113"/>
    </row>
    <row r="612" spans="1:1" ht="13.2">
      <c r="A612" s="113"/>
    </row>
    <row r="613" spans="1:1" ht="13.2">
      <c r="A613" s="113"/>
    </row>
    <row r="614" spans="1:1" ht="13.2">
      <c r="A614" s="113"/>
    </row>
    <row r="615" spans="1:1" ht="13.2">
      <c r="A615" s="113"/>
    </row>
    <row r="616" spans="1:1" ht="13.2">
      <c r="A616" s="113"/>
    </row>
    <row r="617" spans="1:1" ht="13.2">
      <c r="A617" s="113"/>
    </row>
    <row r="618" spans="1:1" ht="13.2">
      <c r="A618" s="113"/>
    </row>
    <row r="619" spans="1:1" ht="13.2">
      <c r="A619" s="113"/>
    </row>
    <row r="620" spans="1:1" ht="13.2">
      <c r="A620" s="113"/>
    </row>
    <row r="621" spans="1:1" ht="13.2">
      <c r="A621" s="113"/>
    </row>
    <row r="622" spans="1:1" ht="13.2">
      <c r="A622" s="113"/>
    </row>
    <row r="623" spans="1:1" ht="13.2">
      <c r="A623" s="113"/>
    </row>
    <row r="624" spans="1:1" ht="13.2">
      <c r="A624" s="113"/>
    </row>
    <row r="625" spans="1:1" ht="13.2">
      <c r="A625" s="113"/>
    </row>
    <row r="626" spans="1:1" ht="13.2">
      <c r="A626" s="113"/>
    </row>
    <row r="627" spans="1:1" ht="13.2">
      <c r="A627" s="113"/>
    </row>
    <row r="628" spans="1:1" ht="13.2">
      <c r="A628" s="113"/>
    </row>
    <row r="629" spans="1:1" ht="13.2">
      <c r="A629" s="113"/>
    </row>
    <row r="630" spans="1:1" ht="13.2">
      <c r="A630" s="113"/>
    </row>
    <row r="631" spans="1:1" ht="13.2">
      <c r="A631" s="113"/>
    </row>
    <row r="632" spans="1:1" ht="13.2">
      <c r="A632" s="113"/>
    </row>
    <row r="633" spans="1:1" ht="13.2">
      <c r="A633" s="113"/>
    </row>
    <row r="634" spans="1:1" ht="13.2">
      <c r="A634" s="113"/>
    </row>
    <row r="635" spans="1:1" ht="13.2">
      <c r="A635" s="113"/>
    </row>
    <row r="636" spans="1:1" ht="13.2">
      <c r="A636" s="113"/>
    </row>
    <row r="637" spans="1:1" ht="13.2">
      <c r="A637" s="113"/>
    </row>
    <row r="638" spans="1:1" ht="13.2">
      <c r="A638" s="113"/>
    </row>
    <row r="639" spans="1:1" ht="13.2">
      <c r="A639" s="113"/>
    </row>
    <row r="640" spans="1:1" ht="13.2">
      <c r="A640" s="113"/>
    </row>
    <row r="641" spans="1:1" ht="13.2">
      <c r="A641" s="113"/>
    </row>
    <row r="642" spans="1:1" ht="13.2">
      <c r="A642" s="113"/>
    </row>
    <row r="643" spans="1:1" ht="13.2">
      <c r="A643" s="113"/>
    </row>
    <row r="644" spans="1:1" ht="13.2">
      <c r="A644" s="113"/>
    </row>
    <row r="645" spans="1:1" ht="13.2">
      <c r="A645" s="113"/>
    </row>
    <row r="646" spans="1:1" ht="13.2">
      <c r="A646" s="113"/>
    </row>
    <row r="647" spans="1:1" ht="13.2">
      <c r="A647" s="113"/>
    </row>
    <row r="648" spans="1:1" ht="13.2">
      <c r="A648" s="113"/>
    </row>
    <row r="649" spans="1:1" ht="13.2">
      <c r="A649" s="113"/>
    </row>
    <row r="650" spans="1:1" ht="13.2">
      <c r="A650" s="113"/>
    </row>
    <row r="651" spans="1:1" ht="13.2">
      <c r="A651" s="113"/>
    </row>
    <row r="652" spans="1:1" ht="13.2">
      <c r="A652" s="113"/>
    </row>
    <row r="653" spans="1:1" ht="13.2">
      <c r="A653" s="113"/>
    </row>
    <row r="654" spans="1:1" ht="13.2">
      <c r="A654" s="113"/>
    </row>
    <row r="655" spans="1:1" ht="13.2">
      <c r="A655" s="113"/>
    </row>
    <row r="656" spans="1:1" ht="13.2">
      <c r="A656" s="113"/>
    </row>
    <row r="657" spans="1:1" ht="13.2">
      <c r="A657" s="113"/>
    </row>
    <row r="658" spans="1:1" ht="13.2">
      <c r="A658" s="113"/>
    </row>
    <row r="659" spans="1:1" ht="13.2">
      <c r="A659" s="113"/>
    </row>
    <row r="660" spans="1:1" ht="13.2">
      <c r="A660" s="113"/>
    </row>
    <row r="661" spans="1:1" ht="13.2">
      <c r="A661" s="113"/>
    </row>
    <row r="662" spans="1:1" ht="13.2">
      <c r="A662" s="113"/>
    </row>
    <row r="663" spans="1:1" ht="13.2">
      <c r="A663" s="113"/>
    </row>
    <row r="664" spans="1:1" ht="13.2">
      <c r="A664" s="113"/>
    </row>
    <row r="665" spans="1:1" ht="13.2">
      <c r="A665" s="113"/>
    </row>
    <row r="666" spans="1:1" ht="13.2">
      <c r="A666" s="113"/>
    </row>
    <row r="667" spans="1:1" ht="13.2">
      <c r="A667" s="113"/>
    </row>
    <row r="668" spans="1:1" ht="13.2">
      <c r="A668" s="113"/>
    </row>
    <row r="669" spans="1:1" ht="13.2">
      <c r="A669" s="113"/>
    </row>
    <row r="670" spans="1:1" ht="13.2">
      <c r="A670" s="113"/>
    </row>
    <row r="671" spans="1:1" ht="13.2">
      <c r="A671" s="113"/>
    </row>
    <row r="672" spans="1:1" ht="13.2">
      <c r="A672" s="113"/>
    </row>
    <row r="673" spans="1:1" ht="13.2">
      <c r="A673" s="113"/>
    </row>
    <row r="674" spans="1:1" ht="13.2">
      <c r="A674" s="113"/>
    </row>
    <row r="675" spans="1:1" ht="13.2">
      <c r="A675" s="113"/>
    </row>
    <row r="676" spans="1:1" ht="13.2">
      <c r="A676" s="113"/>
    </row>
    <row r="677" spans="1:1" ht="13.2">
      <c r="A677" s="113"/>
    </row>
    <row r="678" spans="1:1" ht="13.2">
      <c r="A678" s="113"/>
    </row>
    <row r="679" spans="1:1" ht="13.2">
      <c r="A679" s="113"/>
    </row>
    <row r="680" spans="1:1" ht="13.2">
      <c r="A680" s="113"/>
    </row>
    <row r="681" spans="1:1" ht="13.2">
      <c r="A681" s="113"/>
    </row>
    <row r="682" spans="1:1" ht="13.2">
      <c r="A682" s="113"/>
    </row>
    <row r="683" spans="1:1" ht="13.2">
      <c r="A683" s="113"/>
    </row>
    <row r="684" spans="1:1" ht="13.2">
      <c r="A684" s="113"/>
    </row>
    <row r="685" spans="1:1" ht="13.2">
      <c r="A685" s="113"/>
    </row>
    <row r="686" spans="1:1" ht="13.2">
      <c r="A686" s="113"/>
    </row>
    <row r="687" spans="1:1" ht="13.2">
      <c r="A687" s="113"/>
    </row>
    <row r="688" spans="1:1" ht="13.2">
      <c r="A688" s="113"/>
    </row>
    <row r="689" spans="1:1" ht="13.2">
      <c r="A689" s="113"/>
    </row>
    <row r="690" spans="1:1" ht="13.2">
      <c r="A690" s="113"/>
    </row>
    <row r="691" spans="1:1" ht="13.2">
      <c r="A691" s="113"/>
    </row>
    <row r="692" spans="1:1" ht="13.2">
      <c r="A692" s="113"/>
    </row>
    <row r="693" spans="1:1" ht="13.2">
      <c r="A693" s="113"/>
    </row>
    <row r="694" spans="1:1" ht="13.2">
      <c r="A694" s="113"/>
    </row>
    <row r="695" spans="1:1" ht="13.2">
      <c r="A695" s="113"/>
    </row>
    <row r="696" spans="1:1" ht="13.2">
      <c r="A696" s="113"/>
    </row>
    <row r="697" spans="1:1" ht="13.2">
      <c r="A697" s="113"/>
    </row>
    <row r="698" spans="1:1" ht="13.2">
      <c r="A698" s="113"/>
    </row>
    <row r="699" spans="1:1" ht="13.2">
      <c r="A699" s="113"/>
    </row>
    <row r="700" spans="1:1" ht="13.2">
      <c r="A700" s="113"/>
    </row>
    <row r="701" spans="1:1" ht="13.2">
      <c r="A701" s="113"/>
    </row>
    <row r="702" spans="1:1" ht="13.2">
      <c r="A702" s="113"/>
    </row>
    <row r="703" spans="1:1" ht="13.2">
      <c r="A703" s="113"/>
    </row>
    <row r="704" spans="1:1" ht="13.2">
      <c r="A704" s="113"/>
    </row>
    <row r="705" spans="1:1" ht="13.2">
      <c r="A705" s="113"/>
    </row>
    <row r="706" spans="1:1" ht="13.2">
      <c r="A706" s="113"/>
    </row>
    <row r="707" spans="1:1" ht="13.2">
      <c r="A707" s="113"/>
    </row>
    <row r="708" spans="1:1" ht="13.2">
      <c r="A708" s="113"/>
    </row>
    <row r="709" spans="1:1" ht="13.2">
      <c r="A709" s="113"/>
    </row>
    <row r="710" spans="1:1" ht="13.2">
      <c r="A710" s="113"/>
    </row>
    <row r="711" spans="1:1" ht="13.2">
      <c r="A711" s="113"/>
    </row>
    <row r="712" spans="1:1" ht="13.2">
      <c r="A712" s="113"/>
    </row>
    <row r="713" spans="1:1" ht="13.2">
      <c r="A713" s="113"/>
    </row>
    <row r="714" spans="1:1" ht="13.2">
      <c r="A714" s="113"/>
    </row>
    <row r="715" spans="1:1" ht="13.2">
      <c r="A715" s="113"/>
    </row>
    <row r="716" spans="1:1" ht="13.2">
      <c r="A716" s="113"/>
    </row>
    <row r="717" spans="1:1" ht="13.2">
      <c r="A717" s="113"/>
    </row>
    <row r="718" spans="1:1" ht="13.2">
      <c r="A718" s="113"/>
    </row>
    <row r="719" spans="1:1" ht="13.2">
      <c r="A719" s="113"/>
    </row>
    <row r="720" spans="1:1" ht="13.2">
      <c r="A720" s="113"/>
    </row>
    <row r="721" spans="1:1" ht="13.2">
      <c r="A721" s="113"/>
    </row>
    <row r="722" spans="1:1" ht="13.2">
      <c r="A722" s="113"/>
    </row>
    <row r="723" spans="1:1" ht="13.2">
      <c r="A723" s="113"/>
    </row>
    <row r="724" spans="1:1" ht="13.2">
      <c r="A724" s="113"/>
    </row>
    <row r="725" spans="1:1" ht="13.2">
      <c r="A725" s="113"/>
    </row>
    <row r="726" spans="1:1" ht="13.2">
      <c r="A726" s="113"/>
    </row>
    <row r="727" spans="1:1" ht="13.2">
      <c r="A727" s="113"/>
    </row>
    <row r="728" spans="1:1" ht="13.2">
      <c r="A728" s="113"/>
    </row>
    <row r="729" spans="1:1" ht="13.2">
      <c r="A729" s="113"/>
    </row>
    <row r="730" spans="1:1" ht="13.2">
      <c r="A730" s="113"/>
    </row>
    <row r="731" spans="1:1" ht="13.2">
      <c r="A731" s="113"/>
    </row>
    <row r="732" spans="1:1" ht="13.2">
      <c r="A732" s="113"/>
    </row>
    <row r="733" spans="1:1" ht="13.2">
      <c r="A733" s="113"/>
    </row>
    <row r="734" spans="1:1" ht="13.2">
      <c r="A734" s="113"/>
    </row>
    <row r="735" spans="1:1" ht="13.2">
      <c r="A735" s="113"/>
    </row>
    <row r="736" spans="1:1" ht="13.2">
      <c r="A736" s="113"/>
    </row>
    <row r="737" spans="1:1" ht="13.2">
      <c r="A737" s="113"/>
    </row>
    <row r="738" spans="1:1" ht="13.2">
      <c r="A738" s="113"/>
    </row>
    <row r="739" spans="1:1" ht="13.2">
      <c r="A739" s="113"/>
    </row>
    <row r="740" spans="1:1" ht="13.2">
      <c r="A740" s="113"/>
    </row>
    <row r="741" spans="1:1" ht="13.2">
      <c r="A741" s="113"/>
    </row>
    <row r="742" spans="1:1" ht="13.2">
      <c r="A742" s="113"/>
    </row>
    <row r="743" spans="1:1" ht="13.2">
      <c r="A743" s="113"/>
    </row>
    <row r="744" spans="1:1" ht="13.2">
      <c r="A744" s="113"/>
    </row>
    <row r="745" spans="1:1" ht="13.2">
      <c r="A745" s="113"/>
    </row>
    <row r="746" spans="1:1" ht="13.2">
      <c r="A746" s="113"/>
    </row>
    <row r="747" spans="1:1" ht="13.2">
      <c r="A747" s="113"/>
    </row>
    <row r="748" spans="1:1" ht="13.2">
      <c r="A748" s="113"/>
    </row>
    <row r="749" spans="1:1" ht="13.2">
      <c r="A749" s="113"/>
    </row>
    <row r="750" spans="1:1" ht="13.2">
      <c r="A750" s="113"/>
    </row>
    <row r="751" spans="1:1" ht="13.2">
      <c r="A751" s="113"/>
    </row>
    <row r="752" spans="1:1" ht="13.2">
      <c r="A752" s="113"/>
    </row>
    <row r="753" spans="1:1" ht="13.2">
      <c r="A753" s="113"/>
    </row>
    <row r="754" spans="1:1" ht="13.2">
      <c r="A754" s="113"/>
    </row>
    <row r="755" spans="1:1" ht="13.2">
      <c r="A755" s="113"/>
    </row>
    <row r="756" spans="1:1" ht="13.2">
      <c r="A756" s="113"/>
    </row>
    <row r="757" spans="1:1" ht="13.2">
      <c r="A757" s="113"/>
    </row>
    <row r="758" spans="1:1" ht="13.2">
      <c r="A758" s="113"/>
    </row>
    <row r="759" spans="1:1" ht="13.2">
      <c r="A759" s="113"/>
    </row>
    <row r="760" spans="1:1" ht="13.2">
      <c r="A760" s="113"/>
    </row>
    <row r="761" spans="1:1" ht="13.2">
      <c r="A761" s="113"/>
    </row>
    <row r="762" spans="1:1" ht="13.2">
      <c r="A762" s="113"/>
    </row>
    <row r="763" spans="1:1" ht="13.2">
      <c r="A763" s="113"/>
    </row>
    <row r="764" spans="1:1" ht="13.2">
      <c r="A764" s="113"/>
    </row>
    <row r="765" spans="1:1" ht="13.2">
      <c r="A765" s="113"/>
    </row>
    <row r="766" spans="1:1" ht="13.2">
      <c r="A766" s="113"/>
    </row>
    <row r="767" spans="1:1" ht="13.2">
      <c r="A767" s="113"/>
    </row>
    <row r="768" spans="1:1" ht="13.2">
      <c r="A768" s="113"/>
    </row>
    <row r="769" spans="1:1" ht="13.2">
      <c r="A769" s="113"/>
    </row>
    <row r="770" spans="1:1" ht="13.2">
      <c r="A770" s="113"/>
    </row>
    <row r="771" spans="1:1" ht="13.2">
      <c r="A771" s="113"/>
    </row>
    <row r="772" spans="1:1" ht="13.2">
      <c r="A772" s="113"/>
    </row>
    <row r="773" spans="1:1" ht="13.2">
      <c r="A773" s="113"/>
    </row>
    <row r="774" spans="1:1" ht="13.2">
      <c r="A774" s="113"/>
    </row>
    <row r="775" spans="1:1" ht="13.2">
      <c r="A775" s="113"/>
    </row>
    <row r="776" spans="1:1" ht="13.2">
      <c r="A776" s="113"/>
    </row>
    <row r="777" spans="1:1" ht="13.2">
      <c r="A777" s="113"/>
    </row>
    <row r="778" spans="1:1" ht="13.2">
      <c r="A778" s="113"/>
    </row>
    <row r="779" spans="1:1" ht="13.2">
      <c r="A779" s="113"/>
    </row>
    <row r="780" spans="1:1" ht="13.2">
      <c r="A780" s="113"/>
    </row>
    <row r="781" spans="1:1" ht="13.2">
      <c r="A781" s="113"/>
    </row>
    <row r="782" spans="1:1" ht="13.2">
      <c r="A782" s="113"/>
    </row>
    <row r="783" spans="1:1" ht="13.2">
      <c r="A783" s="113"/>
    </row>
    <row r="784" spans="1:1" ht="13.2">
      <c r="A784" s="113"/>
    </row>
    <row r="785" spans="1:1" ht="13.2">
      <c r="A785" s="113"/>
    </row>
    <row r="786" spans="1:1" ht="13.2">
      <c r="A786" s="113"/>
    </row>
    <row r="787" spans="1:1" ht="13.2">
      <c r="A787" s="113"/>
    </row>
    <row r="788" spans="1:1" ht="13.2">
      <c r="A788" s="113"/>
    </row>
    <row r="789" spans="1:1" ht="13.2">
      <c r="A789" s="113"/>
    </row>
    <row r="790" spans="1:1" ht="13.2">
      <c r="A790" s="113"/>
    </row>
    <row r="791" spans="1:1" ht="13.2">
      <c r="A791" s="113"/>
    </row>
    <row r="792" spans="1:1" ht="13.2">
      <c r="A792" s="113"/>
    </row>
    <row r="793" spans="1:1" ht="13.2">
      <c r="A793" s="113"/>
    </row>
    <row r="794" spans="1:1" ht="13.2">
      <c r="A794" s="113"/>
    </row>
    <row r="795" spans="1:1" ht="13.2">
      <c r="A795" s="113"/>
    </row>
    <row r="796" spans="1:1" ht="13.2">
      <c r="A796" s="113"/>
    </row>
    <row r="797" spans="1:1" ht="13.2">
      <c r="A797" s="113"/>
    </row>
    <row r="798" spans="1:1" ht="13.2">
      <c r="A798" s="113"/>
    </row>
    <row r="799" spans="1:1" ht="13.2">
      <c r="A799" s="113"/>
    </row>
    <row r="800" spans="1:1" ht="13.2">
      <c r="A800" s="113"/>
    </row>
    <row r="801" spans="1:1" ht="13.2">
      <c r="A801" s="113"/>
    </row>
    <row r="802" spans="1:1" ht="13.2">
      <c r="A802" s="113"/>
    </row>
    <row r="803" spans="1:1" ht="13.2">
      <c r="A803" s="113"/>
    </row>
    <row r="804" spans="1:1" ht="13.2">
      <c r="A804" s="113"/>
    </row>
    <row r="805" spans="1:1" ht="13.2">
      <c r="A805" s="113"/>
    </row>
    <row r="806" spans="1:1" ht="13.2">
      <c r="A806" s="113"/>
    </row>
    <row r="807" spans="1:1" ht="13.2">
      <c r="A807" s="113"/>
    </row>
    <row r="808" spans="1:1" ht="13.2">
      <c r="A808" s="113"/>
    </row>
    <row r="809" spans="1:1" ht="13.2">
      <c r="A809" s="113"/>
    </row>
    <row r="810" spans="1:1" ht="13.2">
      <c r="A810" s="113"/>
    </row>
    <row r="811" spans="1:1" ht="13.2">
      <c r="A811" s="113"/>
    </row>
    <row r="812" spans="1:1" ht="13.2">
      <c r="A812" s="113"/>
    </row>
    <row r="813" spans="1:1" ht="13.2">
      <c r="A813" s="113"/>
    </row>
    <row r="814" spans="1:1" ht="13.2">
      <c r="A814" s="113"/>
    </row>
    <row r="815" spans="1:1" ht="13.2">
      <c r="A815" s="113"/>
    </row>
    <row r="816" spans="1:1" ht="13.2">
      <c r="A816" s="113"/>
    </row>
    <row r="817" spans="1:1" ht="13.2">
      <c r="A817" s="113"/>
    </row>
    <row r="818" spans="1:1" ht="13.2">
      <c r="A818" s="113"/>
    </row>
    <row r="819" spans="1:1" ht="13.2">
      <c r="A819" s="113"/>
    </row>
    <row r="820" spans="1:1" ht="13.2">
      <c r="A820" s="113"/>
    </row>
    <row r="821" spans="1:1" ht="13.2">
      <c r="A821" s="113"/>
    </row>
    <row r="822" spans="1:1" ht="13.2">
      <c r="A822" s="113"/>
    </row>
    <row r="823" spans="1:1" ht="13.2">
      <c r="A823" s="113"/>
    </row>
    <row r="824" spans="1:1" ht="13.2">
      <c r="A824" s="113"/>
    </row>
    <row r="825" spans="1:1" ht="13.2">
      <c r="A825" s="113"/>
    </row>
    <row r="826" spans="1:1" ht="13.2">
      <c r="A826" s="113"/>
    </row>
    <row r="827" spans="1:1" ht="13.2">
      <c r="A827" s="113"/>
    </row>
    <row r="828" spans="1:1" ht="13.2">
      <c r="A828" s="113"/>
    </row>
    <row r="829" spans="1:1" ht="13.2">
      <c r="A829" s="113"/>
    </row>
    <row r="830" spans="1:1" ht="13.2">
      <c r="A830" s="113"/>
    </row>
    <row r="831" spans="1:1" ht="13.2">
      <c r="A831" s="113"/>
    </row>
    <row r="832" spans="1:1" ht="13.2">
      <c r="A832" s="113"/>
    </row>
    <row r="833" spans="1:1" ht="13.2">
      <c r="A833" s="113"/>
    </row>
    <row r="834" spans="1:1" ht="13.2">
      <c r="A834" s="113"/>
    </row>
    <row r="835" spans="1:1" ht="13.2">
      <c r="A835" s="113"/>
    </row>
    <row r="836" spans="1:1" ht="13.2">
      <c r="A836" s="113"/>
    </row>
    <row r="837" spans="1:1" ht="13.2">
      <c r="A837" s="113"/>
    </row>
    <row r="838" spans="1:1" ht="13.2">
      <c r="A838" s="113"/>
    </row>
    <row r="839" spans="1:1" ht="13.2">
      <c r="A839" s="113"/>
    </row>
    <row r="840" spans="1:1" ht="13.2">
      <c r="A840" s="113"/>
    </row>
    <row r="841" spans="1:1" ht="13.2">
      <c r="A841" s="113"/>
    </row>
    <row r="842" spans="1:1" ht="13.2">
      <c r="A842" s="113"/>
    </row>
    <row r="843" spans="1:1" ht="13.2">
      <c r="A843" s="113"/>
    </row>
    <row r="844" spans="1:1" ht="13.2">
      <c r="A844" s="113"/>
    </row>
    <row r="845" spans="1:1" ht="13.2">
      <c r="A845" s="113"/>
    </row>
    <row r="846" spans="1:1" ht="13.2">
      <c r="A846" s="113"/>
    </row>
    <row r="847" spans="1:1" ht="13.2">
      <c r="A847" s="113"/>
    </row>
    <row r="848" spans="1:1" ht="13.2">
      <c r="A848" s="113"/>
    </row>
    <row r="849" spans="1:1" ht="13.2">
      <c r="A849" s="113"/>
    </row>
    <row r="850" spans="1:1" ht="13.2">
      <c r="A850" s="113"/>
    </row>
    <row r="851" spans="1:1" ht="13.2">
      <c r="A851" s="113"/>
    </row>
    <row r="852" spans="1:1" ht="13.2">
      <c r="A852" s="113"/>
    </row>
    <row r="853" spans="1:1" ht="13.2">
      <c r="A853" s="113"/>
    </row>
    <row r="854" spans="1:1" ht="13.2">
      <c r="A854" s="113"/>
    </row>
    <row r="855" spans="1:1" ht="13.2">
      <c r="A855" s="113"/>
    </row>
    <row r="856" spans="1:1" ht="13.2">
      <c r="A856" s="113"/>
    </row>
    <row r="857" spans="1:1" ht="13.2">
      <c r="A857" s="113"/>
    </row>
    <row r="858" spans="1:1" ht="13.2">
      <c r="A858" s="113"/>
    </row>
    <row r="859" spans="1:1" ht="13.2">
      <c r="A859" s="113"/>
    </row>
    <row r="860" spans="1:1" ht="13.2">
      <c r="A860" s="113"/>
    </row>
    <row r="861" spans="1:1" ht="13.2">
      <c r="A861" s="113"/>
    </row>
    <row r="862" spans="1:1" ht="13.2">
      <c r="A862" s="113"/>
    </row>
    <row r="863" spans="1:1" ht="13.2">
      <c r="A863" s="113"/>
    </row>
    <row r="864" spans="1:1" ht="13.2">
      <c r="A864" s="113"/>
    </row>
    <row r="865" spans="1:1" ht="13.2">
      <c r="A865" s="113"/>
    </row>
    <row r="866" spans="1:1" ht="13.2">
      <c r="A866" s="113"/>
    </row>
    <row r="867" spans="1:1" ht="13.2">
      <c r="A867" s="113"/>
    </row>
    <row r="868" spans="1:1" ht="13.2">
      <c r="A868" s="113"/>
    </row>
    <row r="869" spans="1:1" ht="13.2">
      <c r="A869" s="113"/>
    </row>
    <row r="870" spans="1:1" ht="13.2">
      <c r="A870" s="113"/>
    </row>
    <row r="871" spans="1:1" ht="13.2">
      <c r="A871" s="113"/>
    </row>
    <row r="872" spans="1:1" ht="13.2">
      <c r="A872" s="113"/>
    </row>
    <row r="873" spans="1:1" ht="13.2">
      <c r="A873" s="113"/>
    </row>
    <row r="874" spans="1:1" ht="13.2">
      <c r="A874" s="113"/>
    </row>
    <row r="875" spans="1:1" ht="13.2">
      <c r="A875" s="113"/>
    </row>
    <row r="876" spans="1:1" ht="13.2">
      <c r="A876" s="113"/>
    </row>
    <row r="877" spans="1:1" ht="13.2">
      <c r="A877" s="113"/>
    </row>
    <row r="878" spans="1:1" ht="13.2">
      <c r="A878" s="113"/>
    </row>
    <row r="879" spans="1:1" ht="13.2">
      <c r="A879" s="113"/>
    </row>
    <row r="880" spans="1:1" ht="13.2">
      <c r="A880" s="113"/>
    </row>
    <row r="881" spans="1:1" ht="13.2">
      <c r="A881" s="113"/>
    </row>
    <row r="882" spans="1:1" ht="13.2">
      <c r="A882" s="113"/>
    </row>
    <row r="883" spans="1:1" ht="13.2">
      <c r="A883" s="113"/>
    </row>
    <row r="884" spans="1:1" ht="13.2">
      <c r="A884" s="113"/>
    </row>
    <row r="885" spans="1:1" ht="13.2">
      <c r="A885" s="113"/>
    </row>
    <row r="886" spans="1:1" ht="13.2">
      <c r="A886" s="113"/>
    </row>
    <row r="887" spans="1:1" ht="13.2">
      <c r="A887" s="113"/>
    </row>
    <row r="888" spans="1:1" ht="13.2">
      <c r="A888" s="113"/>
    </row>
    <row r="889" spans="1:1" ht="13.2">
      <c r="A889" s="113"/>
    </row>
    <row r="890" spans="1:1" ht="13.2">
      <c r="A890" s="113"/>
    </row>
    <row r="891" spans="1:1" ht="13.2">
      <c r="A891" s="113"/>
    </row>
    <row r="892" spans="1:1" ht="13.2">
      <c r="A892" s="113"/>
    </row>
    <row r="893" spans="1:1" ht="13.2">
      <c r="A893" s="113"/>
    </row>
    <row r="894" spans="1:1" ht="13.2">
      <c r="A894" s="113"/>
    </row>
    <row r="895" spans="1:1" ht="13.2">
      <c r="A895" s="113"/>
    </row>
    <row r="896" spans="1:1" ht="13.2">
      <c r="A896" s="113"/>
    </row>
    <row r="897" spans="1:1" ht="13.2">
      <c r="A897" s="113"/>
    </row>
    <row r="898" spans="1:1" ht="13.2">
      <c r="A898" s="113"/>
    </row>
    <row r="899" spans="1:1" ht="13.2">
      <c r="A899" s="113"/>
    </row>
    <row r="900" spans="1:1" ht="13.2">
      <c r="A900" s="113"/>
    </row>
    <row r="901" spans="1:1" ht="13.2">
      <c r="A901" s="113"/>
    </row>
    <row r="902" spans="1:1" ht="13.2">
      <c r="A902" s="113"/>
    </row>
    <row r="903" spans="1:1" ht="13.2">
      <c r="A903" s="113"/>
    </row>
    <row r="904" spans="1:1" ht="13.2">
      <c r="A904" s="113"/>
    </row>
    <row r="905" spans="1:1" ht="13.2">
      <c r="A905" s="113"/>
    </row>
    <row r="906" spans="1:1" ht="13.2">
      <c r="A906" s="113"/>
    </row>
    <row r="907" spans="1:1" ht="13.2">
      <c r="A907" s="113"/>
    </row>
    <row r="908" spans="1:1" ht="13.2">
      <c r="A908" s="113"/>
    </row>
    <row r="909" spans="1:1" ht="13.2">
      <c r="A909" s="113"/>
    </row>
    <row r="910" spans="1:1" ht="13.2">
      <c r="A910" s="113"/>
    </row>
    <row r="911" spans="1:1" ht="13.2">
      <c r="A911" s="113"/>
    </row>
    <row r="912" spans="1:1" ht="13.2">
      <c r="A912" s="113"/>
    </row>
    <row r="913" spans="1:1" ht="13.2">
      <c r="A913" s="113"/>
    </row>
    <row r="914" spans="1:1" ht="13.2">
      <c r="A914" s="113"/>
    </row>
    <row r="915" spans="1:1" ht="13.2">
      <c r="A915" s="113"/>
    </row>
    <row r="916" spans="1:1" ht="13.2">
      <c r="A916" s="113"/>
    </row>
    <row r="917" spans="1:1" ht="13.2">
      <c r="A917" s="113"/>
    </row>
    <row r="918" spans="1:1" ht="13.2">
      <c r="A918" s="113"/>
    </row>
    <row r="919" spans="1:1" ht="13.2">
      <c r="A919" s="113"/>
    </row>
    <row r="920" spans="1:1" ht="13.2">
      <c r="A920" s="113"/>
    </row>
    <row r="921" spans="1:1" ht="13.2">
      <c r="A921" s="113"/>
    </row>
    <row r="922" spans="1:1" ht="13.2">
      <c r="A922" s="113"/>
    </row>
    <row r="923" spans="1:1" ht="13.2">
      <c r="A923" s="113"/>
    </row>
    <row r="924" spans="1:1" ht="13.2">
      <c r="A924" s="113"/>
    </row>
    <row r="925" spans="1:1" ht="13.2">
      <c r="A925" s="113"/>
    </row>
    <row r="926" spans="1:1" ht="13.2">
      <c r="A926" s="113"/>
    </row>
    <row r="927" spans="1:1" ht="13.2">
      <c r="A927" s="113"/>
    </row>
    <row r="928" spans="1:1" ht="13.2">
      <c r="A928" s="113"/>
    </row>
    <row r="929" spans="1:1" ht="13.2">
      <c r="A929" s="113"/>
    </row>
    <row r="930" spans="1:1" ht="13.2">
      <c r="A930" s="113"/>
    </row>
    <row r="931" spans="1:1" ht="13.2">
      <c r="A931" s="113"/>
    </row>
    <row r="932" spans="1:1" ht="13.2">
      <c r="A932" s="113"/>
    </row>
    <row r="933" spans="1:1" ht="13.2">
      <c r="A933" s="113"/>
    </row>
    <row r="934" spans="1:1" ht="13.2">
      <c r="A934" s="113"/>
    </row>
    <row r="935" spans="1:1" ht="13.2">
      <c r="A935" s="113"/>
    </row>
    <row r="936" spans="1:1" ht="13.2">
      <c r="A936" s="113"/>
    </row>
    <row r="937" spans="1:1" ht="13.2">
      <c r="A937" s="113"/>
    </row>
    <row r="938" spans="1:1" ht="13.2">
      <c r="A938" s="113"/>
    </row>
    <row r="939" spans="1:1" ht="13.2">
      <c r="A939" s="113"/>
    </row>
    <row r="940" spans="1:1" ht="13.2">
      <c r="A940" s="113"/>
    </row>
    <row r="941" spans="1:1" ht="13.2">
      <c r="A941" s="113"/>
    </row>
    <row r="942" spans="1:1" ht="13.2">
      <c r="A942" s="113"/>
    </row>
    <row r="943" spans="1:1" ht="13.2">
      <c r="A943" s="113"/>
    </row>
    <row r="944" spans="1:1" ht="13.2">
      <c r="A944" s="113"/>
    </row>
    <row r="945" spans="1:1" ht="13.2">
      <c r="A945" s="113"/>
    </row>
    <row r="946" spans="1:1" ht="13.2">
      <c r="A946" s="113"/>
    </row>
    <row r="947" spans="1:1" ht="13.2">
      <c r="A947" s="113"/>
    </row>
    <row r="948" spans="1:1" ht="13.2">
      <c r="A948" s="113"/>
    </row>
    <row r="949" spans="1:1" ht="13.2">
      <c r="A949" s="113"/>
    </row>
    <row r="950" spans="1:1" ht="13.2">
      <c r="A950" s="113"/>
    </row>
    <row r="951" spans="1:1" ht="13.2">
      <c r="A951" s="113"/>
    </row>
    <row r="952" spans="1:1" ht="13.2">
      <c r="A952" s="113"/>
    </row>
    <row r="953" spans="1:1" ht="13.2">
      <c r="A953" s="113"/>
    </row>
    <row r="954" spans="1:1" ht="13.2">
      <c r="A954" s="113"/>
    </row>
    <row r="955" spans="1:1" ht="13.2">
      <c r="A955" s="113"/>
    </row>
    <row r="956" spans="1:1" ht="13.2">
      <c r="A956" s="113"/>
    </row>
    <row r="957" spans="1:1" ht="13.2">
      <c r="A957" s="113"/>
    </row>
    <row r="958" spans="1:1" ht="13.2">
      <c r="A958" s="113"/>
    </row>
    <row r="959" spans="1:1" ht="13.2">
      <c r="A959" s="113"/>
    </row>
    <row r="960" spans="1:1" ht="13.2">
      <c r="A960" s="113"/>
    </row>
    <row r="961" spans="1:1" ht="13.2">
      <c r="A961" s="113"/>
    </row>
    <row r="962" spans="1:1" ht="13.2">
      <c r="A962" s="113"/>
    </row>
    <row r="963" spans="1:1" ht="13.2">
      <c r="A963" s="113"/>
    </row>
    <row r="964" spans="1:1" ht="13.2">
      <c r="A964" s="113"/>
    </row>
    <row r="965" spans="1:1" ht="13.2">
      <c r="A965" s="113"/>
    </row>
    <row r="966" spans="1:1" ht="13.2">
      <c r="A966" s="113"/>
    </row>
    <row r="967" spans="1:1" ht="13.2">
      <c r="A967" s="113"/>
    </row>
    <row r="968" spans="1:1" ht="13.2">
      <c r="A968" s="113"/>
    </row>
    <row r="969" spans="1:1" ht="13.2">
      <c r="A969" s="113"/>
    </row>
    <row r="970" spans="1:1" ht="13.2">
      <c r="A970" s="113"/>
    </row>
    <row r="971" spans="1:1" ht="13.2">
      <c r="A971" s="113"/>
    </row>
    <row r="972" spans="1:1" ht="13.2">
      <c r="A972" s="113"/>
    </row>
    <row r="973" spans="1:1" ht="13.2">
      <c r="A973" s="113"/>
    </row>
    <row r="974" spans="1:1" ht="13.2">
      <c r="A974" s="113"/>
    </row>
    <row r="975" spans="1:1" ht="13.2">
      <c r="A975" s="113"/>
    </row>
    <row r="976" spans="1:1" ht="13.2">
      <c r="A976" s="113"/>
    </row>
    <row r="977" spans="1:1" ht="13.2">
      <c r="A977" s="113"/>
    </row>
    <row r="978" spans="1:1" ht="13.2">
      <c r="A978" s="113"/>
    </row>
    <row r="979" spans="1:1" ht="13.2">
      <c r="A979" s="113"/>
    </row>
    <row r="980" spans="1:1" ht="13.2">
      <c r="A980" s="113"/>
    </row>
    <row r="981" spans="1:1" ht="13.2">
      <c r="A981" s="113"/>
    </row>
    <row r="982" spans="1:1" ht="13.2">
      <c r="A982" s="113"/>
    </row>
    <row r="983" spans="1:1" ht="13.2">
      <c r="A983" s="113"/>
    </row>
    <row r="984" spans="1:1" ht="13.2">
      <c r="A984" s="113"/>
    </row>
    <row r="985" spans="1:1" ht="13.2">
      <c r="A985" s="113"/>
    </row>
    <row r="986" spans="1:1" ht="13.2">
      <c r="A986" s="113"/>
    </row>
    <row r="987" spans="1:1" ht="13.2">
      <c r="A987" s="113"/>
    </row>
    <row r="988" spans="1:1" ht="13.2">
      <c r="A988" s="113"/>
    </row>
    <row r="989" spans="1:1" ht="13.2">
      <c r="A989" s="113"/>
    </row>
    <row r="990" spans="1:1" ht="13.2">
      <c r="A990" s="113"/>
    </row>
    <row r="991" spans="1:1" ht="13.2">
      <c r="A991" s="113"/>
    </row>
    <row r="992" spans="1:1" ht="13.2">
      <c r="A992" s="113"/>
    </row>
    <row r="993" spans="1:1" ht="13.2">
      <c r="A993" s="113"/>
    </row>
    <row r="994" spans="1:1" ht="13.2">
      <c r="A994" s="113"/>
    </row>
    <row r="995" spans="1:1" ht="13.2">
      <c r="A995" s="113"/>
    </row>
    <row r="996" spans="1:1" ht="13.2">
      <c r="A996" s="113"/>
    </row>
    <row r="997" spans="1:1" ht="13.2">
      <c r="A997" s="113"/>
    </row>
    <row r="998" spans="1:1" ht="13.2">
      <c r="A998" s="113"/>
    </row>
    <row r="999" spans="1:1" ht="13.2">
      <c r="A999" s="113"/>
    </row>
    <row r="1000" spans="1:1" ht="13.2">
      <c r="A1000" s="113"/>
    </row>
    <row r="1001" spans="1:1" ht="13.2">
      <c r="A1001" s="113"/>
    </row>
    <row r="1002" spans="1:1" ht="13.2">
      <c r="A1002" s="113"/>
    </row>
    <row r="1003" spans="1:1" ht="13.2">
      <c r="A1003" s="1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29"/>
  <sheetViews>
    <sheetView workbookViewId="0"/>
  </sheetViews>
  <sheetFormatPr defaultColWidth="12.6640625" defaultRowHeight="15.75" customHeight="1"/>
  <cols>
    <col min="1" max="1" width="18.6640625" customWidth="1"/>
    <col min="3" max="3" width="14.6640625" customWidth="1"/>
  </cols>
  <sheetData>
    <row r="1" spans="1:3" ht="15.75" customHeight="1">
      <c r="A1" s="26" t="s">
        <v>1626</v>
      </c>
      <c r="B1" s="26" t="s">
        <v>1627</v>
      </c>
      <c r="C1" s="26" t="s">
        <v>1628</v>
      </c>
    </row>
    <row r="2" spans="1:3" ht="15.75" customHeight="1">
      <c r="A2" s="26" t="s">
        <v>1629</v>
      </c>
      <c r="B2" s="26" t="s">
        <v>121</v>
      </c>
      <c r="C2" s="26" t="s">
        <v>494</v>
      </c>
    </row>
    <row r="3" spans="1:3" ht="15.75" customHeight="1">
      <c r="A3" s="26" t="s">
        <v>1630</v>
      </c>
      <c r="B3" s="26" t="s">
        <v>121</v>
      </c>
      <c r="C3" s="26" t="s">
        <v>495</v>
      </c>
    </row>
    <row r="4" spans="1:3" ht="15.75" customHeight="1">
      <c r="A4" s="26" t="s">
        <v>1631</v>
      </c>
      <c r="B4" s="26" t="s">
        <v>121</v>
      </c>
      <c r="C4" s="26" t="s">
        <v>496</v>
      </c>
    </row>
    <row r="5" spans="1:3" ht="15.75" customHeight="1">
      <c r="A5" s="26" t="s">
        <v>1632</v>
      </c>
      <c r="B5" s="26" t="s">
        <v>121</v>
      </c>
      <c r="C5" s="26" t="s">
        <v>498</v>
      </c>
    </row>
    <row r="6" spans="1:3" ht="15.75" customHeight="1">
      <c r="A6" s="26" t="s">
        <v>1633</v>
      </c>
      <c r="B6" s="26" t="s">
        <v>122</v>
      </c>
      <c r="C6" s="26" t="s">
        <v>494</v>
      </c>
    </row>
    <row r="7" spans="1:3" ht="15.75" customHeight="1">
      <c r="A7" s="26" t="s">
        <v>1634</v>
      </c>
      <c r="B7" s="26" t="s">
        <v>122</v>
      </c>
      <c r="C7" s="26" t="s">
        <v>495</v>
      </c>
    </row>
    <row r="8" spans="1:3" ht="15.75" customHeight="1">
      <c r="A8" s="26" t="s">
        <v>1635</v>
      </c>
      <c r="B8" s="26" t="s">
        <v>122</v>
      </c>
      <c r="C8" s="26" t="s">
        <v>496</v>
      </c>
    </row>
    <row r="9" spans="1:3" ht="15.75" customHeight="1">
      <c r="A9" s="26" t="s">
        <v>1636</v>
      </c>
      <c r="B9" s="26" t="s">
        <v>122</v>
      </c>
      <c r="C9" s="26" t="s">
        <v>498</v>
      </c>
    </row>
    <row r="10" spans="1:3" ht="15.75" customHeight="1">
      <c r="A10" s="26" t="s">
        <v>1637</v>
      </c>
      <c r="B10" s="26" t="s">
        <v>123</v>
      </c>
      <c r="C10" s="26" t="s">
        <v>494</v>
      </c>
    </row>
    <row r="11" spans="1:3" ht="15.75" customHeight="1">
      <c r="A11" s="26" t="s">
        <v>1638</v>
      </c>
      <c r="B11" s="26" t="s">
        <v>123</v>
      </c>
      <c r="C11" s="26" t="s">
        <v>495</v>
      </c>
    </row>
    <row r="12" spans="1:3" ht="15.75" customHeight="1">
      <c r="A12" s="26" t="s">
        <v>1639</v>
      </c>
      <c r="B12" s="26" t="s">
        <v>123</v>
      </c>
      <c r="C12" s="26" t="s">
        <v>496</v>
      </c>
    </row>
    <row r="13" spans="1:3" ht="15.75" customHeight="1">
      <c r="A13" s="26" t="s">
        <v>1640</v>
      </c>
      <c r="B13" s="26" t="s">
        <v>123</v>
      </c>
      <c r="C13" s="26" t="s">
        <v>498</v>
      </c>
    </row>
    <row r="14" spans="1:3" ht="15.75" customHeight="1">
      <c r="A14" s="26" t="s">
        <v>1641</v>
      </c>
      <c r="B14" s="26" t="s">
        <v>125</v>
      </c>
      <c r="C14" s="26" t="s">
        <v>494</v>
      </c>
    </row>
    <row r="15" spans="1:3" ht="15.75" customHeight="1">
      <c r="A15" s="26" t="s">
        <v>1642</v>
      </c>
      <c r="B15" s="26" t="s">
        <v>125</v>
      </c>
      <c r="C15" s="26" t="s">
        <v>495</v>
      </c>
    </row>
    <row r="16" spans="1:3" ht="15.75" customHeight="1">
      <c r="A16" s="26" t="s">
        <v>1643</v>
      </c>
      <c r="B16" s="26" t="s">
        <v>125</v>
      </c>
      <c r="C16" s="26" t="s">
        <v>496</v>
      </c>
    </row>
    <row r="17" spans="1:3" ht="15.75" customHeight="1">
      <c r="A17" s="26" t="s">
        <v>1644</v>
      </c>
      <c r="B17" s="26" t="s">
        <v>125</v>
      </c>
      <c r="C17" s="26" t="s">
        <v>498</v>
      </c>
    </row>
    <row r="18" spans="1:3" ht="15.75" customHeight="1">
      <c r="A18" s="26" t="s">
        <v>1645</v>
      </c>
      <c r="B18" s="26" t="s">
        <v>583</v>
      </c>
      <c r="C18" s="26" t="s">
        <v>706</v>
      </c>
    </row>
    <row r="19" spans="1:3" ht="15.75" customHeight="1">
      <c r="A19" s="26" t="s">
        <v>1646</v>
      </c>
      <c r="B19" s="26" t="s">
        <v>583</v>
      </c>
      <c r="C19" s="26" t="s">
        <v>707</v>
      </c>
    </row>
    <row r="20" spans="1:3" ht="15.75" customHeight="1">
      <c r="A20" s="26" t="s">
        <v>1647</v>
      </c>
      <c r="B20" s="26" t="s">
        <v>583</v>
      </c>
      <c r="C20" s="26" t="s">
        <v>708</v>
      </c>
    </row>
    <row r="21" spans="1:3" ht="15.75" customHeight="1">
      <c r="A21" s="26" t="s">
        <v>1648</v>
      </c>
      <c r="B21" s="26" t="s">
        <v>583</v>
      </c>
      <c r="C21" s="26" t="s">
        <v>709</v>
      </c>
    </row>
    <row r="22" spans="1:3" ht="15.75" customHeight="1">
      <c r="A22" s="26" t="s">
        <v>1649</v>
      </c>
      <c r="B22" s="26" t="s">
        <v>584</v>
      </c>
      <c r="C22" s="26" t="s">
        <v>706</v>
      </c>
    </row>
    <row r="23" spans="1:3" ht="15.75" customHeight="1">
      <c r="A23" s="26" t="s">
        <v>1650</v>
      </c>
      <c r="B23" s="26" t="s">
        <v>584</v>
      </c>
      <c r="C23" s="26" t="s">
        <v>707</v>
      </c>
    </row>
    <row r="24" spans="1:3" ht="15.75" customHeight="1">
      <c r="A24" s="26" t="s">
        <v>1651</v>
      </c>
      <c r="B24" s="26" t="s">
        <v>584</v>
      </c>
      <c r="C24" s="26" t="s">
        <v>708</v>
      </c>
    </row>
    <row r="25" spans="1:3" ht="15.75" customHeight="1">
      <c r="A25" s="26" t="s">
        <v>1652</v>
      </c>
      <c r="B25" s="26" t="s">
        <v>584</v>
      </c>
      <c r="C25" s="26" t="s">
        <v>709</v>
      </c>
    </row>
    <row r="26" spans="1:3" ht="15.75" customHeight="1">
      <c r="A26" s="26" t="s">
        <v>1653</v>
      </c>
      <c r="B26" s="26" t="s">
        <v>585</v>
      </c>
      <c r="C26" s="26" t="s">
        <v>706</v>
      </c>
    </row>
    <row r="27" spans="1:3" ht="15.75" customHeight="1">
      <c r="A27" s="26" t="s">
        <v>1654</v>
      </c>
      <c r="B27" s="26" t="s">
        <v>585</v>
      </c>
      <c r="C27" s="26" t="s">
        <v>707</v>
      </c>
    </row>
    <row r="28" spans="1:3" ht="14.4">
      <c r="A28" s="26" t="s">
        <v>1655</v>
      </c>
      <c r="B28" s="26" t="s">
        <v>585</v>
      </c>
      <c r="C28" s="26" t="s">
        <v>708</v>
      </c>
    </row>
    <row r="29" spans="1:3" ht="14.4">
      <c r="A29" s="26" t="s">
        <v>1656</v>
      </c>
      <c r="B29" s="26" t="s">
        <v>585</v>
      </c>
      <c r="C29" s="26" t="s">
        <v>709</v>
      </c>
    </row>
    <row r="30" spans="1:3" ht="14.4">
      <c r="A30" s="26" t="s">
        <v>1657</v>
      </c>
      <c r="B30" s="26" t="s">
        <v>586</v>
      </c>
      <c r="C30" s="26" t="s">
        <v>706</v>
      </c>
    </row>
    <row r="31" spans="1:3" ht="14.4">
      <c r="A31" s="26" t="s">
        <v>1658</v>
      </c>
      <c r="B31" s="26" t="s">
        <v>586</v>
      </c>
      <c r="C31" s="26" t="s">
        <v>707</v>
      </c>
    </row>
    <row r="32" spans="1:3" ht="14.4">
      <c r="A32" s="26" t="s">
        <v>1659</v>
      </c>
      <c r="B32" s="26" t="s">
        <v>586</v>
      </c>
      <c r="C32" s="26" t="s">
        <v>708</v>
      </c>
    </row>
    <row r="33" spans="1:3" ht="14.4">
      <c r="A33" s="26" t="s">
        <v>1660</v>
      </c>
      <c r="B33" s="26" t="s">
        <v>586</v>
      </c>
      <c r="C33" s="26" t="s">
        <v>709</v>
      </c>
    </row>
    <row r="34" spans="1:3" ht="14.4">
      <c r="A34" s="26" t="s">
        <v>1661</v>
      </c>
      <c r="B34" s="26" t="s">
        <v>403</v>
      </c>
      <c r="C34" s="26" t="s">
        <v>477</v>
      </c>
    </row>
    <row r="35" spans="1:3" ht="14.4">
      <c r="A35" s="26" t="s">
        <v>1662</v>
      </c>
      <c r="B35" s="26" t="s">
        <v>403</v>
      </c>
      <c r="C35" s="26" t="s">
        <v>486</v>
      </c>
    </row>
    <row r="36" spans="1:3" ht="14.4">
      <c r="A36" s="26" t="s">
        <v>1663</v>
      </c>
      <c r="B36" s="26" t="s">
        <v>403</v>
      </c>
      <c r="C36" s="26" t="s">
        <v>478</v>
      </c>
    </row>
    <row r="37" spans="1:3" ht="14.4">
      <c r="A37" s="26" t="s">
        <v>1664</v>
      </c>
      <c r="B37" s="26" t="s">
        <v>403</v>
      </c>
      <c r="C37" s="26" t="s">
        <v>487</v>
      </c>
    </row>
    <row r="38" spans="1:3" ht="14.4">
      <c r="A38" s="26" t="s">
        <v>1665</v>
      </c>
      <c r="B38" s="26" t="s">
        <v>403</v>
      </c>
      <c r="C38" s="26" t="s">
        <v>479</v>
      </c>
    </row>
    <row r="39" spans="1:3" ht="14.4">
      <c r="A39" s="26" t="s">
        <v>1666</v>
      </c>
      <c r="B39" s="26" t="s">
        <v>403</v>
      </c>
      <c r="C39" s="26" t="s">
        <v>488</v>
      </c>
    </row>
    <row r="40" spans="1:3" ht="14.4">
      <c r="A40" s="26" t="s">
        <v>1667</v>
      </c>
      <c r="B40" s="26" t="s">
        <v>403</v>
      </c>
      <c r="C40" s="26" t="s">
        <v>480</v>
      </c>
    </row>
    <row r="41" spans="1:3" ht="14.4">
      <c r="A41" s="26" t="s">
        <v>1668</v>
      </c>
      <c r="B41" s="26" t="s">
        <v>403</v>
      </c>
      <c r="C41" s="26" t="s">
        <v>489</v>
      </c>
    </row>
    <row r="42" spans="1:3" ht="14.4">
      <c r="A42" s="26" t="s">
        <v>1669</v>
      </c>
      <c r="B42" s="26" t="s">
        <v>404</v>
      </c>
      <c r="C42" s="26" t="s">
        <v>477</v>
      </c>
    </row>
    <row r="43" spans="1:3" ht="14.4">
      <c r="A43" s="26" t="s">
        <v>1670</v>
      </c>
      <c r="B43" s="26" t="s">
        <v>404</v>
      </c>
      <c r="C43" s="26" t="s">
        <v>486</v>
      </c>
    </row>
    <row r="44" spans="1:3" ht="14.4">
      <c r="A44" s="26" t="s">
        <v>1671</v>
      </c>
      <c r="B44" s="26" t="s">
        <v>404</v>
      </c>
      <c r="C44" s="26" t="s">
        <v>478</v>
      </c>
    </row>
    <row r="45" spans="1:3" ht="14.4">
      <c r="A45" s="26" t="s">
        <v>1672</v>
      </c>
      <c r="B45" s="26" t="s">
        <v>404</v>
      </c>
      <c r="C45" s="26" t="s">
        <v>487</v>
      </c>
    </row>
    <row r="46" spans="1:3" ht="14.4">
      <c r="A46" s="26" t="s">
        <v>1673</v>
      </c>
      <c r="B46" s="26" t="s">
        <v>404</v>
      </c>
      <c r="C46" s="26" t="s">
        <v>479</v>
      </c>
    </row>
    <row r="47" spans="1:3" ht="14.4">
      <c r="A47" s="26" t="s">
        <v>1674</v>
      </c>
      <c r="B47" s="26" t="s">
        <v>404</v>
      </c>
      <c r="C47" s="26" t="s">
        <v>488</v>
      </c>
    </row>
    <row r="48" spans="1:3" ht="14.4">
      <c r="A48" s="26" t="s">
        <v>1675</v>
      </c>
      <c r="B48" s="26" t="s">
        <v>404</v>
      </c>
      <c r="C48" s="26" t="s">
        <v>480</v>
      </c>
    </row>
    <row r="49" spans="1:3" ht="14.4">
      <c r="A49" s="26" t="s">
        <v>1676</v>
      </c>
      <c r="B49" s="26" t="s">
        <v>404</v>
      </c>
      <c r="C49" s="26" t="s">
        <v>489</v>
      </c>
    </row>
    <row r="50" spans="1:3" ht="14.4">
      <c r="A50" s="26" t="s">
        <v>1677</v>
      </c>
      <c r="B50" s="26" t="s">
        <v>405</v>
      </c>
      <c r="C50" s="26" t="s">
        <v>477</v>
      </c>
    </row>
    <row r="51" spans="1:3" ht="14.4">
      <c r="A51" s="26" t="s">
        <v>1678</v>
      </c>
      <c r="B51" s="26" t="s">
        <v>405</v>
      </c>
      <c r="C51" s="26" t="s">
        <v>486</v>
      </c>
    </row>
    <row r="52" spans="1:3" ht="14.4">
      <c r="A52" s="26" t="s">
        <v>1679</v>
      </c>
      <c r="B52" s="26" t="s">
        <v>405</v>
      </c>
      <c r="C52" s="26" t="s">
        <v>478</v>
      </c>
    </row>
    <row r="53" spans="1:3" ht="14.4">
      <c r="A53" s="26" t="s">
        <v>1680</v>
      </c>
      <c r="B53" s="26" t="s">
        <v>405</v>
      </c>
      <c r="C53" s="26" t="s">
        <v>487</v>
      </c>
    </row>
    <row r="54" spans="1:3" ht="14.4">
      <c r="A54" s="26" t="s">
        <v>1681</v>
      </c>
      <c r="B54" s="26" t="s">
        <v>405</v>
      </c>
      <c r="C54" s="26" t="s">
        <v>479</v>
      </c>
    </row>
    <row r="55" spans="1:3" ht="14.4">
      <c r="A55" s="26" t="s">
        <v>1682</v>
      </c>
      <c r="B55" s="26" t="s">
        <v>405</v>
      </c>
      <c r="C55" s="26" t="s">
        <v>488</v>
      </c>
    </row>
    <row r="56" spans="1:3" ht="14.4">
      <c r="A56" s="26" t="s">
        <v>1683</v>
      </c>
      <c r="B56" s="26" t="s">
        <v>405</v>
      </c>
      <c r="C56" s="26" t="s">
        <v>480</v>
      </c>
    </row>
    <row r="57" spans="1:3" ht="14.4">
      <c r="A57" s="26" t="s">
        <v>1684</v>
      </c>
      <c r="B57" s="26" t="s">
        <v>405</v>
      </c>
      <c r="C57" s="26" t="s">
        <v>489</v>
      </c>
    </row>
    <row r="58" spans="1:3" ht="14.4">
      <c r="A58" s="26" t="s">
        <v>1685</v>
      </c>
      <c r="B58" s="26" t="s">
        <v>406</v>
      </c>
      <c r="C58" s="26" t="s">
        <v>477</v>
      </c>
    </row>
    <row r="59" spans="1:3" ht="14.4">
      <c r="A59" s="26" t="s">
        <v>1686</v>
      </c>
      <c r="B59" s="26" t="s">
        <v>406</v>
      </c>
      <c r="C59" s="26" t="s">
        <v>486</v>
      </c>
    </row>
    <row r="60" spans="1:3" ht="14.4">
      <c r="A60" s="26" t="s">
        <v>1687</v>
      </c>
      <c r="B60" s="26" t="s">
        <v>406</v>
      </c>
      <c r="C60" s="26" t="s">
        <v>478</v>
      </c>
    </row>
    <row r="61" spans="1:3" ht="14.4">
      <c r="A61" s="26" t="s">
        <v>1688</v>
      </c>
      <c r="B61" s="26" t="s">
        <v>406</v>
      </c>
      <c r="C61" s="26" t="s">
        <v>487</v>
      </c>
    </row>
    <row r="62" spans="1:3" ht="14.4">
      <c r="A62" s="26" t="s">
        <v>1689</v>
      </c>
      <c r="B62" s="26" t="s">
        <v>406</v>
      </c>
      <c r="C62" s="26" t="s">
        <v>479</v>
      </c>
    </row>
    <row r="63" spans="1:3" ht="14.4">
      <c r="A63" s="26" t="s">
        <v>1690</v>
      </c>
      <c r="B63" s="26" t="s">
        <v>406</v>
      </c>
      <c r="C63" s="26" t="s">
        <v>488</v>
      </c>
    </row>
    <row r="64" spans="1:3" ht="14.4">
      <c r="A64" s="26" t="s">
        <v>1691</v>
      </c>
      <c r="B64" s="26" t="s">
        <v>406</v>
      </c>
      <c r="C64" s="26" t="s">
        <v>480</v>
      </c>
    </row>
    <row r="65" spans="1:3" ht="14.4">
      <c r="A65" s="26" t="s">
        <v>1692</v>
      </c>
      <c r="B65" s="26" t="s">
        <v>406</v>
      </c>
      <c r="C65" s="26" t="s">
        <v>489</v>
      </c>
    </row>
    <row r="66" spans="1:3" ht="14.4">
      <c r="A66" s="26" t="s">
        <v>1693</v>
      </c>
      <c r="B66" s="26" t="s">
        <v>583</v>
      </c>
      <c r="C66" s="26" t="s">
        <v>633</v>
      </c>
    </row>
    <row r="67" spans="1:3" ht="14.4">
      <c r="A67" s="26" t="s">
        <v>1694</v>
      </c>
      <c r="B67" s="26" t="s">
        <v>583</v>
      </c>
      <c r="C67" s="26" t="s">
        <v>625</v>
      </c>
    </row>
    <row r="68" spans="1:3" ht="14.4">
      <c r="A68" s="26" t="s">
        <v>1695</v>
      </c>
      <c r="B68" s="26" t="s">
        <v>583</v>
      </c>
      <c r="C68" s="26" t="s">
        <v>634</v>
      </c>
    </row>
    <row r="69" spans="1:3" ht="14.4">
      <c r="A69" s="26" t="s">
        <v>1696</v>
      </c>
      <c r="B69" s="26" t="s">
        <v>583</v>
      </c>
      <c r="C69" s="26" t="s">
        <v>626</v>
      </c>
    </row>
    <row r="70" spans="1:3" ht="14.4">
      <c r="A70" s="26" t="s">
        <v>1697</v>
      </c>
      <c r="B70" s="26" t="s">
        <v>583</v>
      </c>
      <c r="C70" s="26" t="s">
        <v>635</v>
      </c>
    </row>
    <row r="71" spans="1:3" ht="14.4">
      <c r="A71" s="26" t="s">
        <v>1698</v>
      </c>
      <c r="B71" s="26" t="s">
        <v>583</v>
      </c>
      <c r="C71" s="26" t="s">
        <v>627</v>
      </c>
    </row>
    <row r="72" spans="1:3" ht="14.4">
      <c r="A72" s="26" t="s">
        <v>1699</v>
      </c>
      <c r="B72" s="26" t="s">
        <v>583</v>
      </c>
      <c r="C72" s="26" t="s">
        <v>636</v>
      </c>
    </row>
    <row r="73" spans="1:3" ht="14.4">
      <c r="A73" s="26" t="s">
        <v>1700</v>
      </c>
      <c r="B73" s="26" t="s">
        <v>583</v>
      </c>
      <c r="C73" s="26" t="s">
        <v>628</v>
      </c>
    </row>
    <row r="74" spans="1:3" ht="14.4">
      <c r="A74" s="26" t="s">
        <v>1701</v>
      </c>
      <c r="B74" s="26" t="s">
        <v>584</v>
      </c>
      <c r="C74" s="26" t="s">
        <v>633</v>
      </c>
    </row>
    <row r="75" spans="1:3" ht="14.4">
      <c r="A75" s="26" t="s">
        <v>1702</v>
      </c>
      <c r="B75" s="26" t="s">
        <v>584</v>
      </c>
      <c r="C75" s="26" t="s">
        <v>625</v>
      </c>
    </row>
    <row r="76" spans="1:3" ht="14.4">
      <c r="A76" s="26" t="s">
        <v>1703</v>
      </c>
      <c r="B76" s="26" t="s">
        <v>584</v>
      </c>
      <c r="C76" s="26" t="s">
        <v>634</v>
      </c>
    </row>
    <row r="77" spans="1:3" ht="14.4">
      <c r="A77" s="26" t="s">
        <v>1704</v>
      </c>
      <c r="B77" s="26" t="s">
        <v>584</v>
      </c>
      <c r="C77" s="26" t="s">
        <v>626</v>
      </c>
    </row>
    <row r="78" spans="1:3" ht="14.4">
      <c r="A78" s="26" t="s">
        <v>1705</v>
      </c>
      <c r="B78" s="26" t="s">
        <v>584</v>
      </c>
      <c r="C78" s="26" t="s">
        <v>635</v>
      </c>
    </row>
    <row r="79" spans="1:3" ht="14.4">
      <c r="A79" s="26" t="s">
        <v>1706</v>
      </c>
      <c r="B79" s="26" t="s">
        <v>584</v>
      </c>
      <c r="C79" s="26" t="s">
        <v>627</v>
      </c>
    </row>
    <row r="80" spans="1:3" ht="14.4">
      <c r="A80" s="26" t="s">
        <v>1707</v>
      </c>
      <c r="B80" s="26" t="s">
        <v>584</v>
      </c>
      <c r="C80" s="26" t="s">
        <v>636</v>
      </c>
    </row>
    <row r="81" spans="1:3" ht="14.4">
      <c r="A81" s="26" t="s">
        <v>1708</v>
      </c>
      <c r="B81" s="26" t="s">
        <v>584</v>
      </c>
      <c r="C81" s="26" t="s">
        <v>628</v>
      </c>
    </row>
    <row r="82" spans="1:3" ht="14.4">
      <c r="A82" s="26" t="s">
        <v>1709</v>
      </c>
      <c r="B82" s="26" t="s">
        <v>585</v>
      </c>
      <c r="C82" s="26" t="s">
        <v>633</v>
      </c>
    </row>
    <row r="83" spans="1:3" ht="14.4">
      <c r="A83" s="26" t="s">
        <v>1710</v>
      </c>
      <c r="B83" s="26" t="s">
        <v>585</v>
      </c>
      <c r="C83" s="26" t="s">
        <v>625</v>
      </c>
    </row>
    <row r="84" spans="1:3" ht="14.4">
      <c r="A84" s="26" t="s">
        <v>1711</v>
      </c>
      <c r="B84" s="26" t="s">
        <v>585</v>
      </c>
      <c r="C84" s="26" t="s">
        <v>634</v>
      </c>
    </row>
    <row r="85" spans="1:3" ht="14.4">
      <c r="A85" s="26" t="s">
        <v>1712</v>
      </c>
      <c r="B85" s="26" t="s">
        <v>585</v>
      </c>
      <c r="C85" s="26" t="s">
        <v>626</v>
      </c>
    </row>
    <row r="86" spans="1:3" ht="14.4">
      <c r="A86" s="26" t="s">
        <v>1713</v>
      </c>
      <c r="B86" s="26" t="s">
        <v>585</v>
      </c>
      <c r="C86" s="26" t="s">
        <v>635</v>
      </c>
    </row>
    <row r="87" spans="1:3" ht="14.4">
      <c r="A87" s="26" t="s">
        <v>1714</v>
      </c>
      <c r="B87" s="26" t="s">
        <v>585</v>
      </c>
      <c r="C87" s="26" t="s">
        <v>627</v>
      </c>
    </row>
    <row r="88" spans="1:3" ht="14.4">
      <c r="A88" s="26" t="s">
        <v>1715</v>
      </c>
      <c r="B88" s="26" t="s">
        <v>585</v>
      </c>
      <c r="C88" s="26" t="s">
        <v>636</v>
      </c>
    </row>
    <row r="89" spans="1:3" ht="14.4">
      <c r="A89" s="26" t="s">
        <v>1716</v>
      </c>
      <c r="B89" s="26" t="s">
        <v>585</v>
      </c>
      <c r="C89" s="26" t="s">
        <v>628</v>
      </c>
    </row>
    <row r="90" spans="1:3" ht="14.4">
      <c r="A90" s="26" t="s">
        <v>1717</v>
      </c>
      <c r="B90" s="26" t="s">
        <v>586</v>
      </c>
      <c r="C90" s="26" t="s">
        <v>633</v>
      </c>
    </row>
    <row r="91" spans="1:3" ht="14.4">
      <c r="A91" s="26" t="s">
        <v>1718</v>
      </c>
      <c r="B91" s="26" t="s">
        <v>586</v>
      </c>
      <c r="C91" s="26" t="s">
        <v>625</v>
      </c>
    </row>
    <row r="92" spans="1:3" ht="14.4">
      <c r="A92" s="26" t="s">
        <v>1719</v>
      </c>
      <c r="B92" s="26" t="s">
        <v>586</v>
      </c>
      <c r="C92" s="26" t="s">
        <v>634</v>
      </c>
    </row>
    <row r="93" spans="1:3" ht="14.4">
      <c r="A93" s="26" t="s">
        <v>1720</v>
      </c>
      <c r="B93" s="26" t="s">
        <v>586</v>
      </c>
      <c r="C93" s="26" t="s">
        <v>626</v>
      </c>
    </row>
    <row r="94" spans="1:3" ht="14.4">
      <c r="A94" s="26" t="s">
        <v>1721</v>
      </c>
      <c r="B94" s="26" t="s">
        <v>586</v>
      </c>
      <c r="C94" s="26" t="s">
        <v>635</v>
      </c>
    </row>
    <row r="95" spans="1:3" ht="14.4">
      <c r="A95" s="26" t="s">
        <v>1722</v>
      </c>
      <c r="B95" s="26" t="s">
        <v>586</v>
      </c>
      <c r="C95" s="26" t="s">
        <v>627</v>
      </c>
    </row>
    <row r="96" spans="1:3" ht="14.4">
      <c r="A96" s="26" t="s">
        <v>1723</v>
      </c>
      <c r="B96" s="26" t="s">
        <v>586</v>
      </c>
      <c r="C96" s="26" t="s">
        <v>636</v>
      </c>
    </row>
    <row r="97" spans="1:4" ht="14.4">
      <c r="A97" s="26" t="s">
        <v>1724</v>
      </c>
      <c r="B97" s="26" t="s">
        <v>586</v>
      </c>
      <c r="C97" s="26" t="s">
        <v>628</v>
      </c>
    </row>
    <row r="98" spans="1:4" ht="14.4">
      <c r="A98" s="26" t="s">
        <v>1725</v>
      </c>
      <c r="B98" s="26" t="s">
        <v>583</v>
      </c>
      <c r="C98" s="26" t="s">
        <v>349</v>
      </c>
      <c r="D98" s="26"/>
    </row>
    <row r="99" spans="1:4" ht="14.4">
      <c r="A99" s="26" t="s">
        <v>1726</v>
      </c>
      <c r="B99" s="26" t="s">
        <v>583</v>
      </c>
      <c r="C99" s="26" t="s">
        <v>350</v>
      </c>
    </row>
    <row r="100" spans="1:4" ht="14.4">
      <c r="A100" s="26" t="s">
        <v>1727</v>
      </c>
      <c r="B100" s="26" t="s">
        <v>583</v>
      </c>
      <c r="C100" s="26" t="s">
        <v>351</v>
      </c>
    </row>
    <row r="101" spans="1:4" ht="14.4">
      <c r="A101" s="26" t="s">
        <v>1728</v>
      </c>
      <c r="B101" s="26" t="s">
        <v>583</v>
      </c>
      <c r="C101" s="26" t="s">
        <v>352</v>
      </c>
    </row>
    <row r="102" spans="1:4" ht="14.4">
      <c r="A102" s="26" t="s">
        <v>1729</v>
      </c>
      <c r="B102" s="26" t="s">
        <v>584</v>
      </c>
      <c r="C102" s="26" t="s">
        <v>349</v>
      </c>
    </row>
    <row r="103" spans="1:4" ht="14.4">
      <c r="A103" s="26" t="s">
        <v>1730</v>
      </c>
      <c r="B103" s="26" t="s">
        <v>584</v>
      </c>
      <c r="C103" s="26" t="s">
        <v>350</v>
      </c>
    </row>
    <row r="104" spans="1:4" ht="14.4">
      <c r="A104" s="26" t="s">
        <v>1731</v>
      </c>
      <c r="B104" s="26" t="s">
        <v>584</v>
      </c>
      <c r="C104" s="26" t="s">
        <v>351</v>
      </c>
    </row>
    <row r="105" spans="1:4" ht="14.4">
      <c r="A105" s="26" t="s">
        <v>1732</v>
      </c>
      <c r="B105" s="26" t="s">
        <v>584</v>
      </c>
      <c r="C105" s="26" t="s">
        <v>352</v>
      </c>
    </row>
    <row r="106" spans="1:4" ht="14.4">
      <c r="A106" s="26" t="s">
        <v>1733</v>
      </c>
      <c r="B106" s="26" t="s">
        <v>585</v>
      </c>
      <c r="C106" s="26" t="s">
        <v>349</v>
      </c>
    </row>
    <row r="107" spans="1:4" ht="14.4">
      <c r="A107" s="26" t="s">
        <v>1734</v>
      </c>
      <c r="B107" s="26" t="s">
        <v>585</v>
      </c>
      <c r="C107" s="26" t="s">
        <v>350</v>
      </c>
    </row>
    <row r="108" spans="1:4" ht="14.4">
      <c r="A108" s="26" t="s">
        <v>1735</v>
      </c>
      <c r="B108" s="26" t="s">
        <v>585</v>
      </c>
      <c r="C108" s="26" t="s">
        <v>351</v>
      </c>
    </row>
    <row r="109" spans="1:4" ht="14.4">
      <c r="A109" s="26" t="s">
        <v>1736</v>
      </c>
      <c r="B109" s="26" t="s">
        <v>585</v>
      </c>
      <c r="C109" s="26" t="s">
        <v>352</v>
      </c>
    </row>
    <row r="110" spans="1:4" ht="14.4">
      <c r="A110" s="26" t="s">
        <v>1737</v>
      </c>
      <c r="B110" s="26" t="s">
        <v>586</v>
      </c>
      <c r="C110" s="26" t="s">
        <v>349</v>
      </c>
    </row>
    <row r="111" spans="1:4" ht="14.4">
      <c r="A111" s="26" t="s">
        <v>1738</v>
      </c>
      <c r="B111" s="26" t="s">
        <v>586</v>
      </c>
      <c r="C111" s="26" t="s">
        <v>350</v>
      </c>
    </row>
    <row r="112" spans="1:4" ht="14.4">
      <c r="A112" s="26" t="s">
        <v>1739</v>
      </c>
      <c r="B112" s="26" t="s">
        <v>586</v>
      </c>
      <c r="C112" s="26" t="s">
        <v>351</v>
      </c>
    </row>
    <row r="113" spans="1:3" ht="14.4">
      <c r="A113" s="26" t="s">
        <v>1740</v>
      </c>
      <c r="B113" s="26" t="s">
        <v>586</v>
      </c>
      <c r="C113" s="26" t="s">
        <v>352</v>
      </c>
    </row>
    <row r="114" spans="1:3" ht="14.4">
      <c r="A114" s="26" t="s">
        <v>1741</v>
      </c>
      <c r="B114" s="26" t="s">
        <v>583</v>
      </c>
      <c r="C114" s="26" t="s">
        <v>338</v>
      </c>
    </row>
    <row r="115" spans="1:3" ht="14.4">
      <c r="A115" s="26" t="s">
        <v>1743</v>
      </c>
      <c r="B115" s="26" t="s">
        <v>583</v>
      </c>
      <c r="C115" s="26" t="s">
        <v>339</v>
      </c>
    </row>
    <row r="116" spans="1:3" ht="14.4">
      <c r="A116" s="26" t="s">
        <v>1744</v>
      </c>
      <c r="B116" s="26" t="s">
        <v>583</v>
      </c>
      <c r="C116" s="26" t="s">
        <v>340</v>
      </c>
    </row>
    <row r="117" spans="1:3" ht="14.4">
      <c r="A117" s="26" t="s">
        <v>1745</v>
      </c>
      <c r="B117" s="26" t="s">
        <v>583</v>
      </c>
      <c r="C117" s="26" t="s">
        <v>341</v>
      </c>
    </row>
    <row r="118" spans="1:3" ht="14.4">
      <c r="A118" s="26" t="s">
        <v>1746</v>
      </c>
      <c r="B118" s="26" t="s">
        <v>584</v>
      </c>
      <c r="C118" s="26" t="s">
        <v>338</v>
      </c>
    </row>
    <row r="119" spans="1:3" ht="14.4">
      <c r="A119" s="26" t="s">
        <v>1747</v>
      </c>
      <c r="B119" s="26" t="s">
        <v>584</v>
      </c>
      <c r="C119" s="26" t="s">
        <v>339</v>
      </c>
    </row>
    <row r="120" spans="1:3" ht="14.4">
      <c r="A120" s="26" t="s">
        <v>1749</v>
      </c>
      <c r="B120" s="26" t="s">
        <v>584</v>
      </c>
      <c r="C120" s="26" t="s">
        <v>340</v>
      </c>
    </row>
    <row r="121" spans="1:3" ht="14.4">
      <c r="A121" s="26" t="s">
        <v>1750</v>
      </c>
      <c r="B121" s="26" t="s">
        <v>584</v>
      </c>
      <c r="C121" s="26" t="s">
        <v>341</v>
      </c>
    </row>
    <row r="122" spans="1:3" ht="14.4">
      <c r="A122" s="26" t="s">
        <v>1751</v>
      </c>
      <c r="B122" s="26" t="s">
        <v>585</v>
      </c>
      <c r="C122" s="26" t="s">
        <v>338</v>
      </c>
    </row>
    <row r="123" spans="1:3" ht="14.4">
      <c r="A123" s="26" t="s">
        <v>1752</v>
      </c>
      <c r="B123" s="26" t="s">
        <v>585</v>
      </c>
      <c r="C123" s="26" t="s">
        <v>339</v>
      </c>
    </row>
    <row r="124" spans="1:3" ht="14.4">
      <c r="A124" s="26" t="s">
        <v>1753</v>
      </c>
      <c r="B124" s="26" t="s">
        <v>585</v>
      </c>
      <c r="C124" s="26" t="s">
        <v>340</v>
      </c>
    </row>
    <row r="125" spans="1:3" ht="14.4">
      <c r="A125" s="26" t="s">
        <v>1754</v>
      </c>
      <c r="B125" s="26" t="s">
        <v>585</v>
      </c>
      <c r="C125" s="26" t="s">
        <v>341</v>
      </c>
    </row>
    <row r="126" spans="1:3" ht="14.4">
      <c r="A126" s="26" t="s">
        <v>1755</v>
      </c>
      <c r="B126" s="26" t="s">
        <v>586</v>
      </c>
      <c r="C126" s="26" t="s">
        <v>338</v>
      </c>
    </row>
    <row r="127" spans="1:3" ht="14.4">
      <c r="A127" s="26" t="s">
        <v>1756</v>
      </c>
      <c r="B127" s="26" t="s">
        <v>586</v>
      </c>
      <c r="C127" s="26" t="s">
        <v>339</v>
      </c>
    </row>
    <row r="128" spans="1:3" ht="14.4">
      <c r="A128" s="26" t="s">
        <v>1757</v>
      </c>
      <c r="B128" s="26" t="s">
        <v>586</v>
      </c>
      <c r="C128" s="26" t="s">
        <v>340</v>
      </c>
    </row>
    <row r="129" spans="1:3" ht="14.4">
      <c r="A129" s="26" t="s">
        <v>1758</v>
      </c>
      <c r="B129" s="26" t="s">
        <v>586</v>
      </c>
      <c r="C129" s="26" t="s">
        <v>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00"/>
  <sheetViews>
    <sheetView workbookViewId="0"/>
  </sheetViews>
  <sheetFormatPr defaultColWidth="12.6640625" defaultRowHeight="15.75" customHeight="1"/>
  <cols>
    <col min="1" max="1" width="28.109375" customWidth="1"/>
    <col min="2" max="2" width="7.33203125" customWidth="1"/>
    <col min="3" max="3" width="12.6640625" hidden="1"/>
    <col min="4" max="4" width="6.44140625" customWidth="1"/>
    <col min="5" max="5" width="6.44140625" hidden="1" customWidth="1"/>
    <col min="6" max="6" width="4.109375" customWidth="1"/>
    <col min="7" max="7" width="5.88671875" hidden="1" customWidth="1"/>
    <col min="8" max="8" width="6.21875" customWidth="1"/>
    <col min="9" max="9" width="5.33203125" hidden="1" customWidth="1"/>
    <col min="10" max="10" width="12.21875" customWidth="1"/>
    <col min="11" max="11" width="20.88671875" customWidth="1"/>
    <col min="12" max="12" width="14.77734375" customWidth="1"/>
    <col min="13" max="13" width="4.6640625" customWidth="1"/>
    <col min="14" max="14" width="4.88671875" customWidth="1"/>
    <col min="15" max="15" width="7.21875" customWidth="1"/>
  </cols>
  <sheetData>
    <row r="1" spans="1:23" ht="13.2">
      <c r="A1" s="12" t="s">
        <v>1760</v>
      </c>
      <c r="B1" s="164" t="s">
        <v>18</v>
      </c>
      <c r="C1" s="164" t="s">
        <v>1761</v>
      </c>
      <c r="D1" s="12" t="s">
        <v>19</v>
      </c>
      <c r="E1" s="12" t="s">
        <v>1762</v>
      </c>
      <c r="F1" s="12" t="s">
        <v>20</v>
      </c>
      <c r="G1" s="12" t="s">
        <v>1763</v>
      </c>
      <c r="H1" s="12" t="s">
        <v>22</v>
      </c>
      <c r="I1" s="12" t="s">
        <v>1764</v>
      </c>
      <c r="J1" s="12" t="s">
        <v>1765</v>
      </c>
      <c r="K1" s="12" t="s">
        <v>1766</v>
      </c>
      <c r="P1" s="12" t="s">
        <v>1767</v>
      </c>
    </row>
    <row r="2" spans="1:23" ht="15.75" customHeight="1">
      <c r="A2" s="165" t="s">
        <v>32</v>
      </c>
      <c r="B2" s="166">
        <v>-83</v>
      </c>
      <c r="C2" s="167">
        <v>10</v>
      </c>
      <c r="D2" s="167">
        <v>-87</v>
      </c>
      <c r="E2" s="167">
        <v>0</v>
      </c>
      <c r="F2" s="167">
        <v>-75</v>
      </c>
      <c r="G2" s="167">
        <v>0</v>
      </c>
      <c r="H2" s="167">
        <v>-43</v>
      </c>
      <c r="I2" s="168">
        <v>0</v>
      </c>
      <c r="J2" s="169">
        <v>46162</v>
      </c>
      <c r="K2" s="12" t="s">
        <v>1768</v>
      </c>
    </row>
    <row r="3" spans="1:23" ht="15.75" customHeight="1">
      <c r="A3" s="170" t="s">
        <v>45</v>
      </c>
      <c r="B3" s="172">
        <v>-38</v>
      </c>
      <c r="C3" s="174">
        <v>0</v>
      </c>
      <c r="D3" s="174">
        <v>-96</v>
      </c>
      <c r="E3" s="174">
        <v>0</v>
      </c>
      <c r="F3" s="174">
        <v>-37</v>
      </c>
      <c r="G3" s="174">
        <v>0</v>
      </c>
      <c r="H3" s="174">
        <v>-12</v>
      </c>
      <c r="I3" s="168">
        <v>0</v>
      </c>
      <c r="J3" s="169">
        <v>46161</v>
      </c>
      <c r="K3" s="12" t="s">
        <v>1768</v>
      </c>
    </row>
    <row r="4" spans="1:23" ht="15.75" customHeight="1">
      <c r="A4" s="175" t="s">
        <v>187</v>
      </c>
      <c r="B4" s="172">
        <v>8</v>
      </c>
      <c r="C4" s="174">
        <v>0</v>
      </c>
      <c r="D4" s="174">
        <v>-1</v>
      </c>
      <c r="E4" s="174">
        <v>0</v>
      </c>
      <c r="F4" s="174">
        <v>13</v>
      </c>
      <c r="G4" s="174">
        <v>0</v>
      </c>
      <c r="H4" s="174">
        <v>24</v>
      </c>
      <c r="I4" s="168">
        <v>0</v>
      </c>
      <c r="J4" s="169">
        <v>46104</v>
      </c>
      <c r="K4" s="12" t="s">
        <v>1768</v>
      </c>
    </row>
    <row r="5" spans="1:23" ht="15.75" customHeight="1">
      <c r="A5" s="176" t="s">
        <v>301</v>
      </c>
      <c r="B5" s="172">
        <v>-46</v>
      </c>
      <c r="C5" s="174">
        <v>0</v>
      </c>
      <c r="D5" s="174">
        <v>-39</v>
      </c>
      <c r="E5" s="174">
        <v>0</v>
      </c>
      <c r="F5" s="174">
        <v>-11</v>
      </c>
      <c r="G5" s="174">
        <v>0</v>
      </c>
      <c r="H5" s="174">
        <v>40</v>
      </c>
      <c r="I5" s="168">
        <v>0</v>
      </c>
      <c r="J5" s="169">
        <v>46149</v>
      </c>
      <c r="K5" s="12" t="s">
        <v>1768</v>
      </c>
    </row>
    <row r="6" spans="1:23" ht="15.75" customHeight="1">
      <c r="A6" s="177" t="s">
        <v>382</v>
      </c>
      <c r="B6" s="172">
        <v>-5</v>
      </c>
      <c r="C6" s="174">
        <v>0</v>
      </c>
      <c r="D6" s="174">
        <v>-13</v>
      </c>
      <c r="E6" s="174">
        <v>0</v>
      </c>
      <c r="F6" s="174">
        <v>-9</v>
      </c>
      <c r="G6" s="174">
        <v>0</v>
      </c>
      <c r="H6" s="174">
        <v>9</v>
      </c>
      <c r="I6" s="168">
        <v>0</v>
      </c>
      <c r="J6" s="169">
        <v>46104</v>
      </c>
      <c r="K6" s="12" t="s">
        <v>1768</v>
      </c>
    </row>
    <row r="7" spans="1:23" ht="15.75" customHeight="1">
      <c r="A7" s="178" t="s">
        <v>402</v>
      </c>
      <c r="B7" s="172">
        <v>-21</v>
      </c>
      <c r="C7" s="174">
        <v>0</v>
      </c>
      <c r="D7" s="174">
        <v>-30</v>
      </c>
      <c r="E7" s="174">
        <v>0</v>
      </c>
      <c r="F7" s="174">
        <v>-6</v>
      </c>
      <c r="G7" s="174">
        <v>0</v>
      </c>
      <c r="H7" s="174">
        <v>12</v>
      </c>
      <c r="I7" s="168">
        <v>0</v>
      </c>
      <c r="J7" s="169">
        <v>46146</v>
      </c>
      <c r="K7" s="12" t="s">
        <v>1768</v>
      </c>
    </row>
    <row r="8" spans="1:23" ht="15.75" customHeight="1">
      <c r="A8" s="179" t="s">
        <v>324</v>
      </c>
      <c r="B8" s="172">
        <v>-14</v>
      </c>
      <c r="C8" s="174">
        <v>0</v>
      </c>
      <c r="D8" s="174">
        <v>-22</v>
      </c>
      <c r="E8" s="174">
        <v>0</v>
      </c>
      <c r="F8" s="174">
        <v>-5</v>
      </c>
      <c r="G8" s="174">
        <v>0</v>
      </c>
      <c r="H8" s="174">
        <v>-3</v>
      </c>
      <c r="I8" s="168">
        <v>0</v>
      </c>
      <c r="J8" s="169">
        <v>46108</v>
      </c>
      <c r="K8" s="12" t="s">
        <v>1768</v>
      </c>
    </row>
    <row r="9" spans="1:23" ht="15.75" customHeight="1">
      <c r="A9" s="180" t="s">
        <v>614</v>
      </c>
      <c r="B9" s="172">
        <v>20</v>
      </c>
      <c r="C9" s="174">
        <v>0</v>
      </c>
      <c r="D9" s="174">
        <v>-1</v>
      </c>
      <c r="E9" s="174">
        <v>0</v>
      </c>
      <c r="F9" s="174">
        <v>8</v>
      </c>
      <c r="G9" s="174">
        <v>0</v>
      </c>
      <c r="H9" s="174">
        <v>23</v>
      </c>
      <c r="I9" s="168">
        <v>0</v>
      </c>
      <c r="J9" s="169">
        <v>46183</v>
      </c>
      <c r="K9" s="12" t="s">
        <v>1768</v>
      </c>
    </row>
    <row r="10" spans="1:23" ht="15.75" customHeight="1">
      <c r="A10" s="181" t="s">
        <v>337</v>
      </c>
      <c r="B10" s="172">
        <v>0</v>
      </c>
      <c r="C10" s="174">
        <v>0</v>
      </c>
      <c r="D10" s="174">
        <v>6</v>
      </c>
      <c r="E10" s="174">
        <v>0</v>
      </c>
      <c r="F10" s="174">
        <v>6</v>
      </c>
      <c r="G10" s="174">
        <v>0</v>
      </c>
      <c r="H10" s="174">
        <v>4</v>
      </c>
      <c r="I10" s="168">
        <v>0</v>
      </c>
      <c r="J10" s="169">
        <v>46183</v>
      </c>
      <c r="K10" s="12" t="s">
        <v>1768</v>
      </c>
    </row>
    <row r="11" spans="1:23" ht="15.75" customHeight="1">
      <c r="A11" s="182" t="s">
        <v>891</v>
      </c>
      <c r="B11" s="172">
        <v>-3</v>
      </c>
      <c r="C11" s="174">
        <v>0</v>
      </c>
      <c r="D11" s="174">
        <v>-40</v>
      </c>
      <c r="E11" s="174">
        <v>0</v>
      </c>
      <c r="F11" s="174">
        <v>11</v>
      </c>
      <c r="G11" s="174">
        <v>0</v>
      </c>
      <c r="H11" s="174">
        <v>18</v>
      </c>
      <c r="I11" s="168">
        <v>0</v>
      </c>
      <c r="J11" s="169">
        <v>46183</v>
      </c>
      <c r="K11" s="12" t="s">
        <v>1768</v>
      </c>
    </row>
    <row r="12" spans="1:23" ht="15.75" customHeight="1">
      <c r="A12" s="183" t="s">
        <v>745</v>
      </c>
      <c r="B12" s="172">
        <v>22</v>
      </c>
      <c r="C12" s="174">
        <v>0</v>
      </c>
      <c r="D12" s="174">
        <v>9</v>
      </c>
      <c r="E12" s="174">
        <v>0</v>
      </c>
      <c r="F12" s="174">
        <v>13</v>
      </c>
      <c r="G12" s="174">
        <v>0</v>
      </c>
      <c r="H12" s="174">
        <v>6</v>
      </c>
      <c r="I12" s="168">
        <v>0</v>
      </c>
      <c r="J12" s="169">
        <v>46104</v>
      </c>
      <c r="K12" s="12" t="s">
        <v>1768</v>
      </c>
    </row>
    <row r="13" spans="1:23" ht="15.75" customHeight="1">
      <c r="A13" s="184" t="s">
        <v>64</v>
      </c>
      <c r="B13" s="172">
        <v>-50</v>
      </c>
      <c r="C13" s="174">
        <v>0</v>
      </c>
      <c r="D13" s="174">
        <v>-83</v>
      </c>
      <c r="E13" s="174">
        <v>0</v>
      </c>
      <c r="F13" s="174">
        <v>-27</v>
      </c>
      <c r="G13" s="174">
        <v>0</v>
      </c>
      <c r="H13" s="174">
        <v>29</v>
      </c>
      <c r="I13" s="168">
        <v>0</v>
      </c>
      <c r="J13" s="169">
        <v>46183</v>
      </c>
      <c r="K13" s="12" t="s">
        <v>1768</v>
      </c>
    </row>
    <row r="14" spans="1:23" ht="15.75" customHeight="1">
      <c r="A14" s="185" t="s">
        <v>82</v>
      </c>
      <c r="B14" s="172">
        <v>-25</v>
      </c>
      <c r="C14" s="174">
        <v>0</v>
      </c>
      <c r="D14" s="174">
        <v>-30</v>
      </c>
      <c r="E14" s="174">
        <v>0</v>
      </c>
      <c r="F14" s="174">
        <v>-22</v>
      </c>
      <c r="G14" s="174">
        <v>0</v>
      </c>
      <c r="H14" s="174">
        <v>-17</v>
      </c>
      <c r="I14" s="168">
        <v>0</v>
      </c>
      <c r="J14" s="169">
        <v>46183</v>
      </c>
      <c r="K14" s="12" t="s">
        <v>1768</v>
      </c>
    </row>
    <row r="15" spans="1:23" ht="15.75" customHeight="1">
      <c r="A15" s="186" t="s">
        <v>313</v>
      </c>
      <c r="B15" s="172">
        <v>21</v>
      </c>
      <c r="C15" s="174">
        <v>0</v>
      </c>
      <c r="D15" s="174">
        <v>8</v>
      </c>
      <c r="E15" s="174">
        <v>0</v>
      </c>
      <c r="F15" s="174">
        <v>28</v>
      </c>
      <c r="G15" s="174">
        <v>0</v>
      </c>
      <c r="H15" s="174">
        <v>26</v>
      </c>
      <c r="I15" s="168">
        <v>0</v>
      </c>
      <c r="J15" s="169">
        <v>46104</v>
      </c>
      <c r="K15" s="12" t="s">
        <v>1768</v>
      </c>
    </row>
    <row r="16" spans="1:23" ht="15.75" customHeight="1">
      <c r="A16" s="187" t="s">
        <v>1343</v>
      </c>
      <c r="B16" s="166">
        <v>13</v>
      </c>
      <c r="C16" s="166">
        <v>0</v>
      </c>
      <c r="D16" s="166">
        <v>18</v>
      </c>
      <c r="E16" s="166">
        <v>0</v>
      </c>
      <c r="F16" s="166">
        <v>14</v>
      </c>
      <c r="G16" s="166">
        <v>0</v>
      </c>
      <c r="H16" s="166">
        <v>13</v>
      </c>
      <c r="I16" s="168">
        <v>0</v>
      </c>
      <c r="J16" s="169">
        <v>46098</v>
      </c>
      <c r="K16" s="12" t="s">
        <v>1768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</row>
    <row r="17" spans="1:11" ht="15.75" customHeight="1">
      <c r="A17" s="188" t="s">
        <v>110</v>
      </c>
      <c r="B17" s="166">
        <v>0</v>
      </c>
      <c r="C17" s="166">
        <v>0</v>
      </c>
      <c r="D17" s="166">
        <v>-18</v>
      </c>
      <c r="E17" s="166">
        <v>0</v>
      </c>
      <c r="F17" s="166">
        <v>-27</v>
      </c>
      <c r="G17" s="166">
        <v>0</v>
      </c>
      <c r="H17" s="166">
        <v>-8</v>
      </c>
      <c r="I17" s="168">
        <v>0</v>
      </c>
      <c r="J17" s="169">
        <v>46098</v>
      </c>
      <c r="K17" s="12" t="s">
        <v>1769</v>
      </c>
    </row>
    <row r="18" spans="1:11" ht="15.75" customHeight="1">
      <c r="A18" s="190" t="s">
        <v>208</v>
      </c>
      <c r="B18" s="166">
        <v>-3</v>
      </c>
      <c r="C18" s="166">
        <v>0</v>
      </c>
      <c r="D18" s="166">
        <v>-2</v>
      </c>
      <c r="E18" s="166">
        <v>0</v>
      </c>
      <c r="F18" s="166">
        <v>-10</v>
      </c>
      <c r="G18" s="166">
        <v>0</v>
      </c>
      <c r="H18" s="166">
        <v>8</v>
      </c>
      <c r="I18" s="168">
        <v>0</v>
      </c>
      <c r="J18" s="169">
        <v>46098</v>
      </c>
      <c r="K18" s="12" t="s">
        <v>1769</v>
      </c>
    </row>
    <row r="19" spans="1:11" ht="15.75" customHeight="1">
      <c r="A19" s="165" t="s">
        <v>1482</v>
      </c>
      <c r="B19" s="166">
        <v>40</v>
      </c>
      <c r="C19" s="166">
        <v>0</v>
      </c>
      <c r="D19" s="166">
        <v>56</v>
      </c>
      <c r="E19" s="166">
        <v>0</v>
      </c>
      <c r="F19" s="166">
        <v>56</v>
      </c>
      <c r="G19" s="166">
        <v>0</v>
      </c>
      <c r="H19" s="166">
        <v>40</v>
      </c>
      <c r="I19" s="168">
        <v>0</v>
      </c>
      <c r="J19" s="169">
        <v>46109</v>
      </c>
      <c r="K19" s="12" t="s">
        <v>1770</v>
      </c>
    </row>
    <row r="20" spans="1:11" ht="15.75" customHeight="1">
      <c r="A20" s="165" t="s">
        <v>828</v>
      </c>
      <c r="B20" s="166">
        <v>16</v>
      </c>
      <c r="C20" s="166">
        <v>0</v>
      </c>
      <c r="D20" s="166">
        <v>20</v>
      </c>
      <c r="E20" s="166">
        <v>0</v>
      </c>
      <c r="F20" s="166">
        <v>26</v>
      </c>
      <c r="G20" s="166">
        <v>0</v>
      </c>
      <c r="H20" s="166">
        <v>18</v>
      </c>
      <c r="I20" s="168">
        <v>0</v>
      </c>
      <c r="J20" s="169">
        <v>46098</v>
      </c>
      <c r="K20" s="12" t="s">
        <v>1771</v>
      </c>
    </row>
    <row r="21" spans="1:11" ht="15.75" customHeight="1">
      <c r="A21" s="199" t="s">
        <v>815</v>
      </c>
      <c r="B21" s="166">
        <v>2</v>
      </c>
      <c r="C21" s="166">
        <v>0</v>
      </c>
      <c r="D21" s="166">
        <v>2</v>
      </c>
      <c r="E21" s="166">
        <v>0</v>
      </c>
      <c r="F21" s="166">
        <v>1</v>
      </c>
      <c r="G21" s="166">
        <v>0</v>
      </c>
      <c r="H21" s="166">
        <v>4</v>
      </c>
      <c r="I21" s="168">
        <v>0</v>
      </c>
      <c r="J21" s="169">
        <v>46098</v>
      </c>
      <c r="K21" s="12" t="s">
        <v>1771</v>
      </c>
    </row>
    <row r="22" spans="1:11" ht="15.75" customHeight="1">
      <c r="A22" s="202" t="s">
        <v>804</v>
      </c>
      <c r="B22" s="166">
        <v>14</v>
      </c>
      <c r="C22" s="166">
        <v>0</v>
      </c>
      <c r="D22" s="166">
        <v>19</v>
      </c>
      <c r="E22" s="166">
        <v>0</v>
      </c>
      <c r="F22" s="166">
        <v>18</v>
      </c>
      <c r="G22" s="166">
        <v>0</v>
      </c>
      <c r="H22" s="166">
        <v>9</v>
      </c>
      <c r="I22" s="168">
        <v>0</v>
      </c>
      <c r="J22" s="169">
        <v>46098</v>
      </c>
      <c r="K22" s="12" t="s">
        <v>1771</v>
      </c>
    </row>
    <row r="23" spans="1:11" ht="15.75" customHeight="1">
      <c r="A23" s="165" t="s">
        <v>1059</v>
      </c>
      <c r="B23" s="166">
        <v>4</v>
      </c>
      <c r="C23" s="166">
        <v>0</v>
      </c>
      <c r="D23" s="166">
        <v>7</v>
      </c>
      <c r="E23" s="166">
        <v>0</v>
      </c>
      <c r="F23" s="166">
        <v>2</v>
      </c>
      <c r="G23" s="166">
        <v>0</v>
      </c>
      <c r="H23" s="166">
        <v>0</v>
      </c>
      <c r="I23" s="168">
        <v>0</v>
      </c>
      <c r="J23" s="169">
        <v>46098</v>
      </c>
      <c r="K23" s="12" t="s">
        <v>1772</v>
      </c>
    </row>
    <row r="24" spans="1:11" ht="15.75" customHeight="1">
      <c r="A24" s="206" t="s">
        <v>1053</v>
      </c>
      <c r="B24" s="166">
        <v>0</v>
      </c>
      <c r="C24" s="166">
        <v>0</v>
      </c>
      <c r="D24" s="166">
        <v>0</v>
      </c>
      <c r="E24" s="166">
        <v>0</v>
      </c>
      <c r="F24" s="166">
        <v>0</v>
      </c>
      <c r="G24" s="166">
        <v>0</v>
      </c>
      <c r="H24" s="166">
        <v>0</v>
      </c>
      <c r="I24" s="168">
        <v>0</v>
      </c>
      <c r="J24" s="169">
        <v>46098</v>
      </c>
      <c r="K24" s="12" t="s">
        <v>1772</v>
      </c>
    </row>
    <row r="25" spans="1:11" ht="15.75" customHeight="1">
      <c r="A25" s="207" t="s">
        <v>1356</v>
      </c>
      <c r="B25" s="166">
        <v>4</v>
      </c>
      <c r="C25" s="166"/>
      <c r="D25" s="166">
        <v>-6</v>
      </c>
      <c r="E25" s="166"/>
      <c r="F25" s="166">
        <v>4</v>
      </c>
      <c r="G25" s="166"/>
      <c r="H25" s="166">
        <v>19</v>
      </c>
      <c r="I25" s="168"/>
      <c r="J25" s="169">
        <v>46143</v>
      </c>
      <c r="K25" s="12" t="s">
        <v>1768</v>
      </c>
    </row>
    <row r="26" spans="1:11" ht="15.75" customHeight="1">
      <c r="A26" s="210" t="s">
        <v>1074</v>
      </c>
      <c r="B26" s="166">
        <v>0</v>
      </c>
      <c r="C26" s="166">
        <v>0</v>
      </c>
      <c r="D26" s="166">
        <v>1</v>
      </c>
      <c r="E26" s="166">
        <v>0</v>
      </c>
      <c r="F26" s="166">
        <v>-1</v>
      </c>
      <c r="G26" s="166">
        <v>0</v>
      </c>
      <c r="H26" s="166">
        <v>-2</v>
      </c>
      <c r="I26" s="168">
        <v>0</v>
      </c>
      <c r="J26" s="169">
        <v>46098</v>
      </c>
      <c r="K26" s="12" t="s">
        <v>1773</v>
      </c>
    </row>
    <row r="27" spans="1:11" ht="15.75" customHeight="1">
      <c r="A27" s="211" t="s">
        <v>1084</v>
      </c>
      <c r="B27" s="166">
        <v>0</v>
      </c>
      <c r="C27" s="166">
        <v>0</v>
      </c>
      <c r="D27" s="166">
        <v>0</v>
      </c>
      <c r="E27" s="166">
        <v>0</v>
      </c>
      <c r="F27" s="166">
        <v>0</v>
      </c>
      <c r="G27" s="166">
        <v>0</v>
      </c>
      <c r="H27" s="166">
        <v>0</v>
      </c>
      <c r="I27" s="168">
        <v>0</v>
      </c>
      <c r="J27" s="169">
        <v>46098</v>
      </c>
      <c r="K27" s="12" t="s">
        <v>1773</v>
      </c>
    </row>
    <row r="28" spans="1:11" ht="16.8">
      <c r="A28" s="213" t="s">
        <v>1094</v>
      </c>
      <c r="B28" s="166">
        <v>0</v>
      </c>
      <c r="C28" s="166">
        <v>0</v>
      </c>
      <c r="D28" s="166">
        <v>0</v>
      </c>
      <c r="E28" s="166">
        <v>0</v>
      </c>
      <c r="F28" s="166">
        <v>0</v>
      </c>
      <c r="G28" s="166">
        <v>0</v>
      </c>
      <c r="H28" s="166">
        <v>1</v>
      </c>
      <c r="I28" s="168">
        <v>0</v>
      </c>
      <c r="J28" s="169">
        <v>46098</v>
      </c>
      <c r="K28" s="12" t="s">
        <v>1774</v>
      </c>
    </row>
    <row r="29" spans="1:11" ht="16.8">
      <c r="A29" s="214" t="s">
        <v>1104</v>
      </c>
      <c r="B29" s="166">
        <v>9</v>
      </c>
      <c r="C29" s="166">
        <v>0</v>
      </c>
      <c r="D29" s="166">
        <v>-1</v>
      </c>
      <c r="E29" s="166">
        <v>0</v>
      </c>
      <c r="F29" s="166">
        <v>3</v>
      </c>
      <c r="G29" s="166">
        <v>0</v>
      </c>
      <c r="H29" s="166">
        <v>0</v>
      </c>
      <c r="I29" s="168">
        <v>0</v>
      </c>
      <c r="J29" s="169">
        <v>46098</v>
      </c>
      <c r="K29" s="12" t="s">
        <v>1774</v>
      </c>
    </row>
    <row r="30" spans="1:11" ht="16.8">
      <c r="A30" s="215" t="s">
        <v>1114</v>
      </c>
      <c r="B30" s="166">
        <v>1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8">
        <v>0</v>
      </c>
      <c r="J30" s="169">
        <v>46098</v>
      </c>
      <c r="K30" s="12" t="s">
        <v>1773</v>
      </c>
    </row>
    <row r="31" spans="1:11" ht="16.8">
      <c r="A31" s="216" t="s">
        <v>1120</v>
      </c>
      <c r="B31" s="166">
        <v>1</v>
      </c>
      <c r="C31" s="166">
        <v>0</v>
      </c>
      <c r="D31" s="166">
        <v>0</v>
      </c>
      <c r="E31" s="166">
        <v>0</v>
      </c>
      <c r="F31" s="166">
        <v>-1</v>
      </c>
      <c r="G31" s="166">
        <v>0</v>
      </c>
      <c r="H31" s="166">
        <v>0</v>
      </c>
      <c r="I31" s="168">
        <v>0</v>
      </c>
      <c r="J31" s="169">
        <v>46098</v>
      </c>
      <c r="K31" s="12" t="s">
        <v>1773</v>
      </c>
    </row>
    <row r="32" spans="1:11" ht="16.8">
      <c r="A32" s="165" t="s">
        <v>1126</v>
      </c>
      <c r="B32" s="166">
        <v>4</v>
      </c>
      <c r="C32" s="166">
        <v>0</v>
      </c>
      <c r="D32" s="166">
        <v>0</v>
      </c>
      <c r="E32" s="166">
        <v>0</v>
      </c>
      <c r="F32" s="166">
        <v>1</v>
      </c>
      <c r="G32" s="166">
        <v>0</v>
      </c>
      <c r="H32" s="166">
        <v>3</v>
      </c>
      <c r="I32" s="168">
        <v>0</v>
      </c>
      <c r="J32" s="169">
        <v>46098</v>
      </c>
      <c r="K32" s="12" t="s">
        <v>1773</v>
      </c>
    </row>
    <row r="33" spans="1:12" ht="16.8">
      <c r="A33" s="217" t="s">
        <v>1234</v>
      </c>
      <c r="B33" s="166">
        <v>14</v>
      </c>
      <c r="C33" s="166">
        <v>0</v>
      </c>
      <c r="D33" s="166">
        <v>5</v>
      </c>
      <c r="E33" s="166">
        <v>0</v>
      </c>
      <c r="F33" s="166">
        <v>6</v>
      </c>
      <c r="G33" s="166">
        <v>0</v>
      </c>
      <c r="H33" s="166">
        <v>7</v>
      </c>
      <c r="I33" s="168">
        <v>0</v>
      </c>
      <c r="J33" s="169">
        <v>46098</v>
      </c>
      <c r="K33" s="12" t="s">
        <v>1769</v>
      </c>
    </row>
    <row r="34" spans="1:12" ht="17.399999999999999">
      <c r="A34" s="218" t="s">
        <v>93</v>
      </c>
      <c r="B34" s="166">
        <v>-7</v>
      </c>
      <c r="C34" s="166">
        <v>0</v>
      </c>
      <c r="D34" s="166">
        <v>-13</v>
      </c>
      <c r="E34" s="166">
        <v>0</v>
      </c>
      <c r="F34" s="166">
        <v>-5</v>
      </c>
      <c r="G34" s="166">
        <v>0</v>
      </c>
      <c r="H34" s="166">
        <v>-12</v>
      </c>
      <c r="I34" s="168">
        <v>0</v>
      </c>
      <c r="J34" s="169">
        <v>46142</v>
      </c>
      <c r="K34" s="12" t="s">
        <v>1769</v>
      </c>
    </row>
    <row r="35" spans="1:12" ht="16.8">
      <c r="A35" s="219" t="s">
        <v>1284</v>
      </c>
      <c r="B35" s="220">
        <v>1</v>
      </c>
      <c r="C35" s="166">
        <v>0</v>
      </c>
      <c r="D35" s="166">
        <v>2</v>
      </c>
      <c r="E35" s="166">
        <v>0</v>
      </c>
      <c r="F35" s="166">
        <v>7</v>
      </c>
      <c r="G35" s="166">
        <v>0</v>
      </c>
      <c r="H35" s="166">
        <v>5</v>
      </c>
      <c r="I35" s="168">
        <v>0</v>
      </c>
      <c r="J35" s="169">
        <v>46098</v>
      </c>
      <c r="K35" s="12" t="s">
        <v>1775</v>
      </c>
    </row>
    <row r="36" spans="1:12" ht="16.8">
      <c r="A36" s="221" t="s">
        <v>783</v>
      </c>
      <c r="B36" s="220">
        <v>6</v>
      </c>
      <c r="C36" s="166">
        <v>0</v>
      </c>
      <c r="D36" s="166">
        <v>4</v>
      </c>
      <c r="E36" s="166">
        <v>0</v>
      </c>
      <c r="F36" s="166">
        <v>7</v>
      </c>
      <c r="G36" s="166">
        <v>0</v>
      </c>
      <c r="H36" s="166">
        <v>6</v>
      </c>
      <c r="I36" s="168">
        <v>0</v>
      </c>
      <c r="J36" s="169">
        <v>46098</v>
      </c>
      <c r="K36" s="12" t="s">
        <v>1775</v>
      </c>
    </row>
    <row r="37" spans="1:12" ht="16.8">
      <c r="A37" s="221" t="s">
        <v>1311</v>
      </c>
      <c r="B37" s="220">
        <v>9</v>
      </c>
      <c r="C37" s="166">
        <v>0</v>
      </c>
      <c r="D37" s="166">
        <v>11</v>
      </c>
      <c r="E37" s="166">
        <v>0</v>
      </c>
      <c r="F37" s="166">
        <v>3</v>
      </c>
      <c r="G37" s="166">
        <v>0</v>
      </c>
      <c r="H37" s="166">
        <v>-2</v>
      </c>
      <c r="J37" s="169">
        <v>46098</v>
      </c>
      <c r="K37" s="12" t="s">
        <v>1776</v>
      </c>
    </row>
    <row r="38" spans="1:12" ht="16.8">
      <c r="A38" s="151" t="s">
        <v>1296</v>
      </c>
      <c r="B38" s="220">
        <v>8</v>
      </c>
      <c r="C38" s="166">
        <v>0</v>
      </c>
      <c r="D38" s="166">
        <v>5</v>
      </c>
      <c r="E38" s="166">
        <v>0</v>
      </c>
      <c r="F38" s="166">
        <v>8</v>
      </c>
      <c r="G38" s="166">
        <v>0</v>
      </c>
      <c r="H38" s="166">
        <v>0</v>
      </c>
      <c r="J38" s="169">
        <v>46115</v>
      </c>
      <c r="K38" s="12" t="s">
        <v>1773</v>
      </c>
    </row>
    <row r="39" spans="1:12" ht="17.399999999999999">
      <c r="A39" s="218" t="s">
        <v>1318</v>
      </c>
      <c r="B39" s="220">
        <v>1</v>
      </c>
      <c r="C39" s="166">
        <v>0</v>
      </c>
      <c r="D39" s="166">
        <v>-1</v>
      </c>
      <c r="E39" s="166">
        <v>0</v>
      </c>
      <c r="F39" s="166">
        <v>-5</v>
      </c>
      <c r="G39" s="166">
        <v>0</v>
      </c>
      <c r="H39" s="166">
        <v>0</v>
      </c>
      <c r="J39" s="169">
        <v>46119</v>
      </c>
      <c r="K39" s="12" t="s">
        <v>1768</v>
      </c>
    </row>
    <row r="40" spans="1:12" ht="16.8">
      <c r="A40" s="223" t="s">
        <v>1496</v>
      </c>
      <c r="B40" s="220">
        <v>1</v>
      </c>
      <c r="C40" s="166">
        <v>0</v>
      </c>
      <c r="D40" s="166">
        <v>0</v>
      </c>
      <c r="E40" s="166">
        <v>0</v>
      </c>
      <c r="F40" s="166">
        <v>3</v>
      </c>
      <c r="G40" s="166">
        <v>0</v>
      </c>
      <c r="H40" s="166">
        <v>3</v>
      </c>
      <c r="I40" s="168">
        <v>0</v>
      </c>
      <c r="J40" s="224">
        <v>46227</v>
      </c>
      <c r="K40" s="164" t="s">
        <v>1773</v>
      </c>
    </row>
    <row r="41" spans="1:12" ht="13.2">
      <c r="L41" s="164"/>
    </row>
    <row r="42" spans="1:12" ht="13.2">
      <c r="L42" s="164"/>
    </row>
    <row r="43" spans="1:12" ht="13.2">
      <c r="L43" s="164"/>
    </row>
    <row r="44" spans="1:12" ht="13.2">
      <c r="L44" s="164"/>
    </row>
    <row r="45" spans="1:12" ht="13.2">
      <c r="L45" s="164"/>
    </row>
    <row r="46" spans="1:12" ht="13.2">
      <c r="L46" s="164"/>
    </row>
    <row r="47" spans="1:12" ht="13.2">
      <c r="L47" s="164"/>
    </row>
    <row r="48" spans="1:12" ht="13.2">
      <c r="L48" s="164"/>
    </row>
    <row r="49" spans="12:12" ht="13.2">
      <c r="L49" s="164"/>
    </row>
    <row r="50" spans="12:12" ht="13.2">
      <c r="L50" s="164"/>
    </row>
    <row r="51" spans="12:12" ht="13.2">
      <c r="L51" s="164"/>
    </row>
    <row r="52" spans="12:12" ht="13.2">
      <c r="L52" s="164"/>
    </row>
    <row r="53" spans="12:12" ht="13.2">
      <c r="L53" s="164"/>
    </row>
    <row r="54" spans="12:12" ht="13.2">
      <c r="L54" s="164"/>
    </row>
    <row r="55" spans="12:12" ht="13.2">
      <c r="L55" s="164"/>
    </row>
    <row r="56" spans="12:12" ht="13.2">
      <c r="L56" s="164"/>
    </row>
    <row r="57" spans="12:12" ht="13.2">
      <c r="L57" s="164"/>
    </row>
    <row r="58" spans="12:12" ht="13.2">
      <c r="L58" s="164"/>
    </row>
    <row r="59" spans="12:12" ht="13.2">
      <c r="L59" s="164"/>
    </row>
    <row r="60" spans="12:12" ht="13.2">
      <c r="L60" s="164"/>
    </row>
    <row r="61" spans="12:12" ht="13.2">
      <c r="L61" s="164"/>
    </row>
    <row r="62" spans="12:12" ht="13.2">
      <c r="L62" s="164"/>
    </row>
    <row r="63" spans="12:12" ht="13.2">
      <c r="L63" s="164"/>
    </row>
    <row r="64" spans="12:12" ht="13.2">
      <c r="L64" s="164"/>
    </row>
    <row r="65" spans="12:12" ht="13.2">
      <c r="L65" s="164"/>
    </row>
    <row r="66" spans="12:12" ht="13.2">
      <c r="L66" s="164"/>
    </row>
    <row r="67" spans="12:12" ht="13.2">
      <c r="L67" s="164"/>
    </row>
    <row r="68" spans="12:12" ht="13.2">
      <c r="L68" s="164"/>
    </row>
    <row r="69" spans="12:12" ht="13.2">
      <c r="L69" s="164"/>
    </row>
    <row r="70" spans="12:12" ht="13.2">
      <c r="L70" s="164"/>
    </row>
    <row r="71" spans="12:12" ht="13.2">
      <c r="L71" s="164"/>
    </row>
    <row r="72" spans="12:12" ht="13.2">
      <c r="L72" s="164"/>
    </row>
    <row r="73" spans="12:12" ht="13.2">
      <c r="L73" s="164"/>
    </row>
    <row r="74" spans="12:12" ht="13.2">
      <c r="L74" s="164"/>
    </row>
    <row r="75" spans="12:12" ht="13.2">
      <c r="L75" s="164"/>
    </row>
    <row r="76" spans="12:12" ht="13.2">
      <c r="L76" s="164"/>
    </row>
    <row r="77" spans="12:12" ht="13.2">
      <c r="L77" s="164"/>
    </row>
    <row r="78" spans="12:12" ht="13.2">
      <c r="L78" s="164"/>
    </row>
    <row r="79" spans="12:12" ht="13.2">
      <c r="L79" s="164"/>
    </row>
    <row r="80" spans="12:12" ht="13.2">
      <c r="L80" s="164"/>
    </row>
    <row r="81" spans="12:12" ht="13.2">
      <c r="L81" s="164"/>
    </row>
    <row r="82" spans="12:12" ht="13.2">
      <c r="L82" s="164"/>
    </row>
    <row r="83" spans="12:12" ht="13.2">
      <c r="L83" s="164"/>
    </row>
    <row r="84" spans="12:12" ht="13.2">
      <c r="L84" s="164"/>
    </row>
    <row r="85" spans="12:12" ht="13.2">
      <c r="L85" s="164"/>
    </row>
    <row r="86" spans="12:12" ht="13.2">
      <c r="L86" s="164"/>
    </row>
    <row r="87" spans="12:12" ht="13.2">
      <c r="L87" s="164"/>
    </row>
    <row r="88" spans="12:12" ht="13.2">
      <c r="L88" s="164"/>
    </row>
    <row r="89" spans="12:12" ht="13.2">
      <c r="L89" s="164"/>
    </row>
    <row r="90" spans="12:12" ht="13.2">
      <c r="L90" s="164"/>
    </row>
    <row r="91" spans="12:12" ht="13.2">
      <c r="L91" s="164"/>
    </row>
    <row r="92" spans="12:12" ht="13.2">
      <c r="L92" s="164"/>
    </row>
    <row r="93" spans="12:12" ht="13.2">
      <c r="L93" s="164"/>
    </row>
    <row r="94" spans="12:12" ht="13.2">
      <c r="L94" s="164"/>
    </row>
    <row r="95" spans="12:12" ht="13.2">
      <c r="L95" s="164"/>
    </row>
    <row r="96" spans="12:12" ht="13.2">
      <c r="L96" s="164"/>
    </row>
    <row r="97" spans="12:12" ht="13.2">
      <c r="L97" s="164"/>
    </row>
    <row r="98" spans="12:12" ht="13.2">
      <c r="L98" s="164"/>
    </row>
    <row r="99" spans="12:12" ht="13.2">
      <c r="L99" s="164"/>
    </row>
    <row r="100" spans="12:12" ht="13.2">
      <c r="L100" s="164"/>
    </row>
    <row r="101" spans="12:12" ht="13.2">
      <c r="L101" s="164"/>
    </row>
    <row r="102" spans="12:12" ht="13.2">
      <c r="L102" s="164"/>
    </row>
    <row r="103" spans="12:12" ht="13.2">
      <c r="L103" s="164"/>
    </row>
    <row r="104" spans="12:12" ht="13.2">
      <c r="L104" s="164"/>
    </row>
    <row r="105" spans="12:12" ht="13.2">
      <c r="L105" s="164"/>
    </row>
    <row r="106" spans="12:12" ht="13.2">
      <c r="L106" s="164"/>
    </row>
    <row r="107" spans="12:12" ht="13.2">
      <c r="L107" s="164"/>
    </row>
    <row r="108" spans="12:12" ht="13.2">
      <c r="L108" s="164"/>
    </row>
    <row r="109" spans="12:12" ht="13.2">
      <c r="L109" s="164"/>
    </row>
    <row r="110" spans="12:12" ht="13.2">
      <c r="L110" s="164"/>
    </row>
    <row r="111" spans="12:12" ht="13.2">
      <c r="L111" s="164"/>
    </row>
    <row r="112" spans="12:12" ht="13.2">
      <c r="L112" s="164"/>
    </row>
    <row r="113" spans="12:12" ht="13.2">
      <c r="L113" s="164"/>
    </row>
    <row r="114" spans="12:12" ht="13.2">
      <c r="L114" s="164"/>
    </row>
    <row r="115" spans="12:12" ht="13.2">
      <c r="L115" s="164"/>
    </row>
    <row r="116" spans="12:12" ht="13.2">
      <c r="L116" s="164"/>
    </row>
    <row r="117" spans="12:12" ht="13.2">
      <c r="L117" s="164"/>
    </row>
    <row r="118" spans="12:12" ht="13.2">
      <c r="L118" s="164"/>
    </row>
    <row r="119" spans="12:12" ht="13.2">
      <c r="L119" s="164"/>
    </row>
    <row r="120" spans="12:12" ht="13.2">
      <c r="L120" s="164"/>
    </row>
    <row r="121" spans="12:12" ht="13.2">
      <c r="L121" s="164"/>
    </row>
    <row r="122" spans="12:12" ht="13.2">
      <c r="L122" s="164"/>
    </row>
    <row r="123" spans="12:12" ht="13.2">
      <c r="L123" s="164"/>
    </row>
    <row r="124" spans="12:12" ht="13.2">
      <c r="L124" s="164"/>
    </row>
    <row r="125" spans="12:12" ht="13.2">
      <c r="L125" s="164"/>
    </row>
    <row r="126" spans="12:12" ht="13.2">
      <c r="L126" s="164"/>
    </row>
    <row r="127" spans="12:12" ht="13.2">
      <c r="L127" s="164"/>
    </row>
    <row r="128" spans="12:12" ht="13.2">
      <c r="L128" s="164"/>
    </row>
    <row r="129" spans="12:12" ht="13.2">
      <c r="L129" s="164"/>
    </row>
    <row r="130" spans="12:12" ht="13.2">
      <c r="L130" s="164"/>
    </row>
    <row r="131" spans="12:12" ht="13.2">
      <c r="L131" s="164"/>
    </row>
    <row r="132" spans="12:12" ht="13.2">
      <c r="L132" s="164"/>
    </row>
    <row r="133" spans="12:12" ht="13.2">
      <c r="L133" s="164"/>
    </row>
    <row r="134" spans="12:12" ht="13.2">
      <c r="L134" s="164"/>
    </row>
    <row r="135" spans="12:12" ht="13.2">
      <c r="L135" s="164"/>
    </row>
    <row r="136" spans="12:12" ht="13.2">
      <c r="L136" s="164"/>
    </row>
    <row r="137" spans="12:12" ht="13.2">
      <c r="L137" s="164"/>
    </row>
    <row r="138" spans="12:12" ht="13.2">
      <c r="L138" s="164"/>
    </row>
    <row r="139" spans="12:12" ht="13.2">
      <c r="L139" s="164"/>
    </row>
    <row r="140" spans="12:12" ht="13.2">
      <c r="L140" s="164"/>
    </row>
    <row r="141" spans="12:12" ht="13.2">
      <c r="L141" s="164"/>
    </row>
    <row r="142" spans="12:12" ht="13.2">
      <c r="L142" s="164"/>
    </row>
    <row r="143" spans="12:12" ht="13.2">
      <c r="L143" s="164"/>
    </row>
    <row r="144" spans="12:12" ht="13.2">
      <c r="L144" s="164"/>
    </row>
    <row r="145" spans="12:12" ht="13.2">
      <c r="L145" s="164"/>
    </row>
    <row r="146" spans="12:12" ht="13.2">
      <c r="L146" s="164"/>
    </row>
    <row r="147" spans="12:12" ht="13.2">
      <c r="L147" s="164"/>
    </row>
    <row r="148" spans="12:12" ht="13.2">
      <c r="L148" s="164"/>
    </row>
    <row r="149" spans="12:12" ht="13.2">
      <c r="L149" s="164"/>
    </row>
    <row r="150" spans="12:12" ht="13.2">
      <c r="L150" s="164"/>
    </row>
    <row r="151" spans="12:12" ht="13.2">
      <c r="L151" s="164"/>
    </row>
    <row r="152" spans="12:12" ht="13.2">
      <c r="L152" s="164"/>
    </row>
    <row r="153" spans="12:12" ht="13.2">
      <c r="L153" s="164"/>
    </row>
    <row r="154" spans="12:12" ht="13.2">
      <c r="L154" s="164"/>
    </row>
    <row r="155" spans="12:12" ht="13.2">
      <c r="L155" s="164"/>
    </row>
    <row r="156" spans="12:12" ht="13.2">
      <c r="L156" s="164"/>
    </row>
    <row r="157" spans="12:12" ht="13.2">
      <c r="L157" s="164"/>
    </row>
    <row r="158" spans="12:12" ht="13.2">
      <c r="L158" s="164"/>
    </row>
    <row r="159" spans="12:12" ht="13.2">
      <c r="L159" s="164"/>
    </row>
    <row r="160" spans="12:12" ht="13.2">
      <c r="L160" s="164"/>
    </row>
    <row r="161" spans="12:12" ht="13.2">
      <c r="L161" s="164"/>
    </row>
    <row r="162" spans="12:12" ht="13.2">
      <c r="L162" s="164"/>
    </row>
    <row r="163" spans="12:12" ht="13.2">
      <c r="L163" s="164"/>
    </row>
    <row r="164" spans="12:12" ht="13.2">
      <c r="L164" s="164"/>
    </row>
    <row r="165" spans="12:12" ht="13.2">
      <c r="L165" s="164"/>
    </row>
    <row r="166" spans="12:12" ht="13.2">
      <c r="L166" s="164"/>
    </row>
    <row r="167" spans="12:12" ht="13.2">
      <c r="L167" s="164"/>
    </row>
    <row r="168" spans="12:12" ht="13.2">
      <c r="L168" s="164"/>
    </row>
    <row r="169" spans="12:12" ht="13.2">
      <c r="L169" s="164"/>
    </row>
    <row r="170" spans="12:12" ht="13.2">
      <c r="L170" s="164"/>
    </row>
    <row r="171" spans="12:12" ht="13.2">
      <c r="L171" s="164"/>
    </row>
    <row r="172" spans="12:12" ht="13.2">
      <c r="L172" s="164"/>
    </row>
    <row r="173" spans="12:12" ht="13.2">
      <c r="L173" s="164"/>
    </row>
    <row r="174" spans="12:12" ht="13.2">
      <c r="L174" s="164"/>
    </row>
    <row r="175" spans="12:12" ht="13.2">
      <c r="L175" s="164"/>
    </row>
    <row r="176" spans="12:12" ht="13.2">
      <c r="L176" s="164"/>
    </row>
    <row r="177" spans="12:12" ht="13.2">
      <c r="L177" s="164"/>
    </row>
    <row r="178" spans="12:12" ht="13.2">
      <c r="L178" s="164"/>
    </row>
    <row r="179" spans="12:12" ht="13.2">
      <c r="L179" s="164"/>
    </row>
    <row r="180" spans="12:12" ht="13.2">
      <c r="L180" s="164"/>
    </row>
    <row r="181" spans="12:12" ht="13.2">
      <c r="L181" s="164"/>
    </row>
    <row r="182" spans="12:12" ht="13.2">
      <c r="L182" s="164"/>
    </row>
    <row r="183" spans="12:12" ht="13.2">
      <c r="L183" s="164"/>
    </row>
    <row r="184" spans="12:12" ht="13.2">
      <c r="L184" s="164"/>
    </row>
    <row r="185" spans="12:12" ht="13.2">
      <c r="L185" s="164"/>
    </row>
    <row r="186" spans="12:12" ht="13.2">
      <c r="L186" s="164"/>
    </row>
    <row r="187" spans="12:12" ht="13.2">
      <c r="L187" s="164"/>
    </row>
    <row r="188" spans="12:12" ht="13.2">
      <c r="L188" s="164"/>
    </row>
    <row r="189" spans="12:12" ht="13.2">
      <c r="L189" s="164"/>
    </row>
    <row r="190" spans="12:12" ht="13.2">
      <c r="L190" s="164"/>
    </row>
    <row r="191" spans="12:12" ht="13.2">
      <c r="L191" s="164"/>
    </row>
    <row r="192" spans="12:12" ht="13.2">
      <c r="L192" s="164"/>
    </row>
    <row r="193" spans="12:12" ht="13.2">
      <c r="L193" s="164"/>
    </row>
    <row r="194" spans="12:12" ht="13.2">
      <c r="L194" s="164"/>
    </row>
    <row r="195" spans="12:12" ht="13.2">
      <c r="L195" s="164"/>
    </row>
    <row r="196" spans="12:12" ht="13.2">
      <c r="L196" s="164"/>
    </row>
    <row r="197" spans="12:12" ht="13.2">
      <c r="L197" s="164"/>
    </row>
    <row r="198" spans="12:12" ht="13.2">
      <c r="L198" s="164"/>
    </row>
    <row r="199" spans="12:12" ht="13.2">
      <c r="L199" s="164"/>
    </row>
    <row r="200" spans="12:12" ht="13.2">
      <c r="L200" s="164"/>
    </row>
    <row r="201" spans="12:12" ht="13.2">
      <c r="L201" s="164"/>
    </row>
    <row r="202" spans="12:12" ht="13.2">
      <c r="L202" s="164"/>
    </row>
    <row r="203" spans="12:12" ht="13.2">
      <c r="L203" s="164"/>
    </row>
    <row r="204" spans="12:12" ht="13.2">
      <c r="L204" s="164"/>
    </row>
    <row r="205" spans="12:12" ht="13.2">
      <c r="L205" s="164"/>
    </row>
    <row r="206" spans="12:12" ht="13.2">
      <c r="L206" s="164"/>
    </row>
    <row r="207" spans="12:12" ht="13.2">
      <c r="L207" s="164"/>
    </row>
    <row r="208" spans="12:12" ht="13.2">
      <c r="L208" s="164"/>
    </row>
    <row r="209" spans="12:12" ht="13.2">
      <c r="L209" s="164"/>
    </row>
    <row r="210" spans="12:12" ht="13.2">
      <c r="L210" s="164"/>
    </row>
    <row r="211" spans="12:12" ht="13.2">
      <c r="L211" s="164"/>
    </row>
    <row r="212" spans="12:12" ht="13.2">
      <c r="L212" s="164"/>
    </row>
    <row r="213" spans="12:12" ht="13.2">
      <c r="L213" s="164"/>
    </row>
    <row r="214" spans="12:12" ht="13.2">
      <c r="L214" s="164"/>
    </row>
    <row r="215" spans="12:12" ht="13.2">
      <c r="L215" s="164"/>
    </row>
    <row r="216" spans="12:12" ht="13.2">
      <c r="L216" s="164"/>
    </row>
    <row r="217" spans="12:12" ht="13.2">
      <c r="L217" s="164"/>
    </row>
    <row r="218" spans="12:12" ht="13.2">
      <c r="L218" s="164"/>
    </row>
    <row r="219" spans="12:12" ht="13.2">
      <c r="L219" s="164"/>
    </row>
    <row r="220" spans="12:12" ht="13.2">
      <c r="L220" s="164"/>
    </row>
    <row r="221" spans="12:12" ht="13.2">
      <c r="L221" s="164"/>
    </row>
    <row r="222" spans="12:12" ht="13.2">
      <c r="L222" s="164"/>
    </row>
    <row r="223" spans="12:12" ht="13.2">
      <c r="L223" s="164"/>
    </row>
    <row r="224" spans="12:12" ht="13.2">
      <c r="L224" s="164"/>
    </row>
    <row r="225" spans="12:12" ht="13.2">
      <c r="L225" s="164"/>
    </row>
    <row r="226" spans="12:12" ht="13.2">
      <c r="L226" s="164"/>
    </row>
    <row r="227" spans="12:12" ht="13.2">
      <c r="L227" s="164"/>
    </row>
    <row r="228" spans="12:12" ht="13.2">
      <c r="L228" s="164"/>
    </row>
    <row r="229" spans="12:12" ht="13.2">
      <c r="L229" s="164"/>
    </row>
    <row r="230" spans="12:12" ht="13.2">
      <c r="L230" s="164"/>
    </row>
    <row r="231" spans="12:12" ht="13.2">
      <c r="L231" s="164"/>
    </row>
    <row r="232" spans="12:12" ht="13.2">
      <c r="L232" s="164"/>
    </row>
    <row r="233" spans="12:12" ht="13.2">
      <c r="L233" s="164"/>
    </row>
    <row r="234" spans="12:12" ht="13.2">
      <c r="L234" s="164"/>
    </row>
    <row r="235" spans="12:12" ht="13.2">
      <c r="L235" s="164"/>
    </row>
    <row r="236" spans="12:12" ht="13.2">
      <c r="L236" s="164"/>
    </row>
    <row r="237" spans="12:12" ht="13.2">
      <c r="L237" s="164"/>
    </row>
    <row r="238" spans="12:12" ht="13.2">
      <c r="L238" s="164"/>
    </row>
    <row r="239" spans="12:12" ht="13.2">
      <c r="L239" s="164"/>
    </row>
    <row r="240" spans="12:12" ht="13.2">
      <c r="L240" s="164"/>
    </row>
    <row r="241" spans="12:12" ht="13.2">
      <c r="L241" s="164"/>
    </row>
    <row r="242" spans="12:12" ht="13.2">
      <c r="L242" s="164"/>
    </row>
    <row r="243" spans="12:12" ht="13.2">
      <c r="L243" s="164"/>
    </row>
    <row r="244" spans="12:12" ht="13.2">
      <c r="L244" s="164"/>
    </row>
    <row r="245" spans="12:12" ht="13.2">
      <c r="L245" s="164"/>
    </row>
    <row r="246" spans="12:12" ht="13.2">
      <c r="L246" s="164"/>
    </row>
    <row r="247" spans="12:12" ht="13.2">
      <c r="L247" s="164"/>
    </row>
    <row r="248" spans="12:12" ht="13.2">
      <c r="L248" s="164"/>
    </row>
    <row r="249" spans="12:12" ht="13.2">
      <c r="L249" s="164"/>
    </row>
    <row r="250" spans="12:12" ht="13.2">
      <c r="L250" s="164"/>
    </row>
    <row r="251" spans="12:12" ht="13.2">
      <c r="L251" s="164"/>
    </row>
    <row r="252" spans="12:12" ht="13.2">
      <c r="L252" s="164"/>
    </row>
    <row r="253" spans="12:12" ht="13.2">
      <c r="L253" s="164"/>
    </row>
    <row r="254" spans="12:12" ht="13.2">
      <c r="L254" s="164"/>
    </row>
    <row r="255" spans="12:12" ht="13.2">
      <c r="L255" s="164"/>
    </row>
    <row r="256" spans="12:12" ht="13.2">
      <c r="L256" s="164"/>
    </row>
    <row r="257" spans="12:12" ht="13.2">
      <c r="L257" s="164"/>
    </row>
    <row r="258" spans="12:12" ht="13.2">
      <c r="L258" s="164"/>
    </row>
    <row r="259" spans="12:12" ht="13.2">
      <c r="L259" s="164"/>
    </row>
    <row r="260" spans="12:12" ht="13.2">
      <c r="L260" s="164"/>
    </row>
    <row r="261" spans="12:12" ht="13.2">
      <c r="L261" s="164"/>
    </row>
    <row r="262" spans="12:12" ht="13.2">
      <c r="L262" s="164"/>
    </row>
    <row r="263" spans="12:12" ht="13.2">
      <c r="L263" s="164"/>
    </row>
    <row r="264" spans="12:12" ht="13.2">
      <c r="L264" s="164"/>
    </row>
    <row r="265" spans="12:12" ht="13.2">
      <c r="L265" s="164"/>
    </row>
    <row r="266" spans="12:12" ht="13.2">
      <c r="L266" s="164"/>
    </row>
    <row r="267" spans="12:12" ht="13.2">
      <c r="L267" s="164"/>
    </row>
    <row r="268" spans="12:12" ht="13.2">
      <c r="L268" s="164"/>
    </row>
    <row r="269" spans="12:12" ht="13.2">
      <c r="L269" s="164"/>
    </row>
    <row r="270" spans="12:12" ht="13.2">
      <c r="L270" s="164"/>
    </row>
    <row r="271" spans="12:12" ht="13.2">
      <c r="L271" s="164"/>
    </row>
    <row r="272" spans="12:12" ht="13.2">
      <c r="L272" s="164"/>
    </row>
    <row r="273" spans="12:12" ht="13.2">
      <c r="L273" s="164"/>
    </row>
    <row r="274" spans="12:12" ht="13.2">
      <c r="L274" s="164"/>
    </row>
    <row r="275" spans="12:12" ht="13.2">
      <c r="L275" s="164"/>
    </row>
    <row r="276" spans="12:12" ht="13.2">
      <c r="L276" s="164"/>
    </row>
    <row r="277" spans="12:12" ht="13.2">
      <c r="L277" s="164"/>
    </row>
    <row r="278" spans="12:12" ht="13.2">
      <c r="L278" s="164"/>
    </row>
    <row r="279" spans="12:12" ht="13.2">
      <c r="L279" s="164"/>
    </row>
    <row r="280" spans="12:12" ht="13.2">
      <c r="L280" s="164"/>
    </row>
    <row r="281" spans="12:12" ht="13.2">
      <c r="L281" s="164"/>
    </row>
    <row r="282" spans="12:12" ht="13.2">
      <c r="L282" s="164"/>
    </row>
    <row r="283" spans="12:12" ht="13.2">
      <c r="L283" s="164"/>
    </row>
    <row r="284" spans="12:12" ht="13.2">
      <c r="L284" s="164"/>
    </row>
    <row r="285" spans="12:12" ht="13.2">
      <c r="L285" s="164"/>
    </row>
    <row r="286" spans="12:12" ht="13.2">
      <c r="L286" s="164"/>
    </row>
    <row r="287" spans="12:12" ht="13.2">
      <c r="L287" s="164"/>
    </row>
    <row r="288" spans="12:12" ht="13.2">
      <c r="L288" s="164"/>
    </row>
    <row r="289" spans="12:12" ht="13.2">
      <c r="L289" s="164"/>
    </row>
    <row r="290" spans="12:12" ht="13.2">
      <c r="L290" s="164"/>
    </row>
    <row r="291" spans="12:12" ht="13.2">
      <c r="L291" s="164"/>
    </row>
    <row r="292" spans="12:12" ht="13.2">
      <c r="L292" s="164"/>
    </row>
    <row r="293" spans="12:12" ht="13.2">
      <c r="L293" s="164"/>
    </row>
    <row r="294" spans="12:12" ht="13.2">
      <c r="L294" s="164"/>
    </row>
    <row r="295" spans="12:12" ht="13.2">
      <c r="L295" s="164"/>
    </row>
    <row r="296" spans="12:12" ht="13.2">
      <c r="L296" s="164"/>
    </row>
    <row r="297" spans="12:12" ht="13.2">
      <c r="L297" s="164"/>
    </row>
    <row r="298" spans="12:12" ht="13.2">
      <c r="L298" s="164"/>
    </row>
    <row r="299" spans="12:12" ht="13.2">
      <c r="L299" s="164"/>
    </row>
    <row r="300" spans="12:12" ht="13.2">
      <c r="L300" s="164"/>
    </row>
    <row r="301" spans="12:12" ht="13.2">
      <c r="L301" s="164"/>
    </row>
    <row r="302" spans="12:12" ht="13.2">
      <c r="L302" s="164"/>
    </row>
    <row r="303" spans="12:12" ht="13.2">
      <c r="L303" s="164"/>
    </row>
    <row r="304" spans="12:12" ht="13.2">
      <c r="L304" s="164"/>
    </row>
    <row r="305" spans="12:12" ht="13.2">
      <c r="L305" s="164"/>
    </row>
    <row r="306" spans="12:12" ht="13.2">
      <c r="L306" s="164"/>
    </row>
    <row r="307" spans="12:12" ht="13.2">
      <c r="L307" s="164"/>
    </row>
    <row r="308" spans="12:12" ht="13.2">
      <c r="L308" s="164"/>
    </row>
    <row r="309" spans="12:12" ht="13.2">
      <c r="L309" s="164"/>
    </row>
    <row r="310" spans="12:12" ht="13.2">
      <c r="L310" s="164"/>
    </row>
    <row r="311" spans="12:12" ht="13.2">
      <c r="L311" s="164"/>
    </row>
    <row r="312" spans="12:12" ht="13.2">
      <c r="L312" s="164"/>
    </row>
    <row r="313" spans="12:12" ht="13.2">
      <c r="L313" s="164"/>
    </row>
    <row r="314" spans="12:12" ht="13.2">
      <c r="L314" s="164"/>
    </row>
    <row r="315" spans="12:12" ht="13.2">
      <c r="L315" s="164"/>
    </row>
    <row r="316" spans="12:12" ht="13.2">
      <c r="L316" s="164"/>
    </row>
    <row r="317" spans="12:12" ht="13.2">
      <c r="L317" s="164"/>
    </row>
    <row r="318" spans="12:12" ht="13.2">
      <c r="L318" s="164"/>
    </row>
    <row r="319" spans="12:12" ht="13.2">
      <c r="L319" s="164"/>
    </row>
    <row r="320" spans="12:12" ht="13.2">
      <c r="L320" s="164"/>
    </row>
    <row r="321" spans="12:12" ht="13.2">
      <c r="L321" s="164"/>
    </row>
    <row r="322" spans="12:12" ht="13.2">
      <c r="L322" s="164"/>
    </row>
    <row r="323" spans="12:12" ht="13.2">
      <c r="L323" s="164"/>
    </row>
    <row r="324" spans="12:12" ht="13.2">
      <c r="L324" s="164"/>
    </row>
    <row r="325" spans="12:12" ht="13.2">
      <c r="L325" s="164"/>
    </row>
    <row r="326" spans="12:12" ht="13.2">
      <c r="L326" s="164"/>
    </row>
    <row r="327" spans="12:12" ht="13.2">
      <c r="L327" s="164"/>
    </row>
    <row r="328" spans="12:12" ht="13.2">
      <c r="L328" s="164"/>
    </row>
    <row r="329" spans="12:12" ht="13.2">
      <c r="L329" s="164"/>
    </row>
    <row r="330" spans="12:12" ht="13.2">
      <c r="L330" s="164"/>
    </row>
    <row r="331" spans="12:12" ht="13.2">
      <c r="L331" s="164"/>
    </row>
    <row r="332" spans="12:12" ht="13.2">
      <c r="L332" s="164"/>
    </row>
    <row r="333" spans="12:12" ht="13.2">
      <c r="L333" s="164"/>
    </row>
    <row r="334" spans="12:12" ht="13.2">
      <c r="L334" s="164"/>
    </row>
    <row r="335" spans="12:12" ht="13.2">
      <c r="L335" s="164"/>
    </row>
    <row r="336" spans="12:12" ht="13.2">
      <c r="L336" s="164"/>
    </row>
    <row r="337" spans="12:12" ht="13.2">
      <c r="L337" s="164"/>
    </row>
    <row r="338" spans="12:12" ht="13.2">
      <c r="L338" s="164"/>
    </row>
    <row r="339" spans="12:12" ht="13.2">
      <c r="L339" s="164"/>
    </row>
    <row r="340" spans="12:12" ht="13.2">
      <c r="L340" s="164"/>
    </row>
    <row r="341" spans="12:12" ht="13.2">
      <c r="L341" s="164"/>
    </row>
    <row r="342" spans="12:12" ht="13.2">
      <c r="L342" s="164"/>
    </row>
    <row r="343" spans="12:12" ht="13.2">
      <c r="L343" s="164"/>
    </row>
    <row r="344" spans="12:12" ht="13.2">
      <c r="L344" s="164"/>
    </row>
    <row r="345" spans="12:12" ht="13.2">
      <c r="L345" s="164"/>
    </row>
    <row r="346" spans="12:12" ht="13.2">
      <c r="L346" s="164"/>
    </row>
    <row r="347" spans="12:12" ht="13.2">
      <c r="L347" s="164"/>
    </row>
    <row r="348" spans="12:12" ht="13.2">
      <c r="L348" s="164"/>
    </row>
    <row r="349" spans="12:12" ht="13.2">
      <c r="L349" s="164"/>
    </row>
    <row r="350" spans="12:12" ht="13.2">
      <c r="L350" s="164"/>
    </row>
    <row r="351" spans="12:12" ht="13.2">
      <c r="L351" s="164"/>
    </row>
    <row r="352" spans="12:12" ht="13.2">
      <c r="L352" s="164"/>
    </row>
    <row r="353" spans="12:12" ht="13.2">
      <c r="L353" s="164"/>
    </row>
    <row r="354" spans="12:12" ht="13.2">
      <c r="L354" s="164"/>
    </row>
    <row r="355" spans="12:12" ht="13.2">
      <c r="L355" s="164"/>
    </row>
    <row r="356" spans="12:12" ht="13.2">
      <c r="L356" s="164"/>
    </row>
    <row r="357" spans="12:12" ht="13.2">
      <c r="L357" s="164"/>
    </row>
    <row r="358" spans="12:12" ht="13.2">
      <c r="L358" s="164"/>
    </row>
    <row r="359" spans="12:12" ht="13.2">
      <c r="L359" s="164"/>
    </row>
    <row r="360" spans="12:12" ht="13.2">
      <c r="L360" s="164"/>
    </row>
    <row r="361" spans="12:12" ht="13.2">
      <c r="L361" s="164"/>
    </row>
    <row r="362" spans="12:12" ht="13.2">
      <c r="L362" s="164"/>
    </row>
    <row r="363" spans="12:12" ht="13.2">
      <c r="L363" s="164"/>
    </row>
    <row r="364" spans="12:12" ht="13.2">
      <c r="L364" s="164"/>
    </row>
    <row r="365" spans="12:12" ht="13.2">
      <c r="L365" s="164"/>
    </row>
    <row r="366" spans="12:12" ht="13.2">
      <c r="L366" s="164"/>
    </row>
    <row r="367" spans="12:12" ht="13.2">
      <c r="L367" s="164"/>
    </row>
    <row r="368" spans="12:12" ht="13.2">
      <c r="L368" s="164"/>
    </row>
    <row r="369" spans="12:12" ht="13.2">
      <c r="L369" s="164"/>
    </row>
    <row r="370" spans="12:12" ht="13.2">
      <c r="L370" s="164"/>
    </row>
    <row r="371" spans="12:12" ht="13.2">
      <c r="L371" s="164"/>
    </row>
    <row r="372" spans="12:12" ht="13.2">
      <c r="L372" s="164"/>
    </row>
    <row r="373" spans="12:12" ht="13.2">
      <c r="L373" s="164"/>
    </row>
    <row r="374" spans="12:12" ht="13.2">
      <c r="L374" s="164"/>
    </row>
    <row r="375" spans="12:12" ht="13.2">
      <c r="L375" s="164"/>
    </row>
    <row r="376" spans="12:12" ht="13.2">
      <c r="L376" s="164"/>
    </row>
    <row r="377" spans="12:12" ht="13.2">
      <c r="L377" s="164"/>
    </row>
    <row r="378" spans="12:12" ht="13.2">
      <c r="L378" s="164"/>
    </row>
    <row r="379" spans="12:12" ht="13.2">
      <c r="L379" s="164"/>
    </row>
    <row r="380" spans="12:12" ht="13.2">
      <c r="L380" s="164"/>
    </row>
    <row r="381" spans="12:12" ht="13.2">
      <c r="L381" s="164"/>
    </row>
    <row r="382" spans="12:12" ht="13.2">
      <c r="L382" s="164"/>
    </row>
    <row r="383" spans="12:12" ht="13.2">
      <c r="L383" s="164"/>
    </row>
    <row r="384" spans="12:12" ht="13.2">
      <c r="L384" s="164"/>
    </row>
    <row r="385" spans="12:12" ht="13.2">
      <c r="L385" s="164"/>
    </row>
    <row r="386" spans="12:12" ht="13.2">
      <c r="L386" s="164"/>
    </row>
    <row r="387" spans="12:12" ht="13.2">
      <c r="L387" s="164"/>
    </row>
    <row r="388" spans="12:12" ht="13.2">
      <c r="L388" s="164"/>
    </row>
    <row r="389" spans="12:12" ht="13.2">
      <c r="L389" s="164"/>
    </row>
    <row r="390" spans="12:12" ht="13.2">
      <c r="L390" s="164"/>
    </row>
    <row r="391" spans="12:12" ht="13.2">
      <c r="L391" s="164"/>
    </row>
    <row r="392" spans="12:12" ht="13.2">
      <c r="L392" s="164"/>
    </row>
    <row r="393" spans="12:12" ht="13.2">
      <c r="L393" s="164"/>
    </row>
    <row r="394" spans="12:12" ht="13.2">
      <c r="L394" s="164"/>
    </row>
    <row r="395" spans="12:12" ht="13.2">
      <c r="L395" s="164"/>
    </row>
    <row r="396" spans="12:12" ht="13.2">
      <c r="L396" s="164"/>
    </row>
    <row r="397" spans="12:12" ht="13.2">
      <c r="L397" s="164"/>
    </row>
    <row r="398" spans="12:12" ht="13.2">
      <c r="L398" s="164"/>
    </row>
    <row r="399" spans="12:12" ht="13.2">
      <c r="L399" s="164"/>
    </row>
    <row r="400" spans="12:12" ht="13.2">
      <c r="L400" s="164"/>
    </row>
    <row r="401" spans="12:12" ht="13.2">
      <c r="L401" s="164"/>
    </row>
    <row r="402" spans="12:12" ht="13.2">
      <c r="L402" s="164"/>
    </row>
    <row r="403" spans="12:12" ht="13.2">
      <c r="L403" s="164"/>
    </row>
    <row r="404" spans="12:12" ht="13.2">
      <c r="L404" s="164"/>
    </row>
    <row r="405" spans="12:12" ht="13.2">
      <c r="L405" s="164"/>
    </row>
    <row r="406" spans="12:12" ht="13.2">
      <c r="L406" s="164"/>
    </row>
    <row r="407" spans="12:12" ht="13.2">
      <c r="L407" s="164"/>
    </row>
    <row r="408" spans="12:12" ht="13.2">
      <c r="L408" s="164"/>
    </row>
    <row r="409" spans="12:12" ht="13.2">
      <c r="L409" s="164"/>
    </row>
    <row r="410" spans="12:12" ht="13.2">
      <c r="L410" s="164"/>
    </row>
    <row r="411" spans="12:12" ht="13.2">
      <c r="L411" s="164"/>
    </row>
    <row r="412" spans="12:12" ht="13.2">
      <c r="L412" s="164"/>
    </row>
    <row r="413" spans="12:12" ht="13.2">
      <c r="L413" s="164"/>
    </row>
    <row r="414" spans="12:12" ht="13.2">
      <c r="L414" s="164"/>
    </row>
    <row r="415" spans="12:12" ht="13.2">
      <c r="L415" s="164"/>
    </row>
    <row r="416" spans="12:12" ht="13.2">
      <c r="L416" s="164"/>
    </row>
    <row r="417" spans="12:12" ht="13.2">
      <c r="L417" s="164"/>
    </row>
    <row r="418" spans="12:12" ht="13.2">
      <c r="L418" s="164"/>
    </row>
    <row r="419" spans="12:12" ht="13.2">
      <c r="L419" s="164"/>
    </row>
    <row r="420" spans="12:12" ht="13.2">
      <c r="L420" s="164"/>
    </row>
    <row r="421" spans="12:12" ht="13.2">
      <c r="L421" s="164"/>
    </row>
    <row r="422" spans="12:12" ht="13.2">
      <c r="L422" s="164"/>
    </row>
    <row r="423" spans="12:12" ht="13.2">
      <c r="L423" s="164"/>
    </row>
    <row r="424" spans="12:12" ht="13.2">
      <c r="L424" s="164"/>
    </row>
    <row r="425" spans="12:12" ht="13.2">
      <c r="L425" s="164"/>
    </row>
    <row r="426" spans="12:12" ht="13.2">
      <c r="L426" s="164"/>
    </row>
    <row r="427" spans="12:12" ht="13.2">
      <c r="L427" s="164"/>
    </row>
    <row r="428" spans="12:12" ht="13.2">
      <c r="L428" s="164"/>
    </row>
    <row r="429" spans="12:12" ht="13.2">
      <c r="L429" s="164"/>
    </row>
    <row r="430" spans="12:12" ht="13.2">
      <c r="L430" s="164"/>
    </row>
    <row r="431" spans="12:12" ht="13.2">
      <c r="L431" s="164"/>
    </row>
    <row r="432" spans="12:12" ht="13.2">
      <c r="L432" s="164"/>
    </row>
    <row r="433" spans="12:12" ht="13.2">
      <c r="L433" s="164"/>
    </row>
    <row r="434" spans="12:12" ht="13.2">
      <c r="L434" s="164"/>
    </row>
    <row r="435" spans="12:12" ht="13.2">
      <c r="L435" s="164"/>
    </row>
    <row r="436" spans="12:12" ht="13.2">
      <c r="L436" s="164"/>
    </row>
    <row r="437" spans="12:12" ht="13.2">
      <c r="L437" s="164"/>
    </row>
    <row r="438" spans="12:12" ht="13.2">
      <c r="L438" s="164"/>
    </row>
    <row r="439" spans="12:12" ht="13.2">
      <c r="L439" s="164"/>
    </row>
    <row r="440" spans="12:12" ht="13.2">
      <c r="L440" s="164"/>
    </row>
    <row r="441" spans="12:12" ht="13.2">
      <c r="L441" s="164"/>
    </row>
    <row r="442" spans="12:12" ht="13.2">
      <c r="L442" s="164"/>
    </row>
    <row r="443" spans="12:12" ht="13.2">
      <c r="L443" s="164"/>
    </row>
    <row r="444" spans="12:12" ht="13.2">
      <c r="L444" s="164"/>
    </row>
    <row r="445" spans="12:12" ht="13.2">
      <c r="L445" s="164"/>
    </row>
    <row r="446" spans="12:12" ht="13.2">
      <c r="L446" s="164"/>
    </row>
    <row r="447" spans="12:12" ht="13.2">
      <c r="L447" s="164"/>
    </row>
    <row r="448" spans="12:12" ht="13.2">
      <c r="L448" s="164"/>
    </row>
    <row r="449" spans="12:12" ht="13.2">
      <c r="L449" s="164"/>
    </row>
    <row r="450" spans="12:12" ht="13.2">
      <c r="L450" s="164"/>
    </row>
    <row r="451" spans="12:12" ht="13.2">
      <c r="L451" s="164"/>
    </row>
    <row r="452" spans="12:12" ht="13.2">
      <c r="L452" s="164"/>
    </row>
    <row r="453" spans="12:12" ht="13.2">
      <c r="L453" s="164"/>
    </row>
    <row r="454" spans="12:12" ht="13.2">
      <c r="L454" s="164"/>
    </row>
    <row r="455" spans="12:12" ht="13.2">
      <c r="L455" s="164"/>
    </row>
    <row r="456" spans="12:12" ht="13.2">
      <c r="L456" s="164"/>
    </row>
    <row r="457" spans="12:12" ht="13.2">
      <c r="L457" s="164"/>
    </row>
    <row r="458" spans="12:12" ht="13.2">
      <c r="L458" s="164"/>
    </row>
    <row r="459" spans="12:12" ht="13.2">
      <c r="L459" s="164"/>
    </row>
    <row r="460" spans="12:12" ht="13.2">
      <c r="L460" s="164"/>
    </row>
    <row r="461" spans="12:12" ht="13.2">
      <c r="L461" s="164"/>
    </row>
    <row r="462" spans="12:12" ht="13.2">
      <c r="L462" s="164"/>
    </row>
    <row r="463" spans="12:12" ht="13.2">
      <c r="L463" s="164"/>
    </row>
    <row r="464" spans="12:12" ht="13.2">
      <c r="L464" s="164"/>
    </row>
    <row r="465" spans="12:12" ht="13.2">
      <c r="L465" s="164"/>
    </row>
    <row r="466" spans="12:12" ht="13.2">
      <c r="L466" s="164"/>
    </row>
    <row r="467" spans="12:12" ht="13.2">
      <c r="L467" s="164"/>
    </row>
    <row r="468" spans="12:12" ht="13.2">
      <c r="L468" s="164"/>
    </row>
    <row r="469" spans="12:12" ht="13.2">
      <c r="L469" s="164"/>
    </row>
    <row r="470" spans="12:12" ht="13.2">
      <c r="L470" s="164"/>
    </row>
    <row r="471" spans="12:12" ht="13.2">
      <c r="L471" s="164"/>
    </row>
    <row r="472" spans="12:12" ht="13.2">
      <c r="L472" s="164"/>
    </row>
    <row r="473" spans="12:12" ht="13.2">
      <c r="L473" s="164"/>
    </row>
    <row r="474" spans="12:12" ht="13.2">
      <c r="L474" s="164"/>
    </row>
    <row r="475" spans="12:12" ht="13.2">
      <c r="L475" s="164"/>
    </row>
    <row r="476" spans="12:12" ht="13.2">
      <c r="L476" s="164"/>
    </row>
    <row r="477" spans="12:12" ht="13.2">
      <c r="L477" s="164"/>
    </row>
    <row r="478" spans="12:12" ht="13.2">
      <c r="L478" s="164"/>
    </row>
    <row r="479" spans="12:12" ht="13.2">
      <c r="L479" s="164"/>
    </row>
    <row r="480" spans="12:12" ht="13.2">
      <c r="L480" s="164"/>
    </row>
    <row r="481" spans="12:12" ht="13.2">
      <c r="L481" s="164"/>
    </row>
    <row r="482" spans="12:12" ht="13.2">
      <c r="L482" s="164"/>
    </row>
    <row r="483" spans="12:12" ht="13.2">
      <c r="L483" s="164"/>
    </row>
    <row r="484" spans="12:12" ht="13.2">
      <c r="L484" s="164"/>
    </row>
    <row r="485" spans="12:12" ht="13.2">
      <c r="L485" s="164"/>
    </row>
    <row r="486" spans="12:12" ht="13.2">
      <c r="L486" s="164"/>
    </row>
    <row r="487" spans="12:12" ht="13.2">
      <c r="L487" s="164"/>
    </row>
    <row r="488" spans="12:12" ht="13.2">
      <c r="L488" s="164"/>
    </row>
    <row r="489" spans="12:12" ht="13.2">
      <c r="L489" s="164"/>
    </row>
    <row r="490" spans="12:12" ht="13.2">
      <c r="L490" s="164"/>
    </row>
    <row r="491" spans="12:12" ht="13.2">
      <c r="L491" s="164"/>
    </row>
    <row r="492" spans="12:12" ht="13.2">
      <c r="L492" s="164"/>
    </row>
    <row r="493" spans="12:12" ht="13.2">
      <c r="L493" s="164"/>
    </row>
    <row r="494" spans="12:12" ht="13.2">
      <c r="L494" s="164"/>
    </row>
    <row r="495" spans="12:12" ht="13.2">
      <c r="L495" s="164"/>
    </row>
    <row r="496" spans="12:12" ht="13.2">
      <c r="L496" s="164"/>
    </row>
    <row r="497" spans="12:12" ht="13.2">
      <c r="L497" s="164"/>
    </row>
    <row r="498" spans="12:12" ht="13.2">
      <c r="L498" s="164"/>
    </row>
    <row r="499" spans="12:12" ht="13.2">
      <c r="L499" s="164"/>
    </row>
    <row r="500" spans="12:12" ht="13.2">
      <c r="L500" s="164"/>
    </row>
    <row r="501" spans="12:12" ht="13.2">
      <c r="L501" s="164"/>
    </row>
    <row r="502" spans="12:12" ht="13.2">
      <c r="L502" s="164"/>
    </row>
    <row r="503" spans="12:12" ht="13.2">
      <c r="L503" s="164"/>
    </row>
    <row r="504" spans="12:12" ht="13.2">
      <c r="L504" s="164"/>
    </row>
    <row r="505" spans="12:12" ht="13.2">
      <c r="L505" s="164"/>
    </row>
    <row r="506" spans="12:12" ht="13.2">
      <c r="L506" s="164"/>
    </row>
    <row r="507" spans="12:12" ht="13.2">
      <c r="L507" s="164"/>
    </row>
    <row r="508" spans="12:12" ht="13.2">
      <c r="L508" s="164"/>
    </row>
    <row r="509" spans="12:12" ht="13.2">
      <c r="L509" s="164"/>
    </row>
    <row r="510" spans="12:12" ht="13.2">
      <c r="L510" s="164"/>
    </row>
    <row r="511" spans="12:12" ht="13.2">
      <c r="L511" s="164"/>
    </row>
    <row r="512" spans="12:12" ht="13.2">
      <c r="L512" s="164"/>
    </row>
    <row r="513" spans="12:12" ht="13.2">
      <c r="L513" s="164"/>
    </row>
    <row r="514" spans="12:12" ht="13.2">
      <c r="L514" s="164"/>
    </row>
    <row r="515" spans="12:12" ht="13.2">
      <c r="L515" s="164"/>
    </row>
    <row r="516" spans="12:12" ht="13.2">
      <c r="L516" s="164"/>
    </row>
    <row r="517" spans="12:12" ht="13.2">
      <c r="L517" s="164"/>
    </row>
    <row r="518" spans="12:12" ht="13.2">
      <c r="L518" s="164"/>
    </row>
    <row r="519" spans="12:12" ht="13.2">
      <c r="L519" s="164"/>
    </row>
    <row r="520" spans="12:12" ht="13.2">
      <c r="L520" s="164"/>
    </row>
    <row r="521" spans="12:12" ht="13.2">
      <c r="L521" s="164"/>
    </row>
    <row r="522" spans="12:12" ht="13.2">
      <c r="L522" s="164"/>
    </row>
    <row r="523" spans="12:12" ht="13.2">
      <c r="L523" s="164"/>
    </row>
    <row r="524" spans="12:12" ht="13.2">
      <c r="L524" s="164"/>
    </row>
    <row r="525" spans="12:12" ht="13.2">
      <c r="L525" s="164"/>
    </row>
    <row r="526" spans="12:12" ht="13.2">
      <c r="L526" s="164"/>
    </row>
    <row r="527" spans="12:12" ht="13.2">
      <c r="L527" s="164"/>
    </row>
    <row r="528" spans="12:12" ht="13.2">
      <c r="L528" s="164"/>
    </row>
    <row r="529" spans="12:12" ht="13.2">
      <c r="L529" s="164"/>
    </row>
    <row r="530" spans="12:12" ht="13.2">
      <c r="L530" s="164"/>
    </row>
    <row r="531" spans="12:12" ht="13.2">
      <c r="L531" s="164"/>
    </row>
    <row r="532" spans="12:12" ht="13.2">
      <c r="L532" s="164"/>
    </row>
    <row r="533" spans="12:12" ht="13.2">
      <c r="L533" s="164"/>
    </row>
    <row r="534" spans="12:12" ht="13.2">
      <c r="L534" s="164"/>
    </row>
    <row r="535" spans="12:12" ht="13.2">
      <c r="L535" s="164"/>
    </row>
    <row r="536" spans="12:12" ht="13.2">
      <c r="L536" s="164"/>
    </row>
    <row r="537" spans="12:12" ht="13.2">
      <c r="L537" s="164"/>
    </row>
    <row r="538" spans="12:12" ht="13.2">
      <c r="L538" s="164"/>
    </row>
    <row r="539" spans="12:12" ht="13.2">
      <c r="L539" s="164"/>
    </row>
    <row r="540" spans="12:12" ht="13.2">
      <c r="L540" s="164"/>
    </row>
    <row r="541" spans="12:12" ht="13.2">
      <c r="L541" s="164"/>
    </row>
    <row r="542" spans="12:12" ht="13.2">
      <c r="L542" s="164"/>
    </row>
    <row r="543" spans="12:12" ht="13.2">
      <c r="L543" s="164"/>
    </row>
    <row r="544" spans="12:12" ht="13.2">
      <c r="L544" s="164"/>
    </row>
    <row r="545" spans="12:12" ht="13.2">
      <c r="L545" s="164"/>
    </row>
    <row r="546" spans="12:12" ht="13.2">
      <c r="L546" s="164"/>
    </row>
    <row r="547" spans="12:12" ht="13.2">
      <c r="L547" s="164"/>
    </row>
    <row r="548" spans="12:12" ht="13.2">
      <c r="L548" s="164"/>
    </row>
    <row r="549" spans="12:12" ht="13.2">
      <c r="L549" s="164"/>
    </row>
    <row r="550" spans="12:12" ht="13.2">
      <c r="L550" s="164"/>
    </row>
    <row r="551" spans="12:12" ht="13.2">
      <c r="L551" s="164"/>
    </row>
    <row r="552" spans="12:12" ht="13.2">
      <c r="L552" s="164"/>
    </row>
    <row r="553" spans="12:12" ht="13.2">
      <c r="L553" s="164"/>
    </row>
    <row r="554" spans="12:12" ht="13.2">
      <c r="L554" s="164"/>
    </row>
    <row r="555" spans="12:12" ht="13.2">
      <c r="L555" s="164"/>
    </row>
    <row r="556" spans="12:12" ht="13.2">
      <c r="L556" s="164"/>
    </row>
    <row r="557" spans="12:12" ht="13.2">
      <c r="L557" s="164"/>
    </row>
    <row r="558" spans="12:12" ht="13.2">
      <c r="L558" s="164"/>
    </row>
    <row r="559" spans="12:12" ht="13.2">
      <c r="L559" s="164"/>
    </row>
    <row r="560" spans="12:12" ht="13.2">
      <c r="L560" s="164"/>
    </row>
    <row r="561" spans="12:12" ht="13.2">
      <c r="L561" s="164"/>
    </row>
    <row r="562" spans="12:12" ht="13.2">
      <c r="L562" s="164"/>
    </row>
    <row r="563" spans="12:12" ht="13.2">
      <c r="L563" s="164"/>
    </row>
    <row r="564" spans="12:12" ht="13.2">
      <c r="L564" s="164"/>
    </row>
    <row r="565" spans="12:12" ht="13.2">
      <c r="L565" s="164"/>
    </row>
    <row r="566" spans="12:12" ht="13.2">
      <c r="L566" s="164"/>
    </row>
    <row r="567" spans="12:12" ht="13.2">
      <c r="L567" s="164"/>
    </row>
    <row r="568" spans="12:12" ht="13.2">
      <c r="L568" s="164"/>
    </row>
    <row r="569" spans="12:12" ht="13.2">
      <c r="L569" s="164"/>
    </row>
    <row r="570" spans="12:12" ht="13.2">
      <c r="L570" s="164"/>
    </row>
    <row r="571" spans="12:12" ht="13.2">
      <c r="L571" s="164"/>
    </row>
    <row r="572" spans="12:12" ht="13.2">
      <c r="L572" s="164"/>
    </row>
    <row r="573" spans="12:12" ht="13.2">
      <c r="L573" s="164"/>
    </row>
    <row r="574" spans="12:12" ht="13.2">
      <c r="L574" s="164"/>
    </row>
    <row r="575" spans="12:12" ht="13.2">
      <c r="L575" s="164"/>
    </row>
    <row r="576" spans="12:12" ht="13.2">
      <c r="L576" s="164"/>
    </row>
    <row r="577" spans="12:12" ht="13.2">
      <c r="L577" s="164"/>
    </row>
    <row r="578" spans="12:12" ht="13.2">
      <c r="L578" s="164"/>
    </row>
    <row r="579" spans="12:12" ht="13.2">
      <c r="L579" s="164"/>
    </row>
    <row r="580" spans="12:12" ht="13.2">
      <c r="L580" s="164"/>
    </row>
    <row r="581" spans="12:12" ht="13.2">
      <c r="L581" s="164"/>
    </row>
    <row r="582" spans="12:12" ht="13.2">
      <c r="L582" s="164"/>
    </row>
    <row r="583" spans="12:12" ht="13.2">
      <c r="L583" s="164"/>
    </row>
    <row r="584" spans="12:12" ht="13.2">
      <c r="L584" s="164"/>
    </row>
    <row r="585" spans="12:12" ht="13.2">
      <c r="L585" s="164"/>
    </row>
    <row r="586" spans="12:12" ht="13.2">
      <c r="L586" s="164"/>
    </row>
    <row r="587" spans="12:12" ht="13.2">
      <c r="L587" s="164"/>
    </row>
    <row r="588" spans="12:12" ht="13.2">
      <c r="L588" s="164"/>
    </row>
    <row r="589" spans="12:12" ht="13.2">
      <c r="L589" s="164"/>
    </row>
    <row r="590" spans="12:12" ht="13.2">
      <c r="L590" s="164"/>
    </row>
    <row r="591" spans="12:12" ht="13.2">
      <c r="L591" s="164"/>
    </row>
    <row r="592" spans="12:12" ht="13.2">
      <c r="L592" s="164"/>
    </row>
    <row r="593" spans="12:12" ht="13.2">
      <c r="L593" s="164"/>
    </row>
    <row r="594" spans="12:12" ht="13.2">
      <c r="L594" s="164"/>
    </row>
    <row r="595" spans="12:12" ht="13.2">
      <c r="L595" s="164"/>
    </row>
    <row r="596" spans="12:12" ht="13.2">
      <c r="L596" s="164"/>
    </row>
    <row r="597" spans="12:12" ht="13.2">
      <c r="L597" s="164"/>
    </row>
    <row r="598" spans="12:12" ht="13.2">
      <c r="L598" s="164"/>
    </row>
    <row r="599" spans="12:12" ht="13.2">
      <c r="L599" s="164"/>
    </row>
    <row r="600" spans="12:12" ht="13.2">
      <c r="L600" s="164"/>
    </row>
    <row r="601" spans="12:12" ht="13.2">
      <c r="L601" s="164"/>
    </row>
    <row r="602" spans="12:12" ht="13.2">
      <c r="L602" s="164"/>
    </row>
    <row r="603" spans="12:12" ht="13.2">
      <c r="L603" s="164"/>
    </row>
    <row r="604" spans="12:12" ht="13.2">
      <c r="L604" s="164"/>
    </row>
    <row r="605" spans="12:12" ht="13.2">
      <c r="L605" s="164"/>
    </row>
    <row r="606" spans="12:12" ht="13.2">
      <c r="L606" s="164"/>
    </row>
    <row r="607" spans="12:12" ht="13.2">
      <c r="L607" s="164"/>
    </row>
    <row r="608" spans="12:12" ht="13.2">
      <c r="L608" s="164"/>
    </row>
    <row r="609" spans="12:12" ht="13.2">
      <c r="L609" s="164"/>
    </row>
    <row r="610" spans="12:12" ht="13.2">
      <c r="L610" s="164"/>
    </row>
    <row r="611" spans="12:12" ht="13.2">
      <c r="L611" s="164"/>
    </row>
    <row r="612" spans="12:12" ht="13.2">
      <c r="L612" s="164"/>
    </row>
    <row r="613" spans="12:12" ht="13.2">
      <c r="L613" s="164"/>
    </row>
    <row r="614" spans="12:12" ht="13.2">
      <c r="L614" s="164"/>
    </row>
    <row r="615" spans="12:12" ht="13.2">
      <c r="L615" s="164"/>
    </row>
    <row r="616" spans="12:12" ht="13.2">
      <c r="L616" s="164"/>
    </row>
    <row r="617" spans="12:12" ht="13.2">
      <c r="L617" s="164"/>
    </row>
    <row r="618" spans="12:12" ht="13.2">
      <c r="L618" s="164"/>
    </row>
    <row r="619" spans="12:12" ht="13.2">
      <c r="L619" s="164"/>
    </row>
    <row r="620" spans="12:12" ht="13.2">
      <c r="L620" s="164"/>
    </row>
    <row r="621" spans="12:12" ht="13.2">
      <c r="L621" s="164"/>
    </row>
    <row r="622" spans="12:12" ht="13.2">
      <c r="L622" s="164"/>
    </row>
    <row r="623" spans="12:12" ht="13.2">
      <c r="L623" s="164"/>
    </row>
    <row r="624" spans="12:12" ht="13.2">
      <c r="L624" s="164"/>
    </row>
    <row r="625" spans="12:12" ht="13.2">
      <c r="L625" s="164"/>
    </row>
    <row r="626" spans="12:12" ht="13.2">
      <c r="L626" s="164"/>
    </row>
    <row r="627" spans="12:12" ht="13.2">
      <c r="L627" s="164"/>
    </row>
    <row r="628" spans="12:12" ht="13.2">
      <c r="L628" s="164"/>
    </row>
    <row r="629" spans="12:12" ht="13.2">
      <c r="L629" s="164"/>
    </row>
    <row r="630" spans="12:12" ht="13.2">
      <c r="L630" s="164"/>
    </row>
    <row r="631" spans="12:12" ht="13.2">
      <c r="L631" s="164"/>
    </row>
    <row r="632" spans="12:12" ht="13.2">
      <c r="L632" s="164"/>
    </row>
    <row r="633" spans="12:12" ht="13.2">
      <c r="L633" s="164"/>
    </row>
    <row r="634" spans="12:12" ht="13.2">
      <c r="L634" s="164"/>
    </row>
    <row r="635" spans="12:12" ht="13.2">
      <c r="L635" s="164"/>
    </row>
    <row r="636" spans="12:12" ht="13.2">
      <c r="L636" s="164"/>
    </row>
    <row r="637" spans="12:12" ht="13.2">
      <c r="L637" s="164"/>
    </row>
    <row r="638" spans="12:12" ht="13.2">
      <c r="L638" s="164"/>
    </row>
    <row r="639" spans="12:12" ht="13.2">
      <c r="L639" s="164"/>
    </row>
    <row r="640" spans="12:12" ht="13.2">
      <c r="L640" s="164"/>
    </row>
    <row r="641" spans="12:12" ht="13.2">
      <c r="L641" s="164"/>
    </row>
    <row r="642" spans="12:12" ht="13.2">
      <c r="L642" s="164"/>
    </row>
    <row r="643" spans="12:12" ht="13.2">
      <c r="L643" s="164"/>
    </row>
    <row r="644" spans="12:12" ht="13.2">
      <c r="L644" s="164"/>
    </row>
    <row r="645" spans="12:12" ht="13.2">
      <c r="L645" s="164"/>
    </row>
    <row r="646" spans="12:12" ht="13.2">
      <c r="L646" s="164"/>
    </row>
    <row r="647" spans="12:12" ht="13.2">
      <c r="L647" s="164"/>
    </row>
    <row r="648" spans="12:12" ht="13.2">
      <c r="L648" s="164"/>
    </row>
    <row r="649" spans="12:12" ht="13.2">
      <c r="L649" s="164"/>
    </row>
    <row r="650" spans="12:12" ht="13.2">
      <c r="L650" s="164"/>
    </row>
    <row r="651" spans="12:12" ht="13.2">
      <c r="L651" s="164"/>
    </row>
    <row r="652" spans="12:12" ht="13.2">
      <c r="L652" s="164"/>
    </row>
    <row r="653" spans="12:12" ht="13.2">
      <c r="L653" s="164"/>
    </row>
    <row r="654" spans="12:12" ht="13.2">
      <c r="L654" s="164"/>
    </row>
    <row r="655" spans="12:12" ht="13.2">
      <c r="L655" s="164"/>
    </row>
    <row r="656" spans="12:12" ht="13.2">
      <c r="L656" s="164"/>
    </row>
    <row r="657" spans="12:12" ht="13.2">
      <c r="L657" s="164"/>
    </row>
    <row r="658" spans="12:12" ht="13.2">
      <c r="L658" s="164"/>
    </row>
    <row r="659" spans="12:12" ht="13.2">
      <c r="L659" s="164"/>
    </row>
    <row r="660" spans="12:12" ht="13.2">
      <c r="L660" s="164"/>
    </row>
    <row r="661" spans="12:12" ht="13.2">
      <c r="L661" s="164"/>
    </row>
    <row r="662" spans="12:12" ht="13.2">
      <c r="L662" s="164"/>
    </row>
    <row r="663" spans="12:12" ht="13.2">
      <c r="L663" s="164"/>
    </row>
    <row r="664" spans="12:12" ht="13.2">
      <c r="L664" s="164"/>
    </row>
    <row r="665" spans="12:12" ht="13.2">
      <c r="L665" s="164"/>
    </row>
    <row r="666" spans="12:12" ht="13.2">
      <c r="L666" s="164"/>
    </row>
    <row r="667" spans="12:12" ht="13.2">
      <c r="L667" s="164"/>
    </row>
    <row r="668" spans="12:12" ht="13.2">
      <c r="L668" s="164"/>
    </row>
    <row r="669" spans="12:12" ht="13.2">
      <c r="L669" s="164"/>
    </row>
    <row r="670" spans="12:12" ht="13.2">
      <c r="L670" s="164"/>
    </row>
    <row r="671" spans="12:12" ht="13.2">
      <c r="L671" s="164"/>
    </row>
    <row r="672" spans="12:12" ht="13.2">
      <c r="L672" s="164"/>
    </row>
    <row r="673" spans="12:12" ht="13.2">
      <c r="L673" s="164"/>
    </row>
    <row r="674" spans="12:12" ht="13.2">
      <c r="L674" s="164"/>
    </row>
    <row r="675" spans="12:12" ht="13.2">
      <c r="L675" s="164"/>
    </row>
    <row r="676" spans="12:12" ht="13.2">
      <c r="L676" s="164"/>
    </row>
    <row r="677" spans="12:12" ht="13.2">
      <c r="L677" s="164"/>
    </row>
    <row r="678" spans="12:12" ht="13.2">
      <c r="L678" s="164"/>
    </row>
    <row r="679" spans="12:12" ht="13.2">
      <c r="L679" s="164"/>
    </row>
    <row r="680" spans="12:12" ht="13.2">
      <c r="L680" s="164"/>
    </row>
    <row r="681" spans="12:12" ht="13.2">
      <c r="L681" s="164"/>
    </row>
    <row r="682" spans="12:12" ht="13.2">
      <c r="L682" s="164"/>
    </row>
    <row r="683" spans="12:12" ht="13.2">
      <c r="L683" s="164"/>
    </row>
    <row r="684" spans="12:12" ht="13.2">
      <c r="L684" s="164"/>
    </row>
    <row r="685" spans="12:12" ht="13.2">
      <c r="L685" s="164"/>
    </row>
    <row r="686" spans="12:12" ht="13.2">
      <c r="L686" s="164"/>
    </row>
    <row r="687" spans="12:12" ht="13.2">
      <c r="L687" s="164"/>
    </row>
    <row r="688" spans="12:12" ht="13.2">
      <c r="L688" s="164"/>
    </row>
    <row r="689" spans="12:12" ht="13.2">
      <c r="L689" s="164"/>
    </row>
    <row r="690" spans="12:12" ht="13.2">
      <c r="L690" s="164"/>
    </row>
    <row r="691" spans="12:12" ht="13.2">
      <c r="L691" s="164"/>
    </row>
    <row r="692" spans="12:12" ht="13.2">
      <c r="L692" s="164"/>
    </row>
    <row r="693" spans="12:12" ht="13.2">
      <c r="L693" s="164"/>
    </row>
    <row r="694" spans="12:12" ht="13.2">
      <c r="L694" s="164"/>
    </row>
    <row r="695" spans="12:12" ht="13.2">
      <c r="L695" s="164"/>
    </row>
    <row r="696" spans="12:12" ht="13.2">
      <c r="L696" s="164"/>
    </row>
    <row r="697" spans="12:12" ht="13.2">
      <c r="L697" s="164"/>
    </row>
    <row r="698" spans="12:12" ht="13.2">
      <c r="L698" s="164"/>
    </row>
    <row r="699" spans="12:12" ht="13.2">
      <c r="L699" s="164"/>
    </row>
    <row r="700" spans="12:12" ht="13.2">
      <c r="L700" s="164"/>
    </row>
    <row r="701" spans="12:12" ht="13.2">
      <c r="L701" s="164"/>
    </row>
    <row r="702" spans="12:12" ht="13.2">
      <c r="L702" s="164"/>
    </row>
    <row r="703" spans="12:12" ht="13.2">
      <c r="L703" s="164"/>
    </row>
    <row r="704" spans="12:12" ht="13.2">
      <c r="L704" s="164"/>
    </row>
    <row r="705" spans="12:12" ht="13.2">
      <c r="L705" s="164"/>
    </row>
    <row r="706" spans="12:12" ht="13.2">
      <c r="L706" s="164"/>
    </row>
    <row r="707" spans="12:12" ht="13.2">
      <c r="L707" s="164"/>
    </row>
    <row r="708" spans="12:12" ht="13.2">
      <c r="L708" s="164"/>
    </row>
    <row r="709" spans="12:12" ht="13.2">
      <c r="L709" s="164"/>
    </row>
    <row r="710" spans="12:12" ht="13.2">
      <c r="L710" s="164"/>
    </row>
    <row r="711" spans="12:12" ht="13.2">
      <c r="L711" s="164"/>
    </row>
    <row r="712" spans="12:12" ht="13.2">
      <c r="L712" s="164"/>
    </row>
    <row r="713" spans="12:12" ht="13.2">
      <c r="L713" s="164"/>
    </row>
    <row r="714" spans="12:12" ht="13.2">
      <c r="L714" s="164"/>
    </row>
    <row r="715" spans="12:12" ht="13.2">
      <c r="L715" s="164"/>
    </row>
    <row r="716" spans="12:12" ht="13.2">
      <c r="L716" s="164"/>
    </row>
    <row r="717" spans="12:12" ht="13.2">
      <c r="L717" s="164"/>
    </row>
    <row r="718" spans="12:12" ht="13.2">
      <c r="L718" s="164"/>
    </row>
    <row r="719" spans="12:12" ht="13.2">
      <c r="L719" s="164"/>
    </row>
    <row r="720" spans="12:12" ht="13.2">
      <c r="L720" s="164"/>
    </row>
    <row r="721" spans="12:12" ht="13.2">
      <c r="L721" s="164"/>
    </row>
    <row r="722" spans="12:12" ht="13.2">
      <c r="L722" s="164"/>
    </row>
    <row r="723" spans="12:12" ht="13.2">
      <c r="L723" s="164"/>
    </row>
    <row r="724" spans="12:12" ht="13.2">
      <c r="L724" s="164"/>
    </row>
    <row r="725" spans="12:12" ht="13.2">
      <c r="L725" s="164"/>
    </row>
    <row r="726" spans="12:12" ht="13.2">
      <c r="L726" s="164"/>
    </row>
    <row r="727" spans="12:12" ht="13.2">
      <c r="L727" s="164"/>
    </row>
    <row r="728" spans="12:12" ht="13.2">
      <c r="L728" s="164"/>
    </row>
    <row r="729" spans="12:12" ht="13.2">
      <c r="L729" s="164"/>
    </row>
    <row r="730" spans="12:12" ht="13.2">
      <c r="L730" s="164"/>
    </row>
    <row r="731" spans="12:12" ht="13.2">
      <c r="L731" s="164"/>
    </row>
    <row r="732" spans="12:12" ht="13.2">
      <c r="L732" s="164"/>
    </row>
    <row r="733" spans="12:12" ht="13.2">
      <c r="L733" s="164"/>
    </row>
    <row r="734" spans="12:12" ht="13.2">
      <c r="L734" s="164"/>
    </row>
    <row r="735" spans="12:12" ht="13.2">
      <c r="L735" s="164"/>
    </row>
    <row r="736" spans="12:12" ht="13.2">
      <c r="L736" s="164"/>
    </row>
    <row r="737" spans="12:12" ht="13.2">
      <c r="L737" s="164"/>
    </row>
    <row r="738" spans="12:12" ht="13.2">
      <c r="L738" s="164"/>
    </row>
    <row r="739" spans="12:12" ht="13.2">
      <c r="L739" s="164"/>
    </row>
    <row r="740" spans="12:12" ht="13.2">
      <c r="L740" s="164"/>
    </row>
    <row r="741" spans="12:12" ht="13.2">
      <c r="L741" s="164"/>
    </row>
    <row r="742" spans="12:12" ht="13.2">
      <c r="L742" s="164"/>
    </row>
    <row r="743" spans="12:12" ht="13.2">
      <c r="L743" s="164"/>
    </row>
    <row r="744" spans="12:12" ht="13.2">
      <c r="L744" s="164"/>
    </row>
    <row r="745" spans="12:12" ht="13.2">
      <c r="L745" s="164"/>
    </row>
    <row r="746" spans="12:12" ht="13.2">
      <c r="L746" s="164"/>
    </row>
    <row r="747" spans="12:12" ht="13.2">
      <c r="L747" s="164"/>
    </row>
    <row r="748" spans="12:12" ht="13.2">
      <c r="L748" s="164"/>
    </row>
    <row r="749" spans="12:12" ht="13.2">
      <c r="L749" s="164"/>
    </row>
    <row r="750" spans="12:12" ht="13.2">
      <c r="L750" s="164"/>
    </row>
    <row r="751" spans="12:12" ht="13.2">
      <c r="L751" s="164"/>
    </row>
    <row r="752" spans="12:12" ht="13.2">
      <c r="L752" s="164"/>
    </row>
    <row r="753" spans="12:12" ht="13.2">
      <c r="L753" s="164"/>
    </row>
    <row r="754" spans="12:12" ht="13.2">
      <c r="L754" s="164"/>
    </row>
    <row r="755" spans="12:12" ht="13.2">
      <c r="L755" s="164"/>
    </row>
    <row r="756" spans="12:12" ht="13.2">
      <c r="L756" s="164"/>
    </row>
    <row r="757" spans="12:12" ht="13.2">
      <c r="L757" s="164"/>
    </row>
    <row r="758" spans="12:12" ht="13.2">
      <c r="L758" s="164"/>
    </row>
    <row r="759" spans="12:12" ht="13.2">
      <c r="L759" s="164"/>
    </row>
    <row r="760" spans="12:12" ht="13.2">
      <c r="L760" s="164"/>
    </row>
    <row r="761" spans="12:12" ht="13.2">
      <c r="L761" s="164"/>
    </row>
    <row r="762" spans="12:12" ht="13.2">
      <c r="L762" s="164"/>
    </row>
    <row r="763" spans="12:12" ht="13.2">
      <c r="L763" s="164"/>
    </row>
    <row r="764" spans="12:12" ht="13.2">
      <c r="L764" s="164"/>
    </row>
    <row r="765" spans="12:12" ht="13.2">
      <c r="L765" s="164"/>
    </row>
    <row r="766" spans="12:12" ht="13.2">
      <c r="L766" s="164"/>
    </row>
    <row r="767" spans="12:12" ht="13.2">
      <c r="L767" s="164"/>
    </row>
    <row r="768" spans="12:12" ht="13.2">
      <c r="L768" s="164"/>
    </row>
    <row r="769" spans="12:12" ht="13.2">
      <c r="L769" s="164"/>
    </row>
    <row r="770" spans="12:12" ht="13.2">
      <c r="L770" s="164"/>
    </row>
    <row r="771" spans="12:12" ht="13.2">
      <c r="L771" s="164"/>
    </row>
    <row r="772" spans="12:12" ht="13.2">
      <c r="L772" s="164"/>
    </row>
    <row r="773" spans="12:12" ht="13.2">
      <c r="L773" s="164"/>
    </row>
    <row r="774" spans="12:12" ht="13.2">
      <c r="L774" s="164"/>
    </row>
    <row r="775" spans="12:12" ht="13.2">
      <c r="L775" s="164"/>
    </row>
    <row r="776" spans="12:12" ht="13.2">
      <c r="L776" s="164"/>
    </row>
    <row r="777" spans="12:12" ht="13.2">
      <c r="L777" s="164"/>
    </row>
    <row r="778" spans="12:12" ht="13.2">
      <c r="L778" s="164"/>
    </row>
    <row r="779" spans="12:12" ht="13.2">
      <c r="L779" s="164"/>
    </row>
    <row r="780" spans="12:12" ht="13.2">
      <c r="L780" s="164"/>
    </row>
    <row r="781" spans="12:12" ht="13.2">
      <c r="L781" s="164"/>
    </row>
    <row r="782" spans="12:12" ht="13.2">
      <c r="L782" s="164"/>
    </row>
    <row r="783" spans="12:12" ht="13.2">
      <c r="L783" s="164"/>
    </row>
    <row r="784" spans="12:12" ht="13.2">
      <c r="L784" s="164"/>
    </row>
    <row r="785" spans="12:12" ht="13.2">
      <c r="L785" s="164"/>
    </row>
    <row r="786" spans="12:12" ht="13.2">
      <c r="L786" s="164"/>
    </row>
    <row r="787" spans="12:12" ht="13.2">
      <c r="L787" s="164"/>
    </row>
    <row r="788" spans="12:12" ht="13.2">
      <c r="L788" s="164"/>
    </row>
    <row r="789" spans="12:12" ht="13.2">
      <c r="L789" s="164"/>
    </row>
    <row r="790" spans="12:12" ht="13.2">
      <c r="L790" s="164"/>
    </row>
    <row r="791" spans="12:12" ht="13.2">
      <c r="L791" s="164"/>
    </row>
    <row r="792" spans="12:12" ht="13.2">
      <c r="L792" s="164"/>
    </row>
    <row r="793" spans="12:12" ht="13.2">
      <c r="L793" s="164"/>
    </row>
    <row r="794" spans="12:12" ht="13.2">
      <c r="L794" s="164"/>
    </row>
    <row r="795" spans="12:12" ht="13.2">
      <c r="L795" s="164"/>
    </row>
    <row r="796" spans="12:12" ht="13.2">
      <c r="L796" s="164"/>
    </row>
    <row r="797" spans="12:12" ht="13.2">
      <c r="L797" s="164"/>
    </row>
    <row r="798" spans="12:12" ht="13.2">
      <c r="L798" s="164"/>
    </row>
    <row r="799" spans="12:12" ht="13.2">
      <c r="L799" s="164"/>
    </row>
    <row r="800" spans="12:12" ht="13.2">
      <c r="L800" s="164"/>
    </row>
    <row r="801" spans="12:12" ht="13.2">
      <c r="L801" s="164"/>
    </row>
    <row r="802" spans="12:12" ht="13.2">
      <c r="L802" s="164"/>
    </row>
    <row r="803" spans="12:12" ht="13.2">
      <c r="L803" s="164"/>
    </row>
    <row r="804" spans="12:12" ht="13.2">
      <c r="L804" s="164"/>
    </row>
    <row r="805" spans="12:12" ht="13.2">
      <c r="L805" s="164"/>
    </row>
    <row r="806" spans="12:12" ht="13.2">
      <c r="L806" s="164"/>
    </row>
    <row r="807" spans="12:12" ht="13.2">
      <c r="L807" s="164"/>
    </row>
    <row r="808" spans="12:12" ht="13.2">
      <c r="L808" s="164"/>
    </row>
    <row r="809" spans="12:12" ht="13.2">
      <c r="L809" s="164"/>
    </row>
    <row r="810" spans="12:12" ht="13.2">
      <c r="L810" s="164"/>
    </row>
    <row r="811" spans="12:12" ht="13.2">
      <c r="L811" s="164"/>
    </row>
    <row r="812" spans="12:12" ht="13.2">
      <c r="L812" s="164"/>
    </row>
    <row r="813" spans="12:12" ht="13.2">
      <c r="L813" s="164"/>
    </row>
    <row r="814" spans="12:12" ht="13.2">
      <c r="L814" s="164"/>
    </row>
    <row r="815" spans="12:12" ht="13.2">
      <c r="L815" s="164"/>
    </row>
    <row r="816" spans="12:12" ht="13.2">
      <c r="L816" s="164"/>
    </row>
    <row r="817" spans="12:12" ht="13.2">
      <c r="L817" s="164"/>
    </row>
    <row r="818" spans="12:12" ht="13.2">
      <c r="L818" s="164"/>
    </row>
    <row r="819" spans="12:12" ht="13.2">
      <c r="L819" s="164"/>
    </row>
    <row r="820" spans="12:12" ht="13.2">
      <c r="L820" s="164"/>
    </row>
    <row r="821" spans="12:12" ht="13.2">
      <c r="L821" s="164"/>
    </row>
    <row r="822" spans="12:12" ht="13.2">
      <c r="L822" s="164"/>
    </row>
    <row r="823" spans="12:12" ht="13.2">
      <c r="L823" s="164"/>
    </row>
    <row r="824" spans="12:12" ht="13.2">
      <c r="L824" s="164"/>
    </row>
    <row r="825" spans="12:12" ht="13.2">
      <c r="L825" s="164"/>
    </row>
    <row r="826" spans="12:12" ht="13.2">
      <c r="L826" s="164"/>
    </row>
    <row r="827" spans="12:12" ht="13.2">
      <c r="L827" s="164"/>
    </row>
    <row r="828" spans="12:12" ht="13.2">
      <c r="L828" s="164"/>
    </row>
    <row r="829" spans="12:12" ht="13.2">
      <c r="L829" s="164"/>
    </row>
    <row r="830" spans="12:12" ht="13.2">
      <c r="L830" s="164"/>
    </row>
    <row r="831" spans="12:12" ht="13.2">
      <c r="L831" s="164"/>
    </row>
    <row r="832" spans="12:12" ht="13.2">
      <c r="L832" s="164"/>
    </row>
    <row r="833" spans="12:12" ht="13.2">
      <c r="L833" s="164"/>
    </row>
    <row r="834" spans="12:12" ht="13.2">
      <c r="L834" s="164"/>
    </row>
    <row r="835" spans="12:12" ht="13.2">
      <c r="L835" s="164"/>
    </row>
    <row r="836" spans="12:12" ht="13.2">
      <c r="L836" s="164"/>
    </row>
    <row r="837" spans="12:12" ht="13.2">
      <c r="L837" s="164"/>
    </row>
    <row r="838" spans="12:12" ht="13.2">
      <c r="L838" s="164"/>
    </row>
    <row r="839" spans="12:12" ht="13.2">
      <c r="L839" s="164"/>
    </row>
    <row r="840" spans="12:12" ht="13.2">
      <c r="L840" s="164"/>
    </row>
    <row r="841" spans="12:12" ht="13.2">
      <c r="L841" s="164"/>
    </row>
    <row r="842" spans="12:12" ht="13.2">
      <c r="L842" s="164"/>
    </row>
    <row r="843" spans="12:12" ht="13.2">
      <c r="L843" s="164"/>
    </row>
    <row r="844" spans="12:12" ht="13.2">
      <c r="L844" s="164"/>
    </row>
    <row r="845" spans="12:12" ht="13.2">
      <c r="L845" s="164"/>
    </row>
    <row r="846" spans="12:12" ht="13.2">
      <c r="L846" s="164"/>
    </row>
    <row r="847" spans="12:12" ht="13.2">
      <c r="L847" s="164"/>
    </row>
    <row r="848" spans="12:12" ht="13.2">
      <c r="L848" s="164"/>
    </row>
    <row r="849" spans="12:12" ht="13.2">
      <c r="L849" s="164"/>
    </row>
    <row r="850" spans="12:12" ht="13.2">
      <c r="L850" s="164"/>
    </row>
    <row r="851" spans="12:12" ht="13.2">
      <c r="L851" s="164"/>
    </row>
    <row r="852" spans="12:12" ht="13.2">
      <c r="L852" s="164"/>
    </row>
    <row r="853" spans="12:12" ht="13.2">
      <c r="L853" s="164"/>
    </row>
    <row r="854" spans="12:12" ht="13.2">
      <c r="L854" s="164"/>
    </row>
    <row r="855" spans="12:12" ht="13.2">
      <c r="L855" s="164"/>
    </row>
    <row r="856" spans="12:12" ht="13.2">
      <c r="L856" s="164"/>
    </row>
    <row r="857" spans="12:12" ht="13.2">
      <c r="L857" s="164"/>
    </row>
    <row r="858" spans="12:12" ht="13.2">
      <c r="L858" s="164"/>
    </row>
    <row r="859" spans="12:12" ht="13.2">
      <c r="L859" s="164"/>
    </row>
    <row r="860" spans="12:12" ht="13.2">
      <c r="L860" s="164"/>
    </row>
    <row r="861" spans="12:12" ht="13.2">
      <c r="L861" s="164"/>
    </row>
    <row r="862" spans="12:12" ht="13.2">
      <c r="L862" s="164"/>
    </row>
    <row r="863" spans="12:12" ht="13.2">
      <c r="L863" s="164"/>
    </row>
    <row r="864" spans="12:12" ht="13.2">
      <c r="L864" s="164"/>
    </row>
    <row r="865" spans="12:12" ht="13.2">
      <c r="L865" s="164"/>
    </row>
    <row r="866" spans="12:12" ht="13.2">
      <c r="L866" s="164"/>
    </row>
    <row r="867" spans="12:12" ht="13.2">
      <c r="L867" s="164"/>
    </row>
    <row r="868" spans="12:12" ht="13.2">
      <c r="L868" s="164"/>
    </row>
    <row r="869" spans="12:12" ht="13.2">
      <c r="L869" s="164"/>
    </row>
    <row r="870" spans="12:12" ht="13.2">
      <c r="L870" s="164"/>
    </row>
    <row r="871" spans="12:12" ht="13.2">
      <c r="L871" s="164"/>
    </row>
    <row r="872" spans="12:12" ht="13.2">
      <c r="L872" s="164"/>
    </row>
    <row r="873" spans="12:12" ht="13.2">
      <c r="L873" s="164"/>
    </row>
    <row r="874" spans="12:12" ht="13.2">
      <c r="L874" s="164"/>
    </row>
    <row r="875" spans="12:12" ht="13.2">
      <c r="L875" s="164"/>
    </row>
    <row r="876" spans="12:12" ht="13.2">
      <c r="L876" s="164"/>
    </row>
    <row r="877" spans="12:12" ht="13.2">
      <c r="L877" s="164"/>
    </row>
    <row r="878" spans="12:12" ht="13.2">
      <c r="L878" s="164"/>
    </row>
    <row r="879" spans="12:12" ht="13.2">
      <c r="L879" s="164"/>
    </row>
    <row r="880" spans="12:12" ht="13.2">
      <c r="L880" s="164"/>
    </row>
    <row r="881" spans="12:12" ht="13.2">
      <c r="L881" s="164"/>
    </row>
    <row r="882" spans="12:12" ht="13.2">
      <c r="L882" s="164"/>
    </row>
    <row r="883" spans="12:12" ht="13.2">
      <c r="L883" s="164"/>
    </row>
    <row r="884" spans="12:12" ht="13.2">
      <c r="L884" s="164"/>
    </row>
    <row r="885" spans="12:12" ht="13.2">
      <c r="L885" s="164"/>
    </row>
    <row r="886" spans="12:12" ht="13.2">
      <c r="L886" s="164"/>
    </row>
    <row r="887" spans="12:12" ht="13.2">
      <c r="L887" s="164"/>
    </row>
    <row r="888" spans="12:12" ht="13.2">
      <c r="L888" s="164"/>
    </row>
    <row r="889" spans="12:12" ht="13.2">
      <c r="L889" s="164"/>
    </row>
    <row r="890" spans="12:12" ht="13.2">
      <c r="L890" s="164"/>
    </row>
    <row r="891" spans="12:12" ht="13.2">
      <c r="L891" s="164"/>
    </row>
    <row r="892" spans="12:12" ht="13.2">
      <c r="L892" s="164"/>
    </row>
    <row r="893" spans="12:12" ht="13.2">
      <c r="L893" s="164"/>
    </row>
    <row r="894" spans="12:12" ht="13.2">
      <c r="L894" s="164"/>
    </row>
    <row r="895" spans="12:12" ht="13.2">
      <c r="L895" s="164"/>
    </row>
    <row r="896" spans="12:12" ht="13.2">
      <c r="L896" s="164"/>
    </row>
    <row r="897" spans="12:12" ht="13.2">
      <c r="L897" s="164"/>
    </row>
    <row r="898" spans="12:12" ht="13.2">
      <c r="L898" s="164"/>
    </row>
    <row r="899" spans="12:12" ht="13.2">
      <c r="L899" s="164"/>
    </row>
    <row r="900" spans="12:12" ht="13.2">
      <c r="L900" s="164"/>
    </row>
    <row r="901" spans="12:12" ht="13.2">
      <c r="L901" s="164"/>
    </row>
    <row r="902" spans="12:12" ht="13.2">
      <c r="L902" s="164"/>
    </row>
    <row r="903" spans="12:12" ht="13.2">
      <c r="L903" s="164"/>
    </row>
    <row r="904" spans="12:12" ht="13.2">
      <c r="L904" s="164"/>
    </row>
    <row r="905" spans="12:12" ht="13.2">
      <c r="L905" s="164"/>
    </row>
    <row r="906" spans="12:12" ht="13.2">
      <c r="L906" s="164"/>
    </row>
    <row r="907" spans="12:12" ht="13.2">
      <c r="L907" s="164"/>
    </row>
    <row r="908" spans="12:12" ht="13.2">
      <c r="L908" s="164"/>
    </row>
    <row r="909" spans="12:12" ht="13.2">
      <c r="L909" s="164"/>
    </row>
    <row r="910" spans="12:12" ht="13.2">
      <c r="L910" s="164"/>
    </row>
    <row r="911" spans="12:12" ht="13.2">
      <c r="L911" s="164"/>
    </row>
    <row r="912" spans="12:12" ht="13.2">
      <c r="L912" s="164"/>
    </row>
    <row r="913" spans="12:12" ht="13.2">
      <c r="L913" s="164"/>
    </row>
    <row r="914" spans="12:12" ht="13.2">
      <c r="L914" s="164"/>
    </row>
    <row r="915" spans="12:12" ht="13.2">
      <c r="L915" s="164"/>
    </row>
    <row r="916" spans="12:12" ht="13.2">
      <c r="L916" s="164"/>
    </row>
    <row r="917" spans="12:12" ht="13.2">
      <c r="L917" s="164"/>
    </row>
    <row r="918" spans="12:12" ht="13.2">
      <c r="L918" s="164"/>
    </row>
    <row r="919" spans="12:12" ht="13.2">
      <c r="L919" s="164"/>
    </row>
    <row r="920" spans="12:12" ht="13.2">
      <c r="L920" s="164"/>
    </row>
    <row r="921" spans="12:12" ht="13.2">
      <c r="L921" s="164"/>
    </row>
    <row r="922" spans="12:12" ht="13.2">
      <c r="L922" s="164"/>
    </row>
    <row r="923" spans="12:12" ht="13.2">
      <c r="L923" s="164"/>
    </row>
    <row r="924" spans="12:12" ht="13.2">
      <c r="L924" s="164"/>
    </row>
    <row r="925" spans="12:12" ht="13.2">
      <c r="L925" s="164"/>
    </row>
    <row r="926" spans="12:12" ht="13.2">
      <c r="L926" s="164"/>
    </row>
    <row r="927" spans="12:12" ht="13.2">
      <c r="L927" s="164"/>
    </row>
    <row r="928" spans="12:12" ht="13.2">
      <c r="L928" s="164"/>
    </row>
    <row r="929" spans="12:12" ht="13.2">
      <c r="L929" s="164"/>
    </row>
    <row r="930" spans="12:12" ht="13.2">
      <c r="L930" s="164"/>
    </row>
    <row r="931" spans="12:12" ht="13.2">
      <c r="L931" s="164"/>
    </row>
    <row r="932" spans="12:12" ht="13.2">
      <c r="L932" s="164"/>
    </row>
    <row r="933" spans="12:12" ht="13.2">
      <c r="L933" s="164"/>
    </row>
    <row r="934" spans="12:12" ht="13.2">
      <c r="L934" s="164"/>
    </row>
    <row r="935" spans="12:12" ht="13.2">
      <c r="L935" s="164"/>
    </row>
    <row r="936" spans="12:12" ht="13.2">
      <c r="L936" s="164"/>
    </row>
    <row r="937" spans="12:12" ht="13.2">
      <c r="L937" s="164"/>
    </row>
    <row r="938" spans="12:12" ht="13.2">
      <c r="L938" s="164"/>
    </row>
    <row r="939" spans="12:12" ht="13.2">
      <c r="L939" s="164"/>
    </row>
    <row r="940" spans="12:12" ht="13.2">
      <c r="L940" s="164"/>
    </row>
    <row r="941" spans="12:12" ht="13.2">
      <c r="L941" s="164"/>
    </row>
    <row r="942" spans="12:12" ht="13.2">
      <c r="L942" s="164"/>
    </row>
    <row r="943" spans="12:12" ht="13.2">
      <c r="L943" s="164"/>
    </row>
    <row r="944" spans="12:12" ht="13.2">
      <c r="L944" s="164"/>
    </row>
    <row r="945" spans="12:12" ht="13.2">
      <c r="L945" s="164"/>
    </row>
    <row r="946" spans="12:12" ht="13.2">
      <c r="L946" s="164"/>
    </row>
    <row r="947" spans="12:12" ht="13.2">
      <c r="L947" s="164"/>
    </row>
    <row r="948" spans="12:12" ht="13.2">
      <c r="L948" s="164"/>
    </row>
    <row r="949" spans="12:12" ht="13.2">
      <c r="L949" s="164"/>
    </row>
    <row r="950" spans="12:12" ht="13.2">
      <c r="L950" s="164"/>
    </row>
    <row r="951" spans="12:12" ht="13.2">
      <c r="L951" s="164"/>
    </row>
    <row r="952" spans="12:12" ht="13.2">
      <c r="L952" s="164"/>
    </row>
    <row r="953" spans="12:12" ht="13.2">
      <c r="L953" s="164"/>
    </row>
    <row r="954" spans="12:12" ht="13.2">
      <c r="L954" s="164"/>
    </row>
    <row r="955" spans="12:12" ht="13.2">
      <c r="L955" s="164"/>
    </row>
    <row r="956" spans="12:12" ht="13.2">
      <c r="L956" s="164"/>
    </row>
    <row r="957" spans="12:12" ht="13.2">
      <c r="L957" s="164"/>
    </row>
    <row r="958" spans="12:12" ht="13.2">
      <c r="L958" s="164"/>
    </row>
    <row r="959" spans="12:12" ht="13.2">
      <c r="L959" s="164"/>
    </row>
    <row r="960" spans="12:12" ht="13.2">
      <c r="L960" s="164"/>
    </row>
    <row r="961" spans="12:12" ht="13.2">
      <c r="L961" s="164"/>
    </row>
    <row r="962" spans="12:12" ht="13.2">
      <c r="L962" s="164"/>
    </row>
    <row r="963" spans="12:12" ht="13.2">
      <c r="L963" s="164"/>
    </row>
    <row r="964" spans="12:12" ht="13.2">
      <c r="L964" s="164"/>
    </row>
    <row r="965" spans="12:12" ht="13.2">
      <c r="L965" s="164"/>
    </row>
    <row r="966" spans="12:12" ht="13.2">
      <c r="L966" s="164"/>
    </row>
    <row r="967" spans="12:12" ht="13.2">
      <c r="L967" s="164"/>
    </row>
    <row r="968" spans="12:12" ht="13.2">
      <c r="L968" s="164"/>
    </row>
    <row r="969" spans="12:12" ht="13.2">
      <c r="L969" s="164"/>
    </row>
    <row r="970" spans="12:12" ht="13.2">
      <c r="L970" s="164"/>
    </row>
    <row r="971" spans="12:12" ht="13.2">
      <c r="L971" s="164"/>
    </row>
    <row r="972" spans="12:12" ht="13.2">
      <c r="L972" s="164"/>
    </row>
    <row r="973" spans="12:12" ht="13.2">
      <c r="L973" s="164"/>
    </row>
    <row r="974" spans="12:12" ht="13.2">
      <c r="L974" s="164"/>
    </row>
    <row r="975" spans="12:12" ht="13.2">
      <c r="L975" s="164"/>
    </row>
    <row r="976" spans="12:12" ht="13.2">
      <c r="L976" s="164"/>
    </row>
    <row r="977" spans="12:12" ht="13.2">
      <c r="L977" s="164"/>
    </row>
    <row r="978" spans="12:12" ht="13.2">
      <c r="L978" s="164"/>
    </row>
    <row r="979" spans="12:12" ht="13.2">
      <c r="L979" s="164"/>
    </row>
    <row r="980" spans="12:12" ht="13.2">
      <c r="L980" s="164"/>
    </row>
    <row r="981" spans="12:12" ht="13.2">
      <c r="L981" s="164"/>
    </row>
    <row r="982" spans="12:12" ht="13.2">
      <c r="L982" s="164"/>
    </row>
    <row r="983" spans="12:12" ht="13.2">
      <c r="L983" s="164"/>
    </row>
    <row r="984" spans="12:12" ht="13.2">
      <c r="L984" s="164"/>
    </row>
    <row r="985" spans="12:12" ht="13.2">
      <c r="L985" s="164"/>
    </row>
    <row r="986" spans="12:12" ht="13.2">
      <c r="L986" s="164"/>
    </row>
    <row r="987" spans="12:12" ht="13.2">
      <c r="L987" s="164"/>
    </row>
    <row r="988" spans="12:12" ht="13.2">
      <c r="L988" s="164"/>
    </row>
    <row r="989" spans="12:12" ht="13.2">
      <c r="L989" s="164"/>
    </row>
    <row r="990" spans="12:12" ht="13.2">
      <c r="L990" s="164"/>
    </row>
    <row r="991" spans="12:12" ht="13.2">
      <c r="L991" s="164"/>
    </row>
    <row r="992" spans="12:12" ht="13.2">
      <c r="L992" s="164"/>
    </row>
    <row r="993" spans="12:12" ht="13.2">
      <c r="L993" s="164"/>
    </row>
    <row r="994" spans="12:12" ht="13.2">
      <c r="L994" s="164"/>
    </row>
    <row r="995" spans="12:12" ht="13.2">
      <c r="L995" s="164"/>
    </row>
    <row r="996" spans="12:12" ht="13.2">
      <c r="L996" s="164"/>
    </row>
    <row r="997" spans="12:12" ht="13.2">
      <c r="L997" s="164"/>
    </row>
    <row r="998" spans="12:12" ht="13.2">
      <c r="L998" s="164"/>
    </row>
    <row r="999" spans="12:12" ht="13.2">
      <c r="L999" s="164"/>
    </row>
    <row r="1000" spans="12:12" ht="13.2">
      <c r="L1000" s="16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40"/>
  <sheetViews>
    <sheetView workbookViewId="0"/>
  </sheetViews>
  <sheetFormatPr defaultColWidth="12.6640625" defaultRowHeight="15.75" customHeight="1"/>
  <cols>
    <col min="1" max="1" width="28.77734375" customWidth="1"/>
    <col min="2" max="2" width="9.33203125" customWidth="1"/>
    <col min="3" max="3" width="26.77734375" customWidth="1"/>
    <col min="4" max="5" width="11.6640625" customWidth="1"/>
    <col min="6" max="6" width="12" customWidth="1"/>
    <col min="7" max="7" width="12.77734375" customWidth="1"/>
    <col min="8" max="8" width="12.109375" customWidth="1"/>
    <col min="9" max="9" width="13.88671875" customWidth="1"/>
    <col min="10" max="11" width="12.44140625" customWidth="1"/>
    <col min="12" max="12" width="11.88671875" customWidth="1"/>
    <col min="13" max="14" width="12.44140625" customWidth="1"/>
    <col min="15" max="15" width="13.33203125" customWidth="1"/>
    <col min="16" max="16" width="13.77734375" customWidth="1"/>
    <col min="17" max="17" width="14.33203125" customWidth="1"/>
  </cols>
  <sheetData>
    <row r="1" spans="1:17" ht="26.4">
      <c r="A1" s="227" t="s">
        <v>1777</v>
      </c>
      <c r="B1" s="228" t="s">
        <v>1778</v>
      </c>
      <c r="C1" s="229" t="s">
        <v>1779</v>
      </c>
      <c r="D1" s="228" t="s">
        <v>1780</v>
      </c>
      <c r="E1" s="228" t="s">
        <v>1781</v>
      </c>
      <c r="F1" s="230" t="s">
        <v>1782</v>
      </c>
      <c r="G1" s="231" t="s">
        <v>1783</v>
      </c>
      <c r="H1" s="231" t="s">
        <v>1784</v>
      </c>
      <c r="I1" s="232" t="s">
        <v>1785</v>
      </c>
      <c r="J1" s="233" t="s">
        <v>1786</v>
      </c>
      <c r="K1" s="233" t="s">
        <v>1787</v>
      </c>
      <c r="L1" s="234" t="s">
        <v>1788</v>
      </c>
      <c r="M1" s="235" t="s">
        <v>1789</v>
      </c>
      <c r="N1" s="235" t="s">
        <v>1790</v>
      </c>
      <c r="O1" s="236" t="s">
        <v>1791</v>
      </c>
      <c r="P1" s="237" t="s">
        <v>1792</v>
      </c>
      <c r="Q1" s="237" t="s">
        <v>1793</v>
      </c>
    </row>
    <row r="2" spans="1:17" ht="15.75" customHeight="1">
      <c r="A2" s="165" t="s">
        <v>32</v>
      </c>
      <c r="B2" s="12"/>
      <c r="C2" s="12" t="s">
        <v>1768</v>
      </c>
      <c r="D2" s="12" t="s">
        <v>1794</v>
      </c>
      <c r="E2" s="12">
        <v>60</v>
      </c>
      <c r="F2" s="12">
        <v>8</v>
      </c>
      <c r="G2" s="12">
        <v>37</v>
      </c>
      <c r="H2" s="12">
        <v>67</v>
      </c>
      <c r="I2" s="12">
        <v>10</v>
      </c>
      <c r="J2" s="12">
        <v>50</v>
      </c>
      <c r="K2" s="12">
        <v>90</v>
      </c>
      <c r="L2" s="12">
        <v>10</v>
      </c>
      <c r="M2" s="12">
        <v>45</v>
      </c>
      <c r="N2" s="12">
        <v>81</v>
      </c>
      <c r="O2" s="12">
        <v>8</v>
      </c>
      <c r="P2" s="12">
        <v>35</v>
      </c>
      <c r="Q2" s="12">
        <v>63</v>
      </c>
    </row>
    <row r="3" spans="1:17" ht="15.75" customHeight="1">
      <c r="A3" s="170" t="s">
        <v>45</v>
      </c>
      <c r="B3" s="12"/>
      <c r="C3" s="12" t="s">
        <v>1768</v>
      </c>
      <c r="D3" s="12" t="s">
        <v>1794</v>
      </c>
      <c r="E3" s="12">
        <v>60</v>
      </c>
    </row>
    <row r="4" spans="1:17" ht="15.75" customHeight="1">
      <c r="A4" s="175" t="s">
        <v>187</v>
      </c>
      <c r="B4" s="12"/>
      <c r="C4" s="12" t="s">
        <v>1768</v>
      </c>
      <c r="D4" s="12" t="s">
        <v>1795</v>
      </c>
      <c r="E4" s="12">
        <v>60</v>
      </c>
    </row>
    <row r="5" spans="1:17" ht="15.75" customHeight="1">
      <c r="A5" s="176" t="s">
        <v>301</v>
      </c>
      <c r="B5" s="12"/>
      <c r="C5" s="12" t="s">
        <v>1768</v>
      </c>
      <c r="D5" s="12" t="s">
        <v>1794</v>
      </c>
      <c r="E5" s="12">
        <v>60</v>
      </c>
    </row>
    <row r="6" spans="1:17" ht="15.75" customHeight="1">
      <c r="A6" s="177" t="s">
        <v>382</v>
      </c>
      <c r="B6" s="12"/>
      <c r="C6" s="12" t="s">
        <v>1768</v>
      </c>
      <c r="D6" s="12" t="s">
        <v>1795</v>
      </c>
      <c r="E6" s="12">
        <v>60</v>
      </c>
    </row>
    <row r="7" spans="1:17" ht="15.75" customHeight="1">
      <c r="A7" s="178" t="s">
        <v>402</v>
      </c>
      <c r="B7" s="12"/>
      <c r="C7" s="12" t="s">
        <v>1768</v>
      </c>
      <c r="D7" s="12" t="s">
        <v>1794</v>
      </c>
      <c r="E7" s="12">
        <v>60</v>
      </c>
    </row>
    <row r="8" spans="1:17" ht="15.75" customHeight="1">
      <c r="A8" s="179" t="s">
        <v>324</v>
      </c>
      <c r="B8" s="12"/>
      <c r="C8" s="12" t="s">
        <v>1768</v>
      </c>
      <c r="D8" s="12" t="s">
        <v>1794</v>
      </c>
      <c r="E8" s="12">
        <v>60</v>
      </c>
    </row>
    <row r="9" spans="1:17" ht="15.75" customHeight="1">
      <c r="A9" s="180" t="s">
        <v>614</v>
      </c>
      <c r="B9" s="12"/>
      <c r="C9" s="12" t="s">
        <v>1768</v>
      </c>
      <c r="D9" s="12" t="s">
        <v>1794</v>
      </c>
      <c r="E9" s="12">
        <v>60</v>
      </c>
    </row>
    <row r="10" spans="1:17" ht="15.75" customHeight="1">
      <c r="A10" s="181" t="s">
        <v>337</v>
      </c>
      <c r="B10" s="12"/>
      <c r="C10" s="12" t="s">
        <v>1768</v>
      </c>
      <c r="D10" s="12" t="s">
        <v>1794</v>
      </c>
      <c r="E10" s="12">
        <v>60</v>
      </c>
    </row>
    <row r="11" spans="1:17" ht="15.75" customHeight="1">
      <c r="A11" s="182" t="s">
        <v>891</v>
      </c>
      <c r="B11" s="12"/>
      <c r="C11" s="12" t="s">
        <v>1768</v>
      </c>
      <c r="D11" s="12" t="s">
        <v>1794</v>
      </c>
      <c r="E11" s="12">
        <v>60</v>
      </c>
    </row>
    <row r="12" spans="1:17" ht="15.75" customHeight="1">
      <c r="A12" s="183" t="s">
        <v>745</v>
      </c>
      <c r="B12" s="12"/>
      <c r="C12" s="12" t="s">
        <v>1768</v>
      </c>
      <c r="D12" s="12" t="s">
        <v>1794</v>
      </c>
      <c r="E12" s="12">
        <v>60</v>
      </c>
    </row>
    <row r="13" spans="1:17" ht="15.75" customHeight="1">
      <c r="A13" s="184" t="s">
        <v>64</v>
      </c>
      <c r="B13" s="12"/>
      <c r="C13" s="12" t="s">
        <v>1768</v>
      </c>
      <c r="D13" s="12" t="s">
        <v>1794</v>
      </c>
      <c r="E13" s="12">
        <v>60</v>
      </c>
    </row>
    <row r="14" spans="1:17" ht="15.75" customHeight="1">
      <c r="A14" s="185" t="s">
        <v>82</v>
      </c>
      <c r="B14" s="12"/>
      <c r="C14" s="12" t="s">
        <v>1768</v>
      </c>
      <c r="D14" s="12" t="s">
        <v>1795</v>
      </c>
      <c r="E14" s="12">
        <v>60</v>
      </c>
    </row>
    <row r="15" spans="1:17" ht="15.75" customHeight="1">
      <c r="A15" s="186" t="s">
        <v>313</v>
      </c>
      <c r="B15" s="12"/>
      <c r="C15" s="12" t="s">
        <v>1768</v>
      </c>
      <c r="D15" s="12" t="s">
        <v>1795</v>
      </c>
      <c r="E15" s="12">
        <v>60</v>
      </c>
    </row>
    <row r="16" spans="1:17" ht="15.75" customHeight="1">
      <c r="A16" s="187" t="s">
        <v>1343</v>
      </c>
      <c r="B16" s="12"/>
      <c r="C16" s="12" t="s">
        <v>1768</v>
      </c>
      <c r="D16" s="12" t="s">
        <v>1794</v>
      </c>
      <c r="E16" s="12">
        <v>60</v>
      </c>
    </row>
    <row r="17" spans="1:5" ht="15.75" customHeight="1">
      <c r="A17" s="188" t="s">
        <v>110</v>
      </c>
      <c r="B17" s="12"/>
      <c r="C17" s="12" t="s">
        <v>1769</v>
      </c>
      <c r="D17" s="12" t="s">
        <v>1795</v>
      </c>
      <c r="E17" s="12">
        <v>26</v>
      </c>
    </row>
    <row r="18" spans="1:5" ht="15.75" customHeight="1">
      <c r="A18" s="190" t="s">
        <v>208</v>
      </c>
      <c r="B18" s="12"/>
      <c r="C18" s="12" t="s">
        <v>1769</v>
      </c>
      <c r="D18" s="12" t="s">
        <v>1795</v>
      </c>
      <c r="E18" s="12">
        <v>26</v>
      </c>
    </row>
    <row r="19" spans="1:5" ht="15.75" customHeight="1">
      <c r="A19" s="165" t="s">
        <v>1482</v>
      </c>
      <c r="B19" s="12"/>
      <c r="C19" s="12" t="s">
        <v>1770</v>
      </c>
      <c r="D19" s="12" t="s">
        <v>1795</v>
      </c>
      <c r="E19" s="12">
        <v>60</v>
      </c>
    </row>
    <row r="20" spans="1:5" ht="15.75" customHeight="1">
      <c r="A20" s="165" t="s">
        <v>828</v>
      </c>
      <c r="B20" s="12"/>
      <c r="C20" s="12" t="s">
        <v>1771</v>
      </c>
      <c r="D20" s="12" t="s">
        <v>1795</v>
      </c>
      <c r="E20" s="12">
        <v>0</v>
      </c>
    </row>
    <row r="21" spans="1:5" ht="15.75" customHeight="1">
      <c r="A21" s="199" t="s">
        <v>815</v>
      </c>
      <c r="B21" s="12"/>
      <c r="C21" s="12" t="s">
        <v>1771</v>
      </c>
      <c r="D21" s="12" t="s">
        <v>1795</v>
      </c>
      <c r="E21" s="12">
        <v>0</v>
      </c>
    </row>
    <row r="22" spans="1:5" ht="15.75" customHeight="1">
      <c r="A22" s="202" t="s">
        <v>804</v>
      </c>
      <c r="B22" s="12"/>
      <c r="C22" s="12" t="s">
        <v>1771</v>
      </c>
      <c r="D22" s="12" t="s">
        <v>1795</v>
      </c>
      <c r="E22" s="12">
        <v>0</v>
      </c>
    </row>
    <row r="23" spans="1:5" ht="15.75" customHeight="1">
      <c r="A23" s="165" t="s">
        <v>1059</v>
      </c>
      <c r="B23" s="12"/>
      <c r="C23" s="12" t="s">
        <v>1772</v>
      </c>
      <c r="D23" s="12" t="s">
        <v>1795</v>
      </c>
      <c r="E23" s="12">
        <v>0</v>
      </c>
    </row>
    <row r="24" spans="1:5" ht="15.75" customHeight="1">
      <c r="A24" s="206" t="s">
        <v>1053</v>
      </c>
      <c r="B24" s="12"/>
      <c r="C24" s="12" t="s">
        <v>1772</v>
      </c>
      <c r="D24" s="12" t="s">
        <v>1795</v>
      </c>
      <c r="E24" s="12">
        <v>0</v>
      </c>
    </row>
    <row r="25" spans="1:5" ht="15.75" customHeight="1">
      <c r="A25" s="207" t="s">
        <v>1356</v>
      </c>
      <c r="B25" s="12"/>
      <c r="C25" s="12" t="s">
        <v>1768</v>
      </c>
      <c r="D25" s="12" t="s">
        <v>1795</v>
      </c>
      <c r="E25" s="12">
        <v>60</v>
      </c>
    </row>
    <row r="26" spans="1:5" ht="15.75" customHeight="1">
      <c r="A26" s="210" t="s">
        <v>1074</v>
      </c>
      <c r="B26" s="12"/>
      <c r="C26" s="12" t="s">
        <v>1773</v>
      </c>
      <c r="D26" s="12" t="s">
        <v>1795</v>
      </c>
      <c r="E26" s="12">
        <v>0</v>
      </c>
    </row>
    <row r="27" spans="1:5" ht="15.75" customHeight="1">
      <c r="A27" s="211" t="s">
        <v>1084</v>
      </c>
      <c r="B27" s="12"/>
      <c r="C27" s="12" t="s">
        <v>1773</v>
      </c>
      <c r="D27" s="12" t="s">
        <v>1795</v>
      </c>
      <c r="E27" s="12">
        <v>0</v>
      </c>
    </row>
    <row r="28" spans="1:5" ht="16.8">
      <c r="A28" s="213" t="s">
        <v>1094</v>
      </c>
      <c r="B28" s="12"/>
      <c r="C28" s="12" t="s">
        <v>1774</v>
      </c>
      <c r="D28" s="12" t="s">
        <v>1795</v>
      </c>
      <c r="E28" s="12">
        <v>0</v>
      </c>
    </row>
    <row r="29" spans="1:5" ht="16.8">
      <c r="A29" s="214" t="s">
        <v>1104</v>
      </c>
      <c r="B29" s="12"/>
      <c r="C29" s="12" t="s">
        <v>1774</v>
      </c>
      <c r="D29" s="12" t="s">
        <v>1795</v>
      </c>
      <c r="E29" s="12">
        <v>0</v>
      </c>
    </row>
    <row r="30" spans="1:5" ht="16.8">
      <c r="A30" s="215" t="s">
        <v>1114</v>
      </c>
      <c r="B30" s="12"/>
      <c r="C30" s="12" t="s">
        <v>1773</v>
      </c>
      <c r="D30" s="12" t="s">
        <v>1795</v>
      </c>
      <c r="E30" s="12">
        <v>0</v>
      </c>
    </row>
    <row r="31" spans="1:5" ht="16.8">
      <c r="A31" s="216" t="s">
        <v>1120</v>
      </c>
      <c r="B31" s="12"/>
      <c r="C31" s="12" t="s">
        <v>1773</v>
      </c>
      <c r="D31" s="12" t="s">
        <v>1795</v>
      </c>
      <c r="E31" s="12">
        <v>0</v>
      </c>
    </row>
    <row r="32" spans="1:5" ht="16.8">
      <c r="A32" s="165" t="s">
        <v>1126</v>
      </c>
      <c r="B32" s="12"/>
      <c r="C32" s="12" t="s">
        <v>1773</v>
      </c>
      <c r="D32" s="12" t="s">
        <v>1795</v>
      </c>
      <c r="E32" s="12">
        <v>0</v>
      </c>
    </row>
    <row r="33" spans="1:5" ht="16.8">
      <c r="A33" s="217" t="s">
        <v>1234</v>
      </c>
      <c r="B33" s="12"/>
      <c r="C33" s="12" t="s">
        <v>1769</v>
      </c>
      <c r="D33" s="12" t="s">
        <v>1795</v>
      </c>
      <c r="E33" s="12">
        <v>26</v>
      </c>
    </row>
    <row r="34" spans="1:5" ht="17.399999999999999">
      <c r="A34" s="218" t="s">
        <v>93</v>
      </c>
      <c r="B34" s="12"/>
      <c r="C34" s="12" t="s">
        <v>1769</v>
      </c>
      <c r="D34" s="12" t="s">
        <v>1795</v>
      </c>
      <c r="E34" s="12">
        <v>26</v>
      </c>
    </row>
    <row r="35" spans="1:5" ht="14.4">
      <c r="A35" s="219" t="s">
        <v>1284</v>
      </c>
      <c r="B35" s="12"/>
      <c r="C35" s="12" t="s">
        <v>1775</v>
      </c>
      <c r="D35" s="12" t="s">
        <v>1795</v>
      </c>
      <c r="E35" s="12">
        <v>0</v>
      </c>
    </row>
    <row r="36" spans="1:5" ht="13.2">
      <c r="A36" s="221" t="s">
        <v>783</v>
      </c>
      <c r="B36" s="12"/>
      <c r="C36" s="12" t="s">
        <v>1775</v>
      </c>
      <c r="D36" s="12" t="s">
        <v>1795</v>
      </c>
      <c r="E36" s="12">
        <v>0</v>
      </c>
    </row>
    <row r="37" spans="1:5" ht="13.2">
      <c r="A37" s="221" t="s">
        <v>1311</v>
      </c>
      <c r="B37" s="12"/>
      <c r="C37" s="12" t="s">
        <v>1776</v>
      </c>
      <c r="D37" s="12" t="s">
        <v>1795</v>
      </c>
      <c r="E37" s="12">
        <v>0</v>
      </c>
    </row>
    <row r="38" spans="1:5" ht="13.2">
      <c r="A38" s="151" t="s">
        <v>1296</v>
      </c>
      <c r="B38" s="12"/>
      <c r="C38" s="12" t="s">
        <v>1773</v>
      </c>
      <c r="D38" s="12" t="s">
        <v>1795</v>
      </c>
      <c r="E38" s="12">
        <v>0</v>
      </c>
    </row>
    <row r="39" spans="1:5" ht="17.399999999999999">
      <c r="A39" s="218" t="s">
        <v>1318</v>
      </c>
      <c r="B39" s="12"/>
      <c r="C39" s="12" t="s">
        <v>1768</v>
      </c>
      <c r="D39" s="12" t="s">
        <v>1795</v>
      </c>
      <c r="E39" s="12">
        <v>0</v>
      </c>
    </row>
    <row r="40" spans="1:5" ht="13.2">
      <c r="A40" s="223" t="s">
        <v>1496</v>
      </c>
      <c r="B40" s="12"/>
      <c r="C40" s="164" t="s">
        <v>1773</v>
      </c>
      <c r="D40" s="12" t="s">
        <v>1795</v>
      </c>
      <c r="E40" s="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32"/>
  <sheetViews>
    <sheetView tabSelected="1" topLeftCell="G13" workbookViewId="0">
      <selection activeCell="Q28" sqref="Q28"/>
    </sheetView>
  </sheetViews>
  <sheetFormatPr defaultColWidth="12.6640625" defaultRowHeight="15.75" customHeight="1"/>
  <cols>
    <col min="1" max="1" width="13.33203125" bestFit="1" customWidth="1"/>
    <col min="2" max="2" width="12.44140625" customWidth="1"/>
    <col min="3" max="3" width="6.77734375" customWidth="1"/>
    <col min="4" max="4" width="9.88671875" customWidth="1"/>
    <col min="5" max="5" width="17.21875" customWidth="1"/>
    <col min="6" max="6" width="16.44140625" customWidth="1"/>
    <col min="7" max="7" width="10.109375" customWidth="1"/>
    <col min="8" max="8" width="18.21875" customWidth="1"/>
    <col min="9" max="9" width="17.44140625" customWidth="1"/>
    <col min="10" max="10" width="9.77734375" customWidth="1"/>
    <col min="11" max="11" width="17.77734375" customWidth="1"/>
    <col min="12" max="12" width="16.33203125" customWidth="1"/>
    <col min="13" max="13" width="10.88671875" customWidth="1"/>
    <col min="14" max="14" width="18.33203125" customWidth="1"/>
    <col min="15" max="15" width="17.44140625" customWidth="1"/>
    <col min="16" max="16" width="5.33203125" customWidth="1"/>
    <col min="17" max="17" width="14.44140625" customWidth="1"/>
    <col min="18" max="18" width="44.21875" customWidth="1"/>
    <col min="19" max="19" width="9.6640625" customWidth="1"/>
    <col min="20" max="20" width="80.33203125" customWidth="1"/>
  </cols>
  <sheetData>
    <row r="1" spans="1:20" ht="27" thickBot="1">
      <c r="A1" s="244" t="s">
        <v>1779</v>
      </c>
      <c r="B1" s="245" t="s">
        <v>1796</v>
      </c>
      <c r="C1" s="245" t="s">
        <v>1797</v>
      </c>
      <c r="D1" s="246" t="s">
        <v>1782</v>
      </c>
      <c r="E1" s="246" t="s">
        <v>1783</v>
      </c>
      <c r="F1" s="246" t="s">
        <v>1784</v>
      </c>
      <c r="G1" s="247" t="s">
        <v>1785</v>
      </c>
      <c r="H1" s="247" t="s">
        <v>1786</v>
      </c>
      <c r="I1" s="247" t="s">
        <v>1787</v>
      </c>
      <c r="J1" s="248" t="s">
        <v>1788</v>
      </c>
      <c r="K1" s="248" t="s">
        <v>1789</v>
      </c>
      <c r="L1" s="248" t="s">
        <v>1790</v>
      </c>
      <c r="M1" s="249" t="s">
        <v>1791</v>
      </c>
      <c r="N1" s="249" t="s">
        <v>1792</v>
      </c>
      <c r="O1" s="249" t="s">
        <v>1793</v>
      </c>
      <c r="Q1" s="12" t="s">
        <v>1798</v>
      </c>
      <c r="S1" s="12" t="s">
        <v>1799</v>
      </c>
    </row>
    <row r="2" spans="1:20" ht="13.8" thickBot="1">
      <c r="A2" s="250" t="s">
        <v>1768</v>
      </c>
      <c r="B2" s="251">
        <v>0</v>
      </c>
      <c r="C2" s="252">
        <v>0.4</v>
      </c>
      <c r="D2" s="253">
        <v>2</v>
      </c>
      <c r="E2" s="253">
        <v>14</v>
      </c>
      <c r="F2" s="253">
        <v>25</v>
      </c>
      <c r="G2" s="254">
        <v>3</v>
      </c>
      <c r="H2" s="254">
        <v>18</v>
      </c>
      <c r="I2" s="254">
        <v>32</v>
      </c>
      <c r="J2" s="255">
        <v>3</v>
      </c>
      <c r="K2" s="255">
        <v>16</v>
      </c>
      <c r="L2" s="255">
        <v>28</v>
      </c>
      <c r="M2" s="256">
        <v>2</v>
      </c>
      <c r="N2" s="256">
        <v>12</v>
      </c>
      <c r="O2" s="256">
        <v>21</v>
      </c>
      <c r="P2" s="12" t="s">
        <v>1800</v>
      </c>
      <c r="Q2" s="12" t="s">
        <v>1801</v>
      </c>
      <c r="S2" s="12" t="s">
        <v>1801</v>
      </c>
    </row>
    <row r="3" spans="1:20" ht="53.4" thickBot="1">
      <c r="A3" s="250" t="s">
        <v>1768</v>
      </c>
      <c r="B3" s="251">
        <v>4</v>
      </c>
      <c r="C3" s="252">
        <v>0.35</v>
      </c>
      <c r="D3" s="253">
        <v>3</v>
      </c>
      <c r="E3" s="253">
        <v>23</v>
      </c>
      <c r="F3" s="253">
        <v>42</v>
      </c>
      <c r="G3" s="254">
        <v>4</v>
      </c>
      <c r="H3" s="254">
        <v>30</v>
      </c>
      <c r="I3" s="254">
        <v>54</v>
      </c>
      <c r="J3" s="255">
        <v>4</v>
      </c>
      <c r="K3" s="255">
        <v>27</v>
      </c>
      <c r="L3" s="255">
        <v>48</v>
      </c>
      <c r="M3" s="256">
        <v>3</v>
      </c>
      <c r="N3" s="256">
        <v>20</v>
      </c>
      <c r="O3" s="256">
        <v>36</v>
      </c>
      <c r="Q3" s="12" t="s">
        <v>1802</v>
      </c>
      <c r="R3" s="238" t="s">
        <v>1803</v>
      </c>
      <c r="S3" s="12" t="s">
        <v>1802</v>
      </c>
      <c r="T3" s="12" t="s">
        <v>1804</v>
      </c>
    </row>
    <row r="4" spans="1:20" ht="13.8" thickBot="1">
      <c r="A4" s="250" t="s">
        <v>1768</v>
      </c>
      <c r="B4" s="251">
        <v>10</v>
      </c>
      <c r="C4" s="252">
        <v>0.27</v>
      </c>
      <c r="D4" s="253">
        <v>4</v>
      </c>
      <c r="E4" s="253">
        <v>31</v>
      </c>
      <c r="F4" s="253">
        <v>56</v>
      </c>
      <c r="G4" s="254">
        <v>6</v>
      </c>
      <c r="H4" s="254">
        <v>40</v>
      </c>
      <c r="I4" s="254">
        <v>72</v>
      </c>
      <c r="J4" s="255">
        <v>5</v>
      </c>
      <c r="K4" s="255">
        <v>36</v>
      </c>
      <c r="L4" s="255">
        <v>64</v>
      </c>
      <c r="M4" s="256">
        <v>4</v>
      </c>
      <c r="N4" s="256">
        <v>27</v>
      </c>
      <c r="O4" s="256">
        <v>48</v>
      </c>
      <c r="Q4" s="12" t="s">
        <v>1805</v>
      </c>
      <c r="R4" s="12" t="s">
        <v>1806</v>
      </c>
      <c r="S4" s="12" t="s">
        <v>1807</v>
      </c>
      <c r="T4" s="12" t="s">
        <v>1808</v>
      </c>
    </row>
    <row r="5" spans="1:20" ht="13.8" thickBot="1">
      <c r="A5" s="250" t="s">
        <v>1768</v>
      </c>
      <c r="B5" s="251">
        <v>16</v>
      </c>
      <c r="C5" s="252">
        <v>0.22</v>
      </c>
      <c r="D5" s="253">
        <v>5</v>
      </c>
      <c r="E5" s="253">
        <v>39</v>
      </c>
      <c r="F5" s="253">
        <v>70</v>
      </c>
      <c r="G5" s="254">
        <v>7</v>
      </c>
      <c r="H5" s="254">
        <v>50</v>
      </c>
      <c r="I5" s="254">
        <v>90</v>
      </c>
      <c r="J5" s="255">
        <v>6</v>
      </c>
      <c r="K5" s="255">
        <v>44</v>
      </c>
      <c r="L5" s="255">
        <v>80</v>
      </c>
      <c r="M5" s="256">
        <v>5</v>
      </c>
      <c r="N5" s="256">
        <v>33</v>
      </c>
      <c r="O5" s="256">
        <v>60</v>
      </c>
    </row>
    <row r="6" spans="1:20" ht="13.8" thickBot="1">
      <c r="A6" s="250" t="s">
        <v>1768</v>
      </c>
      <c r="B6" s="251">
        <v>35</v>
      </c>
      <c r="C6" s="252">
        <v>0.18</v>
      </c>
      <c r="D6" s="253">
        <v>7</v>
      </c>
      <c r="E6" s="253">
        <v>47</v>
      </c>
      <c r="F6" s="253">
        <v>84</v>
      </c>
      <c r="G6" s="254">
        <v>9</v>
      </c>
      <c r="H6" s="254">
        <v>60</v>
      </c>
      <c r="I6" s="254">
        <v>108</v>
      </c>
      <c r="J6" s="255">
        <v>8</v>
      </c>
      <c r="K6" s="255">
        <v>53</v>
      </c>
      <c r="L6" s="255">
        <v>96</v>
      </c>
      <c r="M6" s="256">
        <v>6</v>
      </c>
      <c r="N6" s="256">
        <v>40</v>
      </c>
      <c r="O6" s="256">
        <v>72</v>
      </c>
    </row>
    <row r="7" spans="1:20" ht="13.8" thickBot="1">
      <c r="A7" s="250" t="s">
        <v>1768</v>
      </c>
      <c r="B7" s="251">
        <v>50</v>
      </c>
      <c r="C7" s="252">
        <v>0.1</v>
      </c>
      <c r="D7" s="253">
        <v>8</v>
      </c>
      <c r="E7" s="253">
        <v>58</v>
      </c>
      <c r="F7" s="253">
        <v>105</v>
      </c>
      <c r="G7" s="254">
        <v>11</v>
      </c>
      <c r="H7" s="254">
        <v>75</v>
      </c>
      <c r="I7" s="254">
        <v>135</v>
      </c>
      <c r="J7" s="255">
        <v>10</v>
      </c>
      <c r="K7" s="255">
        <v>67</v>
      </c>
      <c r="L7" s="255">
        <v>120</v>
      </c>
      <c r="M7" s="256">
        <v>7</v>
      </c>
      <c r="N7" s="256">
        <v>50</v>
      </c>
      <c r="O7" s="256">
        <v>90</v>
      </c>
    </row>
    <row r="8" spans="1:20" ht="15.75" customHeight="1" thickBot="1">
      <c r="A8" s="250" t="s">
        <v>1769</v>
      </c>
      <c r="B8" s="251">
        <v>0</v>
      </c>
      <c r="C8" s="252">
        <v>0.4</v>
      </c>
      <c r="D8" s="253">
        <v>1</v>
      </c>
      <c r="E8" s="253">
        <v>12</v>
      </c>
      <c r="F8" s="253">
        <v>23</v>
      </c>
      <c r="G8" s="254">
        <v>2</v>
      </c>
      <c r="H8" s="254">
        <v>15</v>
      </c>
      <c r="I8" s="254">
        <v>29</v>
      </c>
      <c r="J8" s="255">
        <v>2</v>
      </c>
      <c r="K8" s="255">
        <v>13</v>
      </c>
      <c r="L8" s="255">
        <v>26</v>
      </c>
      <c r="M8" s="256">
        <v>1</v>
      </c>
      <c r="N8" s="256">
        <v>10</v>
      </c>
      <c r="O8" s="256">
        <v>19</v>
      </c>
    </row>
    <row r="9" spans="1:20" ht="15.75" customHeight="1" thickBot="1">
      <c r="A9" s="250" t="s">
        <v>1769</v>
      </c>
      <c r="B9" s="251">
        <v>4</v>
      </c>
      <c r="C9" s="252">
        <v>0.35</v>
      </c>
      <c r="D9" s="253">
        <v>2</v>
      </c>
      <c r="E9" s="253">
        <v>16</v>
      </c>
      <c r="F9" s="253">
        <v>30</v>
      </c>
      <c r="G9" s="254">
        <v>3</v>
      </c>
      <c r="H9" s="254">
        <v>20</v>
      </c>
      <c r="I9" s="254">
        <v>38</v>
      </c>
      <c r="J9" s="255">
        <v>3</v>
      </c>
      <c r="K9" s="255">
        <v>18</v>
      </c>
      <c r="L9" s="255">
        <v>34</v>
      </c>
      <c r="M9" s="256">
        <v>2</v>
      </c>
      <c r="N9" s="256">
        <v>13</v>
      </c>
      <c r="O9" s="256">
        <v>25</v>
      </c>
    </row>
    <row r="10" spans="1:20" ht="15.75" customHeight="1" thickBot="1">
      <c r="A10" s="250" t="s">
        <v>1769</v>
      </c>
      <c r="B10" s="251">
        <v>10</v>
      </c>
      <c r="C10" s="252">
        <v>0.27</v>
      </c>
      <c r="D10" s="253">
        <v>3</v>
      </c>
      <c r="E10" s="253">
        <v>23</v>
      </c>
      <c r="F10" s="253">
        <v>40</v>
      </c>
      <c r="G10" s="254">
        <v>4</v>
      </c>
      <c r="H10" s="254">
        <v>30</v>
      </c>
      <c r="I10" s="254">
        <v>52</v>
      </c>
      <c r="J10" s="255">
        <v>4</v>
      </c>
      <c r="K10" s="255">
        <v>27</v>
      </c>
      <c r="L10" s="255">
        <v>46</v>
      </c>
      <c r="M10" s="256">
        <v>3</v>
      </c>
      <c r="N10" s="256">
        <v>20</v>
      </c>
      <c r="O10" s="256">
        <v>35</v>
      </c>
    </row>
    <row r="11" spans="1:20" ht="15.75" customHeight="1" thickBot="1">
      <c r="A11" s="250" t="s">
        <v>1769</v>
      </c>
      <c r="B11" s="251">
        <v>16</v>
      </c>
      <c r="C11" s="252">
        <v>0.22</v>
      </c>
      <c r="D11" s="253">
        <v>4</v>
      </c>
      <c r="E11" s="253">
        <v>31</v>
      </c>
      <c r="F11" s="253">
        <v>51</v>
      </c>
      <c r="G11" s="254">
        <v>6</v>
      </c>
      <c r="H11" s="254">
        <v>40</v>
      </c>
      <c r="I11" s="254">
        <v>65</v>
      </c>
      <c r="J11" s="255">
        <v>5</v>
      </c>
      <c r="K11" s="255">
        <v>36</v>
      </c>
      <c r="L11" s="255">
        <v>58</v>
      </c>
      <c r="M11" s="256">
        <v>4</v>
      </c>
      <c r="N11" s="256">
        <v>27</v>
      </c>
      <c r="O11" s="256">
        <v>43</v>
      </c>
    </row>
    <row r="12" spans="1:20" ht="15.75" customHeight="1" thickBot="1">
      <c r="A12" s="250" t="s">
        <v>1769</v>
      </c>
      <c r="B12" s="251">
        <v>35</v>
      </c>
      <c r="C12" s="252">
        <v>0.18</v>
      </c>
      <c r="D12" s="253">
        <v>6</v>
      </c>
      <c r="E12" s="253">
        <v>39</v>
      </c>
      <c r="F12" s="253">
        <v>70</v>
      </c>
      <c r="G12" s="254">
        <v>7</v>
      </c>
      <c r="H12" s="254">
        <v>50</v>
      </c>
      <c r="I12" s="254">
        <v>90</v>
      </c>
      <c r="J12" s="255">
        <v>6</v>
      </c>
      <c r="K12" s="255">
        <v>44</v>
      </c>
      <c r="L12" s="255">
        <v>80</v>
      </c>
      <c r="M12" s="256">
        <v>5</v>
      </c>
      <c r="N12" s="256">
        <v>33</v>
      </c>
      <c r="O12" s="256">
        <v>60</v>
      </c>
    </row>
    <row r="13" spans="1:20" ht="15.75" customHeight="1" thickBot="1">
      <c r="A13" s="250" t="s">
        <v>1769</v>
      </c>
      <c r="B13" s="251">
        <v>50</v>
      </c>
      <c r="C13" s="252">
        <v>0.1</v>
      </c>
      <c r="D13" s="253">
        <v>7</v>
      </c>
      <c r="E13" s="253">
        <v>47</v>
      </c>
      <c r="F13" s="253">
        <v>84</v>
      </c>
      <c r="G13" s="254">
        <v>9</v>
      </c>
      <c r="H13" s="254">
        <v>60</v>
      </c>
      <c r="I13" s="254">
        <v>108</v>
      </c>
      <c r="J13" s="255">
        <v>8</v>
      </c>
      <c r="K13" s="255">
        <v>53</v>
      </c>
      <c r="L13" s="255">
        <v>96</v>
      </c>
      <c r="M13" s="256">
        <v>6</v>
      </c>
      <c r="N13" s="256">
        <v>40</v>
      </c>
      <c r="O13" s="256">
        <v>72</v>
      </c>
    </row>
    <row r="14" spans="1:20" ht="15.75" customHeight="1" thickBot="1">
      <c r="A14" s="250" t="s">
        <v>1776</v>
      </c>
      <c r="B14" s="251">
        <v>0</v>
      </c>
      <c r="C14" s="252">
        <v>0.4</v>
      </c>
      <c r="D14" s="253">
        <v>1</v>
      </c>
      <c r="E14" s="253">
        <v>12</v>
      </c>
      <c r="F14" s="253">
        <v>23</v>
      </c>
      <c r="G14" s="254">
        <v>2</v>
      </c>
      <c r="H14" s="254">
        <v>15</v>
      </c>
      <c r="I14" s="254">
        <v>30</v>
      </c>
      <c r="J14" s="255">
        <v>2</v>
      </c>
      <c r="K14" s="255">
        <v>13</v>
      </c>
      <c r="L14" s="255">
        <v>27</v>
      </c>
      <c r="M14" s="256">
        <v>1</v>
      </c>
      <c r="N14" s="256">
        <v>10</v>
      </c>
      <c r="O14" s="256">
        <v>19</v>
      </c>
    </row>
    <row r="15" spans="1:20" ht="15.75" customHeight="1" thickBot="1">
      <c r="A15" s="250" t="s">
        <v>1776</v>
      </c>
      <c r="B15" s="251">
        <v>4</v>
      </c>
      <c r="C15" s="252">
        <v>0.35</v>
      </c>
      <c r="D15" s="253">
        <v>2</v>
      </c>
      <c r="E15" s="253">
        <v>15</v>
      </c>
      <c r="F15" s="253">
        <v>30</v>
      </c>
      <c r="G15" s="254">
        <v>3</v>
      </c>
      <c r="H15" s="254">
        <v>19</v>
      </c>
      <c r="I15" s="254">
        <v>38</v>
      </c>
      <c r="J15" s="255">
        <v>3</v>
      </c>
      <c r="K15" s="255">
        <v>17</v>
      </c>
      <c r="L15" s="255">
        <v>34</v>
      </c>
      <c r="M15" s="256">
        <v>2</v>
      </c>
      <c r="N15" s="256">
        <v>13</v>
      </c>
      <c r="O15" s="256">
        <v>25</v>
      </c>
    </row>
    <row r="16" spans="1:20" ht="15.75" customHeight="1" thickBot="1">
      <c r="A16" s="250" t="s">
        <v>1776</v>
      </c>
      <c r="B16" s="251">
        <v>10</v>
      </c>
      <c r="C16" s="252">
        <v>0.27</v>
      </c>
      <c r="D16" s="253">
        <v>3</v>
      </c>
      <c r="E16" s="253">
        <v>23</v>
      </c>
      <c r="F16" s="253">
        <v>37</v>
      </c>
      <c r="G16" s="254">
        <v>4</v>
      </c>
      <c r="H16" s="254">
        <v>30</v>
      </c>
      <c r="I16" s="254">
        <v>48</v>
      </c>
      <c r="J16" s="255">
        <v>4</v>
      </c>
      <c r="K16" s="255">
        <v>27</v>
      </c>
      <c r="L16" s="255">
        <v>43</v>
      </c>
      <c r="M16" s="256">
        <v>3</v>
      </c>
      <c r="N16" s="256">
        <v>20</v>
      </c>
      <c r="O16" s="256">
        <v>32</v>
      </c>
    </row>
    <row r="17" spans="1:15" ht="15.75" customHeight="1" thickBot="1">
      <c r="A17" s="250" t="s">
        <v>1776</v>
      </c>
      <c r="B17" s="251">
        <v>16</v>
      </c>
      <c r="C17" s="252">
        <v>0.22</v>
      </c>
      <c r="D17" s="253">
        <v>4</v>
      </c>
      <c r="E17" s="253">
        <v>31</v>
      </c>
      <c r="F17" s="253">
        <v>48</v>
      </c>
      <c r="G17" s="254">
        <v>6</v>
      </c>
      <c r="H17" s="254">
        <v>40</v>
      </c>
      <c r="I17" s="254">
        <v>62</v>
      </c>
      <c r="J17" s="255">
        <v>5</v>
      </c>
      <c r="K17" s="255">
        <v>36</v>
      </c>
      <c r="L17" s="255">
        <v>55</v>
      </c>
      <c r="M17" s="256">
        <v>4</v>
      </c>
      <c r="N17" s="256">
        <v>27</v>
      </c>
      <c r="O17" s="256">
        <v>41</v>
      </c>
    </row>
    <row r="18" spans="1:15" ht="15.75" customHeight="1" thickBot="1">
      <c r="A18" s="250" t="s">
        <v>1776</v>
      </c>
      <c r="B18" s="251">
        <v>35</v>
      </c>
      <c r="C18" s="252">
        <v>0.18</v>
      </c>
      <c r="D18" s="253">
        <v>6</v>
      </c>
      <c r="E18" s="253">
        <v>39</v>
      </c>
      <c r="F18" s="253">
        <v>68</v>
      </c>
      <c r="G18" s="254">
        <v>7</v>
      </c>
      <c r="H18" s="254">
        <v>50</v>
      </c>
      <c r="I18" s="254">
        <v>87</v>
      </c>
      <c r="J18" s="255">
        <v>6</v>
      </c>
      <c r="K18" s="255">
        <v>44</v>
      </c>
      <c r="L18" s="255">
        <v>77</v>
      </c>
      <c r="M18" s="256">
        <v>5</v>
      </c>
      <c r="N18" s="256">
        <v>33</v>
      </c>
      <c r="O18" s="256">
        <v>58</v>
      </c>
    </row>
    <row r="19" spans="1:15" ht="15.75" customHeight="1" thickBot="1">
      <c r="A19" s="250" t="s">
        <v>1776</v>
      </c>
      <c r="B19" s="251">
        <v>50</v>
      </c>
      <c r="C19" s="252">
        <v>0.1</v>
      </c>
      <c r="D19" s="253">
        <v>7</v>
      </c>
      <c r="E19" s="253">
        <v>47</v>
      </c>
      <c r="F19" s="253">
        <v>84</v>
      </c>
      <c r="G19" s="254">
        <v>9</v>
      </c>
      <c r="H19" s="254">
        <v>60</v>
      </c>
      <c r="I19" s="254">
        <v>108</v>
      </c>
      <c r="J19" s="255">
        <v>8</v>
      </c>
      <c r="K19" s="255">
        <v>53</v>
      </c>
      <c r="L19" s="255">
        <v>96</v>
      </c>
      <c r="M19" s="256">
        <v>6</v>
      </c>
      <c r="N19" s="256">
        <v>40</v>
      </c>
      <c r="O19" s="256">
        <v>72</v>
      </c>
    </row>
    <row r="20" spans="1:15" ht="15.75" customHeight="1" thickBot="1">
      <c r="A20" s="250" t="s">
        <v>1770</v>
      </c>
      <c r="B20" s="251">
        <v>0</v>
      </c>
      <c r="C20" s="252">
        <v>0.4</v>
      </c>
      <c r="D20" s="253">
        <v>1</v>
      </c>
      <c r="E20" s="253">
        <v>12</v>
      </c>
      <c r="F20" s="253">
        <v>19</v>
      </c>
      <c r="G20" s="254">
        <v>2</v>
      </c>
      <c r="H20" s="254">
        <v>15</v>
      </c>
      <c r="I20" s="254">
        <v>24</v>
      </c>
      <c r="J20" s="255">
        <v>2</v>
      </c>
      <c r="K20" s="255">
        <v>13</v>
      </c>
      <c r="L20" s="255">
        <v>21</v>
      </c>
      <c r="M20" s="256">
        <v>1</v>
      </c>
      <c r="N20" s="256">
        <v>10</v>
      </c>
      <c r="O20" s="256">
        <v>16</v>
      </c>
    </row>
    <row r="21" spans="1:15" ht="15.75" customHeight="1" thickBot="1">
      <c r="A21" s="250" t="s">
        <v>1770</v>
      </c>
      <c r="B21" s="251">
        <v>4</v>
      </c>
      <c r="C21" s="252">
        <v>0.35</v>
      </c>
      <c r="D21" s="253">
        <v>2</v>
      </c>
      <c r="E21" s="253">
        <v>14</v>
      </c>
      <c r="F21" s="253">
        <v>23</v>
      </c>
      <c r="G21" s="254">
        <v>3</v>
      </c>
      <c r="H21" s="254">
        <v>18</v>
      </c>
      <c r="I21" s="254">
        <v>30</v>
      </c>
      <c r="J21" s="255">
        <v>3</v>
      </c>
      <c r="K21" s="255">
        <v>16</v>
      </c>
      <c r="L21" s="255">
        <v>27</v>
      </c>
      <c r="M21" s="256">
        <v>2</v>
      </c>
      <c r="N21" s="256">
        <v>12</v>
      </c>
      <c r="O21" s="256">
        <v>20</v>
      </c>
    </row>
    <row r="22" spans="1:15" ht="15.75" customHeight="1" thickBot="1">
      <c r="A22" s="250" t="s">
        <v>1770</v>
      </c>
      <c r="B22" s="251">
        <v>10</v>
      </c>
      <c r="C22" s="252">
        <v>0.27</v>
      </c>
      <c r="D22" s="253">
        <v>3</v>
      </c>
      <c r="E22" s="253">
        <v>23</v>
      </c>
      <c r="F22" s="253">
        <v>33</v>
      </c>
      <c r="G22" s="254">
        <v>4</v>
      </c>
      <c r="H22" s="254">
        <v>30</v>
      </c>
      <c r="I22" s="254">
        <v>42</v>
      </c>
      <c r="J22" s="255">
        <v>4</v>
      </c>
      <c r="K22" s="255">
        <v>27</v>
      </c>
      <c r="L22" s="255">
        <v>37</v>
      </c>
      <c r="M22" s="256">
        <v>3</v>
      </c>
      <c r="N22" s="256">
        <v>20</v>
      </c>
      <c r="O22" s="256">
        <v>28</v>
      </c>
    </row>
    <row r="23" spans="1:15" ht="15.75" customHeight="1" thickBot="1">
      <c r="A23" s="250" t="s">
        <v>1770</v>
      </c>
      <c r="B23" s="251">
        <v>16</v>
      </c>
      <c r="C23" s="252">
        <v>0.22</v>
      </c>
      <c r="D23" s="253">
        <v>4</v>
      </c>
      <c r="E23" s="253">
        <v>31</v>
      </c>
      <c r="F23" s="253">
        <v>40</v>
      </c>
      <c r="G23" s="254">
        <v>6</v>
      </c>
      <c r="H23" s="254">
        <v>40</v>
      </c>
      <c r="I23" s="254">
        <v>52</v>
      </c>
      <c r="J23" s="255">
        <v>5</v>
      </c>
      <c r="K23" s="255">
        <v>36</v>
      </c>
      <c r="L23" s="255">
        <v>46</v>
      </c>
      <c r="M23" s="256">
        <v>4</v>
      </c>
      <c r="N23" s="256">
        <v>27</v>
      </c>
      <c r="O23" s="256">
        <v>35</v>
      </c>
    </row>
    <row r="24" spans="1:15" ht="15.75" customHeight="1" thickBot="1">
      <c r="A24" s="250" t="s">
        <v>1770</v>
      </c>
      <c r="B24" s="251">
        <v>35</v>
      </c>
      <c r="C24" s="252">
        <v>0.18</v>
      </c>
      <c r="D24" s="253">
        <v>6</v>
      </c>
      <c r="E24" s="253">
        <v>39</v>
      </c>
      <c r="F24" s="253">
        <v>56</v>
      </c>
      <c r="G24" s="254">
        <v>7</v>
      </c>
      <c r="H24" s="254">
        <v>50</v>
      </c>
      <c r="I24" s="254">
        <v>72</v>
      </c>
      <c r="J24" s="255">
        <v>6</v>
      </c>
      <c r="K24" s="255">
        <v>44</v>
      </c>
      <c r="L24" s="255">
        <v>64</v>
      </c>
      <c r="M24" s="256">
        <v>5</v>
      </c>
      <c r="N24" s="256">
        <v>33</v>
      </c>
      <c r="O24" s="256">
        <v>48</v>
      </c>
    </row>
    <row r="25" spans="1:15" ht="15.75" customHeight="1" thickBot="1">
      <c r="A25" s="250" t="s">
        <v>1770</v>
      </c>
      <c r="B25" s="251">
        <v>50</v>
      </c>
      <c r="C25" s="252">
        <v>0.1</v>
      </c>
      <c r="D25" s="253">
        <v>7</v>
      </c>
      <c r="E25" s="253">
        <v>47</v>
      </c>
      <c r="F25" s="253">
        <v>67</v>
      </c>
      <c r="G25" s="254">
        <v>9</v>
      </c>
      <c r="H25" s="254">
        <v>60</v>
      </c>
      <c r="I25" s="254">
        <v>86</v>
      </c>
      <c r="J25" s="255">
        <v>8</v>
      </c>
      <c r="K25" s="255">
        <v>53</v>
      </c>
      <c r="L25" s="255">
        <v>76</v>
      </c>
      <c r="M25" s="256">
        <v>6</v>
      </c>
      <c r="N25" s="256">
        <v>40</v>
      </c>
      <c r="O25" s="256">
        <v>57</v>
      </c>
    </row>
    <row r="26" spans="1:15" ht="15.75" customHeight="1" thickBot="1">
      <c r="A26" s="250" t="s">
        <v>1771</v>
      </c>
      <c r="B26" s="251">
        <v>0</v>
      </c>
      <c r="C26" s="252">
        <v>0.4</v>
      </c>
      <c r="D26" s="253">
        <v>1</v>
      </c>
      <c r="E26" s="253">
        <v>12</v>
      </c>
      <c r="F26" s="253">
        <v>19</v>
      </c>
      <c r="G26" s="254">
        <v>2</v>
      </c>
      <c r="H26" s="254">
        <v>15</v>
      </c>
      <c r="I26" s="254">
        <v>24</v>
      </c>
      <c r="J26" s="255">
        <v>2</v>
      </c>
      <c r="K26" s="255">
        <v>13</v>
      </c>
      <c r="L26" s="255">
        <v>21</v>
      </c>
      <c r="M26" s="256">
        <v>1</v>
      </c>
      <c r="N26" s="256">
        <v>10</v>
      </c>
      <c r="O26" s="256">
        <v>16</v>
      </c>
    </row>
    <row r="27" spans="1:15" ht="15.75" customHeight="1" thickBot="1">
      <c r="A27" s="250" t="s">
        <v>1771</v>
      </c>
      <c r="B27" s="251">
        <v>4</v>
      </c>
      <c r="C27" s="252">
        <v>0.35</v>
      </c>
      <c r="D27" s="253">
        <v>2</v>
      </c>
      <c r="E27" s="253">
        <v>14</v>
      </c>
      <c r="F27" s="253">
        <v>23</v>
      </c>
      <c r="G27" s="254">
        <v>3</v>
      </c>
      <c r="H27" s="254">
        <v>18</v>
      </c>
      <c r="I27" s="254">
        <v>30</v>
      </c>
      <c r="J27" s="255">
        <v>3</v>
      </c>
      <c r="K27" s="255">
        <v>16</v>
      </c>
      <c r="L27" s="255">
        <v>27</v>
      </c>
      <c r="M27" s="256">
        <v>2</v>
      </c>
      <c r="N27" s="256">
        <v>12</v>
      </c>
      <c r="O27" s="256">
        <v>20</v>
      </c>
    </row>
    <row r="28" spans="1:15" ht="15.75" customHeight="1" thickBot="1">
      <c r="A28" s="250" t="s">
        <v>1771</v>
      </c>
      <c r="B28" s="251">
        <v>10</v>
      </c>
      <c r="C28" s="252">
        <v>0.27</v>
      </c>
      <c r="D28" s="253">
        <v>3</v>
      </c>
      <c r="E28" s="253">
        <v>22</v>
      </c>
      <c r="F28" s="253">
        <v>31</v>
      </c>
      <c r="G28" s="254">
        <v>4</v>
      </c>
      <c r="H28" s="254">
        <v>28</v>
      </c>
      <c r="I28" s="254">
        <v>40</v>
      </c>
      <c r="J28" s="255">
        <v>4</v>
      </c>
      <c r="K28" s="255">
        <v>25</v>
      </c>
      <c r="L28" s="255">
        <v>36</v>
      </c>
      <c r="M28" s="256">
        <v>3</v>
      </c>
      <c r="N28" s="256">
        <v>19</v>
      </c>
      <c r="O28" s="256">
        <v>27</v>
      </c>
    </row>
    <row r="29" spans="1:15" ht="15.75" customHeight="1" thickBot="1">
      <c r="A29" s="250" t="s">
        <v>1771</v>
      </c>
      <c r="B29" s="251">
        <v>16</v>
      </c>
      <c r="C29" s="252">
        <v>0.22</v>
      </c>
      <c r="D29" s="253">
        <v>4</v>
      </c>
      <c r="E29" s="253">
        <v>31</v>
      </c>
      <c r="F29" s="253">
        <v>40</v>
      </c>
      <c r="G29" s="254">
        <v>6</v>
      </c>
      <c r="H29" s="254">
        <v>40</v>
      </c>
      <c r="I29" s="254">
        <v>52</v>
      </c>
      <c r="J29" s="255">
        <v>5</v>
      </c>
      <c r="K29" s="255">
        <v>36</v>
      </c>
      <c r="L29" s="255">
        <v>46</v>
      </c>
      <c r="M29" s="256">
        <v>4</v>
      </c>
      <c r="N29" s="256">
        <v>27</v>
      </c>
      <c r="O29" s="256">
        <v>35</v>
      </c>
    </row>
    <row r="30" spans="1:15" ht="15.75" customHeight="1" thickBot="1">
      <c r="A30" s="250" t="s">
        <v>1771</v>
      </c>
      <c r="B30" s="251">
        <v>35</v>
      </c>
      <c r="C30" s="252">
        <v>0.18</v>
      </c>
      <c r="D30" s="253">
        <v>6</v>
      </c>
      <c r="E30" s="253">
        <v>39</v>
      </c>
      <c r="F30" s="253">
        <v>56</v>
      </c>
      <c r="G30" s="254">
        <v>7</v>
      </c>
      <c r="H30" s="254">
        <v>50</v>
      </c>
      <c r="I30" s="254">
        <v>72</v>
      </c>
      <c r="J30" s="255">
        <v>6</v>
      </c>
      <c r="K30" s="255">
        <v>44</v>
      </c>
      <c r="L30" s="255">
        <v>64</v>
      </c>
      <c r="M30" s="256">
        <v>5</v>
      </c>
      <c r="N30" s="256">
        <v>33</v>
      </c>
      <c r="O30" s="256">
        <v>48</v>
      </c>
    </row>
    <row r="31" spans="1:15" ht="15.75" customHeight="1" thickBot="1">
      <c r="A31" s="250" t="s">
        <v>1771</v>
      </c>
      <c r="B31" s="251">
        <v>50</v>
      </c>
      <c r="C31" s="252">
        <v>0.1</v>
      </c>
      <c r="D31" s="253">
        <v>7</v>
      </c>
      <c r="E31" s="253">
        <v>47</v>
      </c>
      <c r="F31" s="253">
        <v>64</v>
      </c>
      <c r="G31" s="254">
        <v>9</v>
      </c>
      <c r="H31" s="254">
        <v>60</v>
      </c>
      <c r="I31" s="254">
        <v>82</v>
      </c>
      <c r="J31" s="255">
        <v>8</v>
      </c>
      <c r="K31" s="255">
        <v>53</v>
      </c>
      <c r="L31" s="255">
        <v>73</v>
      </c>
      <c r="M31" s="256">
        <v>6</v>
      </c>
      <c r="N31" s="256">
        <v>40</v>
      </c>
      <c r="O31" s="256">
        <v>55</v>
      </c>
    </row>
    <row r="32" spans="1:15" ht="15.6" customHeight="1" thickBot="1">
      <c r="A32" s="250" t="s">
        <v>1834</v>
      </c>
      <c r="B32" s="251">
        <v>0</v>
      </c>
      <c r="C32" s="252">
        <v>0.75</v>
      </c>
      <c r="D32" s="253">
        <v>1</v>
      </c>
      <c r="E32" s="253" t="s">
        <v>1835</v>
      </c>
      <c r="F32" s="253" t="s">
        <v>1835</v>
      </c>
      <c r="G32" s="254">
        <v>2</v>
      </c>
      <c r="H32" s="254" t="s">
        <v>1835</v>
      </c>
      <c r="I32" s="254" t="s">
        <v>1835</v>
      </c>
      <c r="J32" s="255">
        <v>2</v>
      </c>
      <c r="K32" s="255" t="s">
        <v>1835</v>
      </c>
      <c r="L32" s="255" t="s">
        <v>1835</v>
      </c>
      <c r="M32" s="256">
        <v>1</v>
      </c>
      <c r="N32" s="256" t="s">
        <v>1835</v>
      </c>
      <c r="O32" s="257" t="s">
        <v>1835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5"/>
  <sheetViews>
    <sheetView workbookViewId="0">
      <selection activeCell="F11" sqref="F11"/>
    </sheetView>
  </sheetViews>
  <sheetFormatPr defaultColWidth="12.6640625" defaultRowHeight="15.75" customHeight="1"/>
  <cols>
    <col min="4" max="4" width="14.88671875" customWidth="1"/>
    <col min="5" max="5" width="18.6640625" customWidth="1"/>
    <col min="6" max="6" width="37.33203125" customWidth="1"/>
    <col min="11" max="11" width="27.77734375" customWidth="1"/>
    <col min="12" max="12" width="5.44140625" customWidth="1"/>
    <col min="13" max="13" width="6" customWidth="1"/>
    <col min="14" max="15" width="5.44140625" customWidth="1"/>
    <col min="16" max="16" width="33.77734375" customWidth="1"/>
  </cols>
  <sheetData>
    <row r="1" spans="1:16">
      <c r="A1" s="12" t="s">
        <v>1809</v>
      </c>
      <c r="B1" s="12" t="s">
        <v>1810</v>
      </c>
      <c r="C1" s="12" t="s">
        <v>1777</v>
      </c>
      <c r="D1" s="12" t="s">
        <v>1811</v>
      </c>
      <c r="E1" s="12" t="s">
        <v>1812</v>
      </c>
      <c r="F1" s="160" t="s">
        <v>1813</v>
      </c>
      <c r="G1" s="12" t="s">
        <v>1814</v>
      </c>
      <c r="H1" s="12" t="s">
        <v>1815</v>
      </c>
      <c r="I1" s="12" t="s">
        <v>1816</v>
      </c>
      <c r="J1" s="12" t="s">
        <v>1817</v>
      </c>
      <c r="K1" s="160" t="s">
        <v>1818</v>
      </c>
      <c r="L1" s="12" t="s">
        <v>1819</v>
      </c>
      <c r="M1" s="12" t="s">
        <v>1820</v>
      </c>
      <c r="N1" s="12" t="s">
        <v>1821</v>
      </c>
      <c r="O1" s="12" t="s">
        <v>1822</v>
      </c>
      <c r="P1" s="160" t="s">
        <v>1823</v>
      </c>
    </row>
    <row r="2" spans="1:16">
      <c r="C2" s="12" t="s">
        <v>1824</v>
      </c>
      <c r="D2" s="12">
        <v>2</v>
      </c>
      <c r="E2" s="12">
        <v>60</v>
      </c>
      <c r="F2" s="12" t="s">
        <v>1825</v>
      </c>
      <c r="G2" s="12">
        <v>1</v>
      </c>
      <c r="H2" s="12">
        <v>2</v>
      </c>
      <c r="I2" s="12">
        <v>2</v>
      </c>
      <c r="J2" s="12">
        <v>1</v>
      </c>
      <c r="K2" s="12" t="s">
        <v>1825</v>
      </c>
      <c r="L2" s="12">
        <v>20</v>
      </c>
      <c r="M2" s="12">
        <v>40</v>
      </c>
      <c r="N2" s="12">
        <v>40</v>
      </c>
      <c r="O2" s="12">
        <v>20</v>
      </c>
      <c r="P2" s="12" t="s">
        <v>1825</v>
      </c>
    </row>
    <row r="3" spans="1:16">
      <c r="F3" s="238" t="s">
        <v>1826</v>
      </c>
      <c r="K3" s="238" t="s">
        <v>1827</v>
      </c>
      <c r="P3" s="238" t="s">
        <v>1828</v>
      </c>
    </row>
    <row r="4" spans="1:16">
      <c r="F4" s="238" t="s">
        <v>1829</v>
      </c>
      <c r="K4" s="238" t="s">
        <v>1830</v>
      </c>
      <c r="P4" s="238" t="s">
        <v>1831</v>
      </c>
    </row>
    <row r="5" spans="1:16">
      <c r="F5" s="238" t="s">
        <v>1832</v>
      </c>
      <c r="P5" s="238" t="s">
        <v>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sheet</vt:lpstr>
      <vt:lpstr>DTF Mtrs tracking</vt:lpstr>
      <vt:lpstr>DTF PRO Printing Tracking</vt:lpstr>
      <vt:lpstr>Mapping Sheet</vt:lpstr>
      <vt:lpstr>Bundle_SKU_Mapping</vt:lpstr>
      <vt:lpstr>master_inventory</vt:lpstr>
      <vt:lpstr>inventory_lookup</vt:lpstr>
      <vt:lpstr>tier_rules</vt:lpstr>
      <vt:lpstr>roll_config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Pratik Chevli</cp:lastModifiedBy>
  <dcterms:created xsi:type="dcterms:W3CDTF">2026-08-09T12:58:10Z</dcterms:created>
  <dcterms:modified xsi:type="dcterms:W3CDTF">2026-08-09T18:38:16Z</dcterms:modified>
</cp:coreProperties>
</file>