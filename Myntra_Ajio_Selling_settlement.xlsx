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ntra" sheetId="1" r:id="rId5"/>
    <sheet state="visible" name="Master" sheetId="2" r:id="rId6"/>
    <sheet state="visible" name="MRP" sheetId="3" r:id="rId7"/>
    <sheet state="visible" name="forTP" sheetId="4" r:id="rId8"/>
    <sheet state="visible" name="Master_old" sheetId="5" r:id="rId9"/>
    <sheet state="visible" name="Ajio" sheetId="6" r:id="rId10"/>
  </sheets>
  <definedNames/>
  <calcPr/>
</workbook>
</file>

<file path=xl/sharedStrings.xml><?xml version="1.0" encoding="utf-8"?>
<sst xmlns="http://schemas.openxmlformats.org/spreadsheetml/2006/main" count="393" uniqueCount="250">
  <si>
    <t>Myntra Style Id</t>
  </si>
  <si>
    <t>Settlement</t>
  </si>
  <si>
    <t>Selling Value</t>
  </si>
  <si>
    <t>Style code</t>
  </si>
  <si>
    <t>Event settlement</t>
  </si>
  <si>
    <t>Event Selling Value</t>
  </si>
  <si>
    <t>Settlement Amount</t>
  </si>
  <si>
    <t>Settlement Diff</t>
  </si>
  <si>
    <t>Settlement Dis %</t>
  </si>
  <si>
    <t>SP Dis %</t>
  </si>
  <si>
    <t>quincy_level_tshirt</t>
  </si>
  <si>
    <t>Selling Value on Myntra</t>
  </si>
  <si>
    <t>Style ID</t>
  </si>
  <si>
    <t>Event Settlement</t>
  </si>
  <si>
    <t>Price</t>
  </si>
  <si>
    <t>Event Selling on Myntra</t>
  </si>
  <si>
    <t>MRP</t>
  </si>
  <si>
    <t>Discount % for Event</t>
  </si>
  <si>
    <t>styleId</t>
  </si>
  <si>
    <t>OS-Asta</t>
  </si>
  <si>
    <t>SKU</t>
  </si>
  <si>
    <t>non event TP</t>
  </si>
  <si>
    <t>event TP</t>
  </si>
  <si>
    <t>Myntra recommends</t>
  </si>
  <si>
    <t>per</t>
  </si>
  <si>
    <t>WH-OS-ZENITSU</t>
  </si>
  <si>
    <t>WHF-OS-GRIFFITH</t>
  </si>
  <si>
    <t>WH-OS-NAGI</t>
  </si>
  <si>
    <t>WHF-OS-FLIRTING</t>
  </si>
  <si>
    <t>WH-OS-GHOST</t>
  </si>
  <si>
    <t>ghostfreak_level_tshirt</t>
  </si>
  <si>
    <t>WH-OS-SAITAMA</t>
  </si>
  <si>
    <t>tsukuyomi_level_tshirt</t>
  </si>
  <si>
    <t>WHF-OS-MIKEY</t>
  </si>
  <si>
    <t>berserk_pattern_level_tshirt</t>
  </si>
  <si>
    <t>WHF-OS-CHAIN</t>
  </si>
  <si>
    <t>printed_acid_washed_tshirt</t>
  </si>
  <si>
    <t>WHF-OS-R.Blue</t>
  </si>
  <si>
    <t>WHF-OS-GAARA-SAND</t>
  </si>
  <si>
    <t>dtf_printed_normal_tshirt</t>
  </si>
  <si>
    <t>WHF-OS-TOJI</t>
  </si>
  <si>
    <t>plain_tshirt</t>
  </si>
  <si>
    <t>WHF-OS-ROYALITY</t>
  </si>
  <si>
    <t>WHF-OS-B.GREEN</t>
  </si>
  <si>
    <t>WHF-OS-GAARA-HAND-Black</t>
  </si>
  <si>
    <t>plain_hoodie</t>
  </si>
  <si>
    <t>WHF-OS-TAN</t>
  </si>
  <si>
    <t>WHF-OS-DEVIL-FIRE-FORCE</t>
  </si>
  <si>
    <t>dtf_printed_normal_hoodie</t>
  </si>
  <si>
    <t>WHF-OS-FOX-DEVIL</t>
  </si>
  <si>
    <t>WHF-OS-NARU-HINA</t>
  </si>
  <si>
    <t>WHF-OS-GOJO-FISH</t>
  </si>
  <si>
    <t>WHF-OS-YUTA</t>
  </si>
  <si>
    <t>WHF-OS-FREEDOM</t>
  </si>
  <si>
    <t>printed_acid_washed_hoodie</t>
  </si>
  <si>
    <t>WHF-OS-SUPREME-MENTALITY</t>
  </si>
  <si>
    <t>WHF-OS-MAHARASHTRA</t>
  </si>
  <si>
    <t>WHF-OS-ACE-WHITE</t>
  </si>
  <si>
    <t>WHF-OS-CHROLLO-BEIGE</t>
  </si>
  <si>
    <t>chainsawman_hoodie_level</t>
  </si>
  <si>
    <t>WHF-OS-GUJARAT</t>
  </si>
  <si>
    <t>WHF-OS-WHITE-CHESS-ICE</t>
  </si>
  <si>
    <t>WHF-OS-LEVI-Taupe</t>
  </si>
  <si>
    <t>black_grey_cargo</t>
  </si>
  <si>
    <t>WHF-OS-F1</t>
  </si>
  <si>
    <t>WHF-OS-MALIBU</t>
  </si>
  <si>
    <t>WHF-OS-LEVI-White</t>
  </si>
  <si>
    <t>WHF-OS-ALCOHOLIC</t>
  </si>
  <si>
    <t>printed_trackpants</t>
  </si>
  <si>
    <t>WHF-VIGILANTE</t>
  </si>
  <si>
    <t>WHF-OS-LIMITLESS</t>
  </si>
  <si>
    <t>WHF-OS-DIVINE-TOUCH</t>
  </si>
  <si>
    <t>WHF-OS-HOT-GF</t>
  </si>
  <si>
    <t>printed_shirt</t>
  </si>
  <si>
    <t>WHF-OS-GOJO-NAVY</t>
  </si>
  <si>
    <t>WHF-OS-RAJASTHAN</t>
  </si>
  <si>
    <t>WHF-OS-CHROLLO-GREY</t>
  </si>
  <si>
    <t>printed_shorts</t>
  </si>
  <si>
    <t>WHF-OS-ACID-Wash</t>
  </si>
  <si>
    <t>WHF-OS-GOLDEN-CAP</t>
  </si>
  <si>
    <t>WHF-OS-HIMALAYAS</t>
  </si>
  <si>
    <t>WHF-OS-Brown</t>
  </si>
  <si>
    <t>WHF-OS-CHERRY-BLOSSOM</t>
  </si>
  <si>
    <t>WHF-HO-SUKUNA-HOODIE</t>
  </si>
  <si>
    <t>WHF-OS-JIRAYA</t>
  </si>
  <si>
    <t>WHF-HO-GOJO-BLACK</t>
  </si>
  <si>
    <t>WHF-HO-GEAR-5-HOODIE</t>
  </si>
  <si>
    <t>WHF-HO-DYNAMIGHT</t>
  </si>
  <si>
    <t>WHF-OS-KAKASHI-WHITE</t>
  </si>
  <si>
    <t>WHF-HO-GOJO-FISH</t>
  </si>
  <si>
    <t>WHF-HO-BERSERK-HOODIE</t>
  </si>
  <si>
    <t>WHF-OS-GAARA-FIRE</t>
  </si>
  <si>
    <t>WHF-HO-BUNGEE-HOODIE</t>
  </si>
  <si>
    <t>WHF-HO-TANJIRO-BLACK-HOODIE</t>
  </si>
  <si>
    <t>WHF-OS-Grey</t>
  </si>
  <si>
    <t>WHF-HO-CHROLLO</t>
  </si>
  <si>
    <t>WHF-HO-TAN</t>
  </si>
  <si>
    <t>WHF-OS-ITACHI</t>
  </si>
  <si>
    <t>WHF-HO-NARU-HINA-HOODIE</t>
  </si>
  <si>
    <t>WHF-HO-BLACKDIVIDER</t>
  </si>
  <si>
    <t>WHF-OS-TOKYO</t>
  </si>
  <si>
    <t>OS-CACTUS</t>
  </si>
  <si>
    <t>OS-PORSCHE</t>
  </si>
  <si>
    <t>WHF-OS-LEVI-ACKR-WLL</t>
  </si>
  <si>
    <t>OS-EAGLE</t>
  </si>
  <si>
    <t>OS-TRAVIS</t>
  </si>
  <si>
    <t>WHF-OS-TIGER-TWIN-CREAM</t>
  </si>
  <si>
    <t>WHF-OS-Black</t>
  </si>
  <si>
    <t>WHF-OS-TIGER-TWIN-ICEBLUE</t>
  </si>
  <si>
    <t>WHF-OS-FLYING-TIGER</t>
  </si>
  <si>
    <t>WHF-OS-KAKASHI-TAUPE</t>
  </si>
  <si>
    <t>WHF-OS-WILDMIND-ICEBLUE</t>
  </si>
  <si>
    <t>WHF-OS-IMPOSTER-BLACK</t>
  </si>
  <si>
    <t>WHF-OS-GETO</t>
  </si>
  <si>
    <t>WHF-OS-MANTA</t>
  </si>
  <si>
    <t>WHF-OS-IMPOSTER-WHITE</t>
  </si>
  <si>
    <t>WHF-OS-SASUKE</t>
  </si>
  <si>
    <t>WHF-OS-WILDMIND-BROWN</t>
  </si>
  <si>
    <t>WHF-HO-LEVI</t>
  </si>
  <si>
    <t>WHF-HO-JOKER</t>
  </si>
  <si>
    <t>WHF-OS-CHAINSAWMAN</t>
  </si>
  <si>
    <t>WHF-HO-SAIYANS-PRIDE</t>
  </si>
  <si>
    <t>WHF-HO-PLAIN-OFF-WHITE</t>
  </si>
  <si>
    <t>WHF-OS-GOJO-BLACK</t>
  </si>
  <si>
    <t>WHF-HO-PLAIN-BLACK</t>
  </si>
  <si>
    <t>WHF-OS-HANAFUDA</t>
  </si>
  <si>
    <t>WHF-OS-CHOSO</t>
  </si>
  <si>
    <t>WHF-OS-THNDR</t>
  </si>
  <si>
    <t>WHF-OS-KOKUSHIBO</t>
  </si>
  <si>
    <t>WHF-HO-SASUKE</t>
  </si>
  <si>
    <t>WHF-OS-SUKUNA</t>
  </si>
  <si>
    <t>WHF-HO-CHAIN</t>
  </si>
  <si>
    <t>WHF-HO-BANKAI</t>
  </si>
  <si>
    <t>WHF-OS-GAARA-HAND-White</t>
  </si>
  <si>
    <t>WHF-HO-LILY</t>
  </si>
  <si>
    <t>WHF-HO-ACE-BLACK</t>
  </si>
  <si>
    <t>WHF-OS-TANJIRO-BLACK</t>
  </si>
  <si>
    <t>WHF-OS-GAROU</t>
  </si>
  <si>
    <t>WHF-OS-NANAMI</t>
  </si>
  <si>
    <t>WHF-OS-ARISE</t>
  </si>
  <si>
    <t>WHF-OS-BERSERK</t>
  </si>
  <si>
    <t>WHF-OS-AKAZA</t>
  </si>
  <si>
    <t>WHF-OS-WUKONG</t>
  </si>
  <si>
    <t>WHF-OS-NARUTOSTRT</t>
  </si>
  <si>
    <t>WHF-OS-TANJIRO-BROWN</t>
  </si>
  <si>
    <t>WHF-OS-ACE-BLACK</t>
  </si>
  <si>
    <t>WHF-OS-White</t>
  </si>
  <si>
    <t>WHF-OS-KIRA</t>
  </si>
  <si>
    <t>WHF-OS-EREN</t>
  </si>
  <si>
    <t>WHF-OS-GEAR5</t>
  </si>
  <si>
    <t>WHF-OS-BAKIHAMNA</t>
  </si>
  <si>
    <t>WHF-OS-NAVY</t>
  </si>
  <si>
    <t>WHF-OS-SHENRON</t>
  </si>
  <si>
    <t>WHF-OS-Cream</t>
  </si>
  <si>
    <t>WHF-OS-KILLUA</t>
  </si>
  <si>
    <t>WHF-OS-Sage-Green</t>
  </si>
  <si>
    <t>WHF-OS-PAIN</t>
  </si>
  <si>
    <t>WHF-OS-SUKUNAOLD</t>
  </si>
  <si>
    <t>WHF-OS-GAARA-HAND-Taupe</t>
  </si>
  <si>
    <t>WHF-OS-ALMIGHTY</t>
  </si>
  <si>
    <t>WHF-OS-BEIGE</t>
  </si>
  <si>
    <t>WHF-CARGO-BLACK</t>
  </si>
  <si>
    <t>WHF-CARGO-D.GREY</t>
  </si>
  <si>
    <t>WHF-OS-Blade</t>
  </si>
  <si>
    <t>WHF-HO-ASURA</t>
  </si>
  <si>
    <t>WHF-HO-KOKUSHIBO</t>
  </si>
  <si>
    <t>WHF-OS-Bungee</t>
  </si>
  <si>
    <t>WHF-OS-Leviathan</t>
  </si>
  <si>
    <t>WHF-OS-DANDADAN</t>
  </si>
  <si>
    <t>WHF-OS-DeathNote</t>
  </si>
  <si>
    <t>WHF-OS-Haikyuu-Black</t>
  </si>
  <si>
    <t>WHF-OS-Grimmjow</t>
  </si>
  <si>
    <t>WHF-OS-Mjolnir</t>
  </si>
  <si>
    <t>WHF-OS-JinWoo</t>
  </si>
  <si>
    <t>WHF-OS-Igris</t>
  </si>
  <si>
    <t>WHF-OS-Haikyuu-Cream</t>
  </si>
  <si>
    <t>WHF-OS-Isagi</t>
  </si>
  <si>
    <t>WHF-OS-ICE-BLUE</t>
  </si>
  <si>
    <t>WHF-OS-Velocity-Brown</t>
  </si>
  <si>
    <t>WHF-OS-TEAL</t>
  </si>
  <si>
    <t>WHF-OS-Vasto</t>
  </si>
  <si>
    <t>WHF-OS-Velocity-Sage-Green</t>
  </si>
  <si>
    <t>WHF-OS-BERU</t>
  </si>
  <si>
    <t>CUS PAY MORE</t>
  </si>
  <si>
    <t>Beru Level</t>
  </si>
  <si>
    <t>WHF-OS-CIFER</t>
  </si>
  <si>
    <t>Almighty level</t>
  </si>
  <si>
    <t>Normal</t>
  </si>
  <si>
    <t>Plain</t>
  </si>
  <si>
    <t xml:space="preserve">Normal Hoodie </t>
  </si>
  <si>
    <t>Plain Hoodie</t>
  </si>
  <si>
    <t>WHF-RF-BerserkPattern</t>
  </si>
  <si>
    <t>printed acidwashed level + Plain Acid washed</t>
  </si>
  <si>
    <t>WHF-OS-GOOD-GIRL</t>
  </si>
  <si>
    <t>Black and Grey Cargo</t>
  </si>
  <si>
    <t>WHF-OS-TEAL-CHESS-ICE</t>
  </si>
  <si>
    <t>WHF-HO-ALMIGHTY-HOODIE</t>
  </si>
  <si>
    <t>WHF-HO-AKAZA-HOODIE</t>
  </si>
  <si>
    <t>WHF-HO-JINWOO-HOODIE</t>
  </si>
  <si>
    <t>WHF-HO-ACID-WASH-HOODIE</t>
  </si>
  <si>
    <t>WHF-OS-BLOOD-SWORD</t>
  </si>
  <si>
    <t>WHF-OS-GREEN-CLOVER</t>
  </si>
  <si>
    <t>WHF-OS-KURTA</t>
  </si>
  <si>
    <t>WHF-OS-HAND-LOCKET</t>
  </si>
  <si>
    <t>WHF-OS-SKULL</t>
  </si>
  <si>
    <t>WHF-OS-SCARS-ON-BACK</t>
  </si>
  <si>
    <t>WHF-OS-SHUNSUI</t>
  </si>
  <si>
    <t>WHF-OS-WHITE-BEARD</t>
  </si>
  <si>
    <t>WHF-OS-EIGHT-BATCH</t>
  </si>
  <si>
    <t>WHF-OS-NO-ENEMIES</t>
  </si>
  <si>
    <t>WHF-OS-STRONGEST</t>
  </si>
  <si>
    <t>WHF-OS-KON</t>
  </si>
  <si>
    <t>WHF-OS-LONG-HAIR</t>
  </si>
  <si>
    <t>WHF-OS-BLACK-BULL</t>
  </si>
  <si>
    <t>WHF-OS-SIX-EYES</t>
  </si>
  <si>
    <t>WHF-OS-MY-MAGIC</t>
  </si>
  <si>
    <t>WHF-OS-GHOUL</t>
  </si>
  <si>
    <t>WHF-OS-TWO-GUNS</t>
  </si>
  <si>
    <t>WHF-OS-HAND-CLAP</t>
  </si>
  <si>
    <t>WHF-OS-DEATH</t>
  </si>
  <si>
    <t>WHF-PANT-FIREFORCE</t>
  </si>
  <si>
    <t>WHF-PANT-HEART</t>
  </si>
  <si>
    <t>WHF-PANT-SUKUNA</t>
  </si>
  <si>
    <t>WHF-PANT-BUNGEE</t>
  </si>
  <si>
    <t>WHF-PANT-BERSERK</t>
  </si>
  <si>
    <t>WHF-PANT-LILY</t>
  </si>
  <si>
    <t>WHF-PANT-SNAKE</t>
  </si>
  <si>
    <t>WHF-SHORTS-FREEDOM</t>
  </si>
  <si>
    <t>WHF-SHORTS-ZORO</t>
  </si>
  <si>
    <t>WHF-SHORTS-GOJO-CAT</t>
  </si>
  <si>
    <t>WHF-SHORTS-ACE-EMBLEM</t>
  </si>
  <si>
    <t>WHF-SHORTS-GEAR5</t>
  </si>
  <si>
    <t>WHF-SHORTS-MINIMALIST-SAGEGREEN</t>
  </si>
  <si>
    <t>WHF-SHORTS-MINIMALIST-BLACK</t>
  </si>
  <si>
    <t>WHF-SHORTS-MINIMALIST-NAVY</t>
  </si>
  <si>
    <t>WHF-OS-BLACK-CLOVER-SKULL</t>
  </si>
  <si>
    <t>WHF-OS-VINLAND-BROWN</t>
  </si>
  <si>
    <t>WHF-OS-KENPACHI</t>
  </si>
  <si>
    <t>WHF-OS-GACHIAKUTA</t>
  </si>
  <si>
    <t>WHF-OS-EVANGELION</t>
  </si>
  <si>
    <t>WHF-OS-LUFFY-BUBBLES</t>
  </si>
  <si>
    <t>WHF-OS-ACE-FLAME</t>
  </si>
  <si>
    <t>WHF-OS-RYUK-FRONT</t>
  </si>
  <si>
    <t>WHF-OS-NATSU</t>
  </si>
  <si>
    <t>WHF-OS-ESCANOR</t>
  </si>
  <si>
    <t>WHF-OS-VINLAND-TEAL</t>
  </si>
  <si>
    <t>WHF-OS-SPIDERMAN-RED</t>
  </si>
  <si>
    <t>WHF-OS-SPIDERMAN-BLACK</t>
  </si>
  <si>
    <t>WHF-OS-TSUKUYOMI</t>
  </si>
  <si>
    <t>WHF-OS-MOB-PSYCHO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</si>
</sst>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4" numFmtId="0" xfId="0" applyAlignment="1" applyFill="1" applyFont="1">
      <alignment horizontal="center" readingOrder="0" shrinkToFit="0" wrapText="1"/>
    </xf>
    <xf borderId="0" fillId="4" fontId="3" numFmtId="0" xfId="0" applyAlignment="1" applyFill="1" applyFont="1">
      <alignment readingOrder="0"/>
    </xf>
    <xf borderId="0" fillId="4" fontId="4" numFmtId="0" xfId="0" applyAlignment="1" applyFill="1" applyFont="1">
      <alignment horizontal="center" readingOrder="0" shrinkToFit="0" wrapText="1"/>
    </xf>
    <xf borderId="0" fillId="5" fontId="3" numFmtId="0" xfId="0" applyAlignment="1" applyFill="1" applyFont="1">
      <alignment readingOrder="0"/>
    </xf>
    <xf borderId="0" fillId="4" fontId="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right" readingOrder="0" shrinkToFit="0" vertical="bottom" wrapText="0"/>
    </xf>
    <xf borderId="0" fillId="4" fontId="4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4" fontId="1" numFmtId="0" xfId="0" applyAlignment="1" applyFill="1" applyFont="1">
      <alignment horizontal="right" readingOrder="0"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0" fontId="3" numFmtId="3" xfId="0" applyAlignment="1" applyFont="1" applyNumberFormat="1">
      <alignment readingOrder="0"/>
    </xf>
    <xf borderId="0" fillId="4" fontId="3" numFmtId="0" xfId="0" applyFill="1" applyFont="1"/>
    <xf borderId="0" fillId="6" fontId="3" numFmtId="0" xfId="0" applyFill="1" applyFont="1"/>
    <xf borderId="0" fillId="0" fontId="1" numFmtId="0" xfId="0" applyAlignment="1" applyFont="1">
      <alignment readingOrder="0" shrinkToFit="0" vertical="bottom" wrapText="1"/>
    </xf>
    <xf borderId="0" fillId="7" fontId="3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5"/>
    <col customWidth="1" min="3" max="3" width="26.25"/>
  </cols>
  <sheetData>
    <row r="1" ht="32.25" customHeight="1">
      <c r="A1" s="2" t="s">
        <v>0</v>
      </c>
      <c r="B1" s="4" t="s">
        <v>3</v>
      </c>
      <c r="C1" s="6" t="s">
        <v>6</v>
      </c>
      <c r="D1" s="7" t="s">
        <v>11</v>
      </c>
      <c r="E1" s="9" t="s">
        <v>13</v>
      </c>
      <c r="F1" s="9" t="s">
        <v>15</v>
      </c>
      <c r="G1" s="11" t="s">
        <v>16</v>
      </c>
      <c r="H1" s="13" t="s">
        <v>17</v>
      </c>
      <c r="I1" s="13" t="s">
        <v>17</v>
      </c>
    </row>
    <row r="2">
      <c r="A2" s="14">
        <v>3.3108032E7</v>
      </c>
      <c r="B2" s="15" t="s">
        <v>19</v>
      </c>
      <c r="C2" s="15">
        <v>868.0</v>
      </c>
      <c r="D2" s="5">
        <v>1149.0</v>
      </c>
      <c r="E2" s="17">
        <v>843.0</v>
      </c>
      <c r="F2" s="5">
        <v>1119.0</v>
      </c>
      <c r="G2" s="18">
        <v>1440.0</v>
      </c>
      <c r="H2" s="19">
        <v>15.277777777777779</v>
      </c>
      <c r="I2" s="19">
        <v>15.0</v>
      </c>
    </row>
    <row r="3">
      <c r="A3" s="14">
        <v>3.3517655E7</v>
      </c>
      <c r="B3" s="15" t="s">
        <v>25</v>
      </c>
      <c r="C3" s="15">
        <v>868.0</v>
      </c>
      <c r="D3" s="5">
        <v>1149.0</v>
      </c>
      <c r="E3" s="17">
        <v>843.0</v>
      </c>
      <c r="F3" s="5">
        <v>1119.0</v>
      </c>
      <c r="G3" s="18">
        <v>1440.0</v>
      </c>
      <c r="H3" s="19">
        <v>15.277777777777779</v>
      </c>
      <c r="I3" s="19">
        <v>15.0</v>
      </c>
    </row>
    <row r="4">
      <c r="A4" s="14">
        <v>3.3517703E7</v>
      </c>
      <c r="B4" s="15" t="s">
        <v>27</v>
      </c>
      <c r="C4" s="15">
        <v>824.0</v>
      </c>
      <c r="D4" s="17">
        <v>1097.0</v>
      </c>
      <c r="E4" s="17">
        <v>718.0</v>
      </c>
      <c r="F4" s="5">
        <v>997.0</v>
      </c>
      <c r="G4" s="18">
        <v>1109.0</v>
      </c>
      <c r="H4" s="19">
        <v>17.583408476104598</v>
      </c>
      <c r="I4" s="19">
        <v>18.0</v>
      </c>
    </row>
    <row r="5">
      <c r="A5" s="14">
        <v>3.3752853E7</v>
      </c>
      <c r="B5" s="15" t="s">
        <v>29</v>
      </c>
      <c r="C5" s="15">
        <v>824.0</v>
      </c>
      <c r="D5" s="17">
        <v>1097.0</v>
      </c>
      <c r="E5" s="17">
        <v>718.0</v>
      </c>
      <c r="F5" s="5">
        <v>997.0</v>
      </c>
      <c r="G5" s="18">
        <v>1440.0</v>
      </c>
      <c r="H5" s="19">
        <v>36.52777777777778</v>
      </c>
      <c r="I5" s="19">
        <v>37.0</v>
      </c>
    </row>
    <row r="6">
      <c r="A6" s="14">
        <v>3.3752859E7</v>
      </c>
      <c r="B6" s="15" t="s">
        <v>31</v>
      </c>
      <c r="C6" s="15">
        <v>824.0</v>
      </c>
      <c r="D6" s="17">
        <v>1097.0</v>
      </c>
      <c r="E6" s="17">
        <v>718.0</v>
      </c>
      <c r="F6" s="5">
        <v>997.0</v>
      </c>
      <c r="G6" s="18">
        <v>1109.0</v>
      </c>
      <c r="H6" s="19">
        <v>17.583408476104598</v>
      </c>
      <c r="I6" s="19">
        <v>18.0</v>
      </c>
    </row>
    <row r="7">
      <c r="A7" s="14">
        <v>3.4590196E7</v>
      </c>
      <c r="B7" s="15" t="s">
        <v>33</v>
      </c>
      <c r="C7" s="15">
        <v>824.0</v>
      </c>
      <c r="D7" s="17">
        <v>1097.0</v>
      </c>
      <c r="E7" s="17">
        <v>718.0</v>
      </c>
      <c r="F7" s="5">
        <v>997.0</v>
      </c>
      <c r="G7" s="18">
        <v>1570.0</v>
      </c>
      <c r="H7" s="19">
        <v>41.783439490445865</v>
      </c>
      <c r="I7" s="19">
        <v>42.0</v>
      </c>
    </row>
    <row r="8">
      <c r="A8" s="14">
        <v>3.4590197E7</v>
      </c>
      <c r="B8" s="15" t="s">
        <v>35</v>
      </c>
      <c r="C8" s="15">
        <v>824.0</v>
      </c>
      <c r="D8" s="17">
        <v>1097.0</v>
      </c>
      <c r="E8" s="17">
        <v>718.0</v>
      </c>
      <c r="F8" s="5">
        <v>997.0</v>
      </c>
      <c r="G8" s="18">
        <v>1700.0</v>
      </c>
      <c r="H8" s="19">
        <v>46.23529411764706</v>
      </c>
      <c r="I8" s="19">
        <v>46.0</v>
      </c>
    </row>
    <row r="9">
      <c r="A9" s="14">
        <v>3.45902E7</v>
      </c>
      <c r="B9" s="15" t="s">
        <v>37</v>
      </c>
      <c r="C9" s="15">
        <v>636.0</v>
      </c>
      <c r="D9" s="17">
        <v>898.0</v>
      </c>
      <c r="E9" s="17">
        <v>572.0</v>
      </c>
      <c r="F9" s="5">
        <v>822.0</v>
      </c>
      <c r="G9" s="18">
        <v>1285.0</v>
      </c>
      <c r="H9" s="19">
        <v>34.86381322957198</v>
      </c>
      <c r="I9" s="19">
        <v>35.0</v>
      </c>
    </row>
    <row r="10">
      <c r="A10" s="14">
        <v>3.4590202E7</v>
      </c>
      <c r="B10" s="15" t="s">
        <v>38</v>
      </c>
      <c r="C10" s="15">
        <v>824.0</v>
      </c>
      <c r="D10" s="17">
        <v>1097.0</v>
      </c>
      <c r="E10" s="17">
        <v>718.0</v>
      </c>
      <c r="F10" s="5">
        <v>997.0</v>
      </c>
      <c r="G10" s="18">
        <v>1150.0</v>
      </c>
      <c r="H10" s="19">
        <v>20.52173913043478</v>
      </c>
      <c r="I10" s="19">
        <v>21.0</v>
      </c>
    </row>
    <row r="11">
      <c r="A11" s="14">
        <v>3.4590205E7</v>
      </c>
      <c r="B11" s="15" t="s">
        <v>40</v>
      </c>
      <c r="C11" s="15">
        <v>824.0</v>
      </c>
      <c r="D11" s="17">
        <v>1097.0</v>
      </c>
      <c r="E11" s="17">
        <v>718.0</v>
      </c>
      <c r="F11" s="5">
        <v>997.0</v>
      </c>
      <c r="G11" s="18">
        <v>1570.0</v>
      </c>
      <c r="H11" s="19">
        <v>41.783439490445865</v>
      </c>
      <c r="I11" s="19">
        <v>42.0</v>
      </c>
    </row>
    <row r="12">
      <c r="A12" s="14">
        <v>3.4590206E7</v>
      </c>
      <c r="B12" s="15" t="s">
        <v>43</v>
      </c>
      <c r="C12" s="15">
        <v>636.0</v>
      </c>
      <c r="D12" s="17">
        <v>898.0</v>
      </c>
      <c r="E12" s="17">
        <v>572.0</v>
      </c>
      <c r="F12" s="5">
        <v>822.0</v>
      </c>
      <c r="G12" s="18">
        <v>1285.0</v>
      </c>
      <c r="H12" s="19">
        <v>34.86381322957198</v>
      </c>
      <c r="I12" s="19">
        <v>35.0</v>
      </c>
    </row>
    <row r="13">
      <c r="A13" s="14">
        <v>3.4590208E7</v>
      </c>
      <c r="B13" s="15" t="s">
        <v>44</v>
      </c>
      <c r="C13" s="15">
        <v>824.0</v>
      </c>
      <c r="D13" s="17">
        <v>1097.0</v>
      </c>
      <c r="E13" s="17">
        <v>718.0</v>
      </c>
      <c r="F13" s="5">
        <v>997.0</v>
      </c>
      <c r="G13" s="18">
        <v>1150.0</v>
      </c>
      <c r="H13" s="19">
        <v>20.52173913043478</v>
      </c>
      <c r="I13" s="19">
        <v>21.0</v>
      </c>
    </row>
    <row r="14">
      <c r="A14" s="14">
        <v>3.4590209E7</v>
      </c>
      <c r="B14" s="15" t="s">
        <v>46</v>
      </c>
      <c r="C14" s="15">
        <v>636.0</v>
      </c>
      <c r="D14" s="17">
        <v>898.0</v>
      </c>
      <c r="E14" s="17">
        <v>572.0</v>
      </c>
      <c r="F14" s="5">
        <v>822.0</v>
      </c>
      <c r="G14" s="18">
        <v>1285.0</v>
      </c>
      <c r="H14" s="19">
        <v>34.86381322957198</v>
      </c>
      <c r="I14" s="19">
        <v>35.0</v>
      </c>
    </row>
    <row r="15">
      <c r="A15" s="14">
        <v>3.4590211E7</v>
      </c>
      <c r="B15" s="15" t="s">
        <v>50</v>
      </c>
      <c r="C15" s="15">
        <v>824.0</v>
      </c>
      <c r="D15" s="17">
        <v>1097.0</v>
      </c>
      <c r="E15" s="17">
        <v>718.0</v>
      </c>
      <c r="F15" s="5">
        <v>997.0</v>
      </c>
      <c r="G15" s="18">
        <v>1570.0</v>
      </c>
      <c r="H15" s="19">
        <v>41.783439490445865</v>
      </c>
      <c r="I15" s="19">
        <v>42.0</v>
      </c>
    </row>
    <row r="16">
      <c r="A16" s="14">
        <v>3.4590212E7</v>
      </c>
      <c r="B16" s="15" t="s">
        <v>53</v>
      </c>
      <c r="C16" s="15">
        <v>868.0</v>
      </c>
      <c r="D16" s="5">
        <v>1149.0</v>
      </c>
      <c r="E16" s="17">
        <v>843.0</v>
      </c>
      <c r="F16" s="5">
        <v>1119.0</v>
      </c>
      <c r="G16" s="18">
        <v>1850.0</v>
      </c>
      <c r="H16" s="19">
        <v>34.054054054054056</v>
      </c>
      <c r="I16" s="19">
        <v>34.0</v>
      </c>
    </row>
    <row r="17">
      <c r="A17" s="14">
        <v>3.4590213E7</v>
      </c>
      <c r="B17" s="15" t="s">
        <v>57</v>
      </c>
      <c r="C17" s="15">
        <v>824.0</v>
      </c>
      <c r="D17" s="17">
        <v>1097.0</v>
      </c>
      <c r="E17" s="17">
        <v>718.0</v>
      </c>
      <c r="F17" s="5">
        <v>997.0</v>
      </c>
      <c r="G17" s="18">
        <v>1570.0</v>
      </c>
      <c r="H17" s="19">
        <v>41.783439490445865</v>
      </c>
      <c r="I17" s="19">
        <v>42.0</v>
      </c>
    </row>
    <row r="18">
      <c r="A18" s="14">
        <v>3.4590214E7</v>
      </c>
      <c r="B18" s="15" t="s">
        <v>62</v>
      </c>
      <c r="C18" s="15">
        <v>824.0</v>
      </c>
      <c r="D18" s="17">
        <v>1097.0</v>
      </c>
      <c r="E18" s="17">
        <v>718.0</v>
      </c>
      <c r="F18" s="5">
        <v>997.0</v>
      </c>
      <c r="G18" s="18">
        <v>1415.0</v>
      </c>
      <c r="H18" s="19">
        <v>35.406360424028264</v>
      </c>
      <c r="I18" s="19">
        <v>35.0</v>
      </c>
    </row>
    <row r="19">
      <c r="A19" s="14">
        <v>3.4590215E7</v>
      </c>
      <c r="B19" s="15" t="s">
        <v>66</v>
      </c>
      <c r="C19" s="15">
        <v>824.0</v>
      </c>
      <c r="D19" s="17">
        <v>1097.0</v>
      </c>
      <c r="E19" s="17">
        <v>718.0</v>
      </c>
      <c r="F19" s="5">
        <v>997.0</v>
      </c>
      <c r="G19" s="18">
        <v>1415.0</v>
      </c>
      <c r="H19" s="19">
        <v>35.406360424028264</v>
      </c>
      <c r="I19" s="19">
        <v>35.0</v>
      </c>
    </row>
    <row r="20">
      <c r="A20" s="14">
        <v>3.4590216E7</v>
      </c>
      <c r="B20" s="15" t="s">
        <v>70</v>
      </c>
      <c r="C20" s="15">
        <v>824.0</v>
      </c>
      <c r="D20" s="17">
        <v>1097.0</v>
      </c>
      <c r="E20" s="17">
        <v>718.0</v>
      </c>
      <c r="F20" s="5">
        <v>997.0</v>
      </c>
      <c r="G20" s="18">
        <v>1710.0</v>
      </c>
      <c r="H20" s="19">
        <v>46.54970760233918</v>
      </c>
      <c r="I20" s="19">
        <v>47.0</v>
      </c>
    </row>
    <row r="21">
      <c r="A21" s="14">
        <v>3.4590217E7</v>
      </c>
      <c r="B21" s="15" t="s">
        <v>74</v>
      </c>
      <c r="C21" s="15">
        <v>824.0</v>
      </c>
      <c r="D21" s="17">
        <v>1097.0</v>
      </c>
      <c r="E21" s="17">
        <v>718.0</v>
      </c>
      <c r="F21" s="5">
        <v>997.0</v>
      </c>
      <c r="G21" s="18">
        <v>1570.0</v>
      </c>
      <c r="H21" s="19">
        <v>41.783439490445865</v>
      </c>
      <c r="I21" s="19">
        <v>42.0</v>
      </c>
    </row>
    <row r="22">
      <c r="A22" s="14">
        <v>3.4590218E7</v>
      </c>
      <c r="B22" s="15" t="s">
        <v>78</v>
      </c>
      <c r="C22" s="15">
        <v>868.0</v>
      </c>
      <c r="D22" s="5">
        <v>1149.0</v>
      </c>
      <c r="E22" s="17">
        <v>843.0</v>
      </c>
      <c r="F22" s="5">
        <v>1119.0</v>
      </c>
      <c r="G22" s="18">
        <v>1285.0</v>
      </c>
      <c r="H22" s="19">
        <v>5.058365758754864</v>
      </c>
      <c r="I22" s="19">
        <v>5.0</v>
      </c>
    </row>
    <row r="23">
      <c r="A23" s="14">
        <v>3.4590219E7</v>
      </c>
      <c r="B23" s="15" t="s">
        <v>81</v>
      </c>
      <c r="C23" s="15">
        <v>636.0</v>
      </c>
      <c r="D23" s="17">
        <v>898.0</v>
      </c>
      <c r="E23" s="17">
        <v>572.0</v>
      </c>
      <c r="F23" s="5">
        <v>822.0</v>
      </c>
      <c r="G23" s="18">
        <v>1285.0</v>
      </c>
      <c r="H23" s="19">
        <v>34.86381322957198</v>
      </c>
      <c r="I23" s="19">
        <v>35.0</v>
      </c>
    </row>
    <row r="24">
      <c r="A24" s="14">
        <v>3.459022E7</v>
      </c>
      <c r="B24" s="15" t="s">
        <v>84</v>
      </c>
      <c r="C24" s="15">
        <v>824.0</v>
      </c>
      <c r="D24" s="17">
        <v>1097.0</v>
      </c>
      <c r="E24" s="17">
        <v>718.0</v>
      </c>
      <c r="F24" s="5">
        <v>997.0</v>
      </c>
      <c r="G24" s="18">
        <v>1285.0</v>
      </c>
      <c r="H24" s="19">
        <v>28.871595330739297</v>
      </c>
      <c r="I24" s="19">
        <v>29.0</v>
      </c>
    </row>
    <row r="25">
      <c r="A25" s="14">
        <v>3.4590221E7</v>
      </c>
      <c r="B25" s="15" t="s">
        <v>88</v>
      </c>
      <c r="C25" s="15">
        <v>824.0</v>
      </c>
      <c r="D25" s="17">
        <v>1097.0</v>
      </c>
      <c r="E25" s="17">
        <v>718.0</v>
      </c>
      <c r="F25" s="5">
        <v>997.0</v>
      </c>
      <c r="G25" s="18">
        <v>1150.0</v>
      </c>
      <c r="H25" s="19">
        <v>20.52173913043478</v>
      </c>
      <c r="I25" s="19">
        <v>21.0</v>
      </c>
    </row>
    <row r="26">
      <c r="A26" s="14">
        <v>3.4590222E7</v>
      </c>
      <c r="B26" s="15" t="s">
        <v>91</v>
      </c>
      <c r="C26" s="15">
        <v>824.0</v>
      </c>
      <c r="D26" s="17">
        <v>1097.0</v>
      </c>
      <c r="E26" s="17">
        <v>718.0</v>
      </c>
      <c r="F26" s="5">
        <v>997.0</v>
      </c>
      <c r="G26" s="18">
        <v>1570.0</v>
      </c>
      <c r="H26" s="19">
        <v>41.783439490445865</v>
      </c>
      <c r="I26" s="19">
        <v>42.0</v>
      </c>
    </row>
    <row r="27">
      <c r="A27" s="14">
        <v>3.4590223E7</v>
      </c>
      <c r="B27" s="15" t="s">
        <v>94</v>
      </c>
      <c r="C27" s="15">
        <v>636.0</v>
      </c>
      <c r="D27" s="17">
        <v>898.0</v>
      </c>
      <c r="E27" s="17">
        <v>572.0</v>
      </c>
      <c r="F27" s="5">
        <v>822.0</v>
      </c>
      <c r="G27" s="18">
        <v>1285.0</v>
      </c>
      <c r="H27" s="19">
        <v>34.86381322957198</v>
      </c>
      <c r="I27" s="19">
        <v>35.0</v>
      </c>
    </row>
    <row r="28">
      <c r="A28" s="14">
        <v>3.4590224E7</v>
      </c>
      <c r="B28" s="15" t="s">
        <v>97</v>
      </c>
      <c r="C28" s="15">
        <v>824.0</v>
      </c>
      <c r="D28" s="17">
        <v>1097.0</v>
      </c>
      <c r="E28" s="17">
        <v>718.0</v>
      </c>
      <c r="F28" s="5">
        <v>997.0</v>
      </c>
      <c r="G28" s="18">
        <v>1415.0</v>
      </c>
      <c r="H28" s="19">
        <v>35.406360424028264</v>
      </c>
      <c r="I28" s="19">
        <v>35.0</v>
      </c>
    </row>
    <row r="29">
      <c r="A29" s="14">
        <v>3.4590225E7</v>
      </c>
      <c r="B29" s="15" t="s">
        <v>100</v>
      </c>
      <c r="C29" s="15">
        <v>824.0</v>
      </c>
      <c r="D29" s="17">
        <v>1097.0</v>
      </c>
      <c r="E29" s="17">
        <v>718.0</v>
      </c>
      <c r="F29" s="5">
        <v>997.0</v>
      </c>
      <c r="G29" s="18">
        <v>1150.0</v>
      </c>
      <c r="H29" s="19">
        <v>20.52173913043478</v>
      </c>
      <c r="I29" s="19">
        <v>21.0</v>
      </c>
    </row>
    <row r="30">
      <c r="A30" s="14">
        <v>3.4590226E7</v>
      </c>
      <c r="B30" s="15" t="s">
        <v>103</v>
      </c>
      <c r="C30" s="15">
        <v>824.0</v>
      </c>
      <c r="D30" s="17">
        <v>1097.0</v>
      </c>
      <c r="E30" s="17">
        <v>718.0</v>
      </c>
      <c r="F30" s="5">
        <v>997.0</v>
      </c>
      <c r="G30" s="18">
        <v>1570.0</v>
      </c>
      <c r="H30" s="19">
        <v>41.783439490445865</v>
      </c>
      <c r="I30" s="19">
        <v>42.0</v>
      </c>
    </row>
    <row r="31">
      <c r="A31" s="14">
        <v>3.4590227E7</v>
      </c>
      <c r="B31" s="15" t="s">
        <v>107</v>
      </c>
      <c r="C31" s="15">
        <v>636.0</v>
      </c>
      <c r="D31" s="17">
        <v>898.0</v>
      </c>
      <c r="E31" s="17">
        <v>572.0</v>
      </c>
      <c r="F31" s="5">
        <v>822.0</v>
      </c>
      <c r="G31" s="18">
        <v>1285.0</v>
      </c>
      <c r="H31" s="19">
        <v>34.86381322957198</v>
      </c>
      <c r="I31" s="19">
        <v>35.0</v>
      </c>
    </row>
    <row r="32">
      <c r="A32" s="14">
        <v>3.4590228E7</v>
      </c>
      <c r="B32" s="15" t="s">
        <v>110</v>
      </c>
      <c r="C32" s="15">
        <v>824.0</v>
      </c>
      <c r="D32" s="17">
        <v>1097.0</v>
      </c>
      <c r="E32" s="17">
        <v>718.0</v>
      </c>
      <c r="F32" s="5">
        <v>997.0</v>
      </c>
      <c r="G32" s="18">
        <v>1150.0</v>
      </c>
      <c r="H32" s="19">
        <v>20.52173913043478</v>
      </c>
      <c r="I32" s="19">
        <v>21.0</v>
      </c>
    </row>
    <row r="33">
      <c r="A33" s="14">
        <v>3.4590229E7</v>
      </c>
      <c r="B33" s="15" t="s">
        <v>113</v>
      </c>
      <c r="C33" s="15">
        <v>824.0</v>
      </c>
      <c r="D33" s="17">
        <v>1097.0</v>
      </c>
      <c r="E33" s="17">
        <v>718.0</v>
      </c>
      <c r="F33" s="5">
        <v>997.0</v>
      </c>
      <c r="G33" s="18">
        <v>1570.0</v>
      </c>
      <c r="H33" s="19">
        <v>41.783439490445865</v>
      </c>
      <c r="I33" s="19">
        <v>42.0</v>
      </c>
    </row>
    <row r="34">
      <c r="A34" s="14">
        <v>3.459023E7</v>
      </c>
      <c r="B34" s="15" t="s">
        <v>116</v>
      </c>
      <c r="C34" s="15">
        <v>824.0</v>
      </c>
      <c r="D34" s="17">
        <v>1097.0</v>
      </c>
      <c r="E34" s="17">
        <v>718.0</v>
      </c>
      <c r="F34" s="5">
        <v>997.0</v>
      </c>
      <c r="G34" s="18">
        <v>1570.0</v>
      </c>
      <c r="H34" s="19">
        <v>41.783439490445865</v>
      </c>
      <c r="I34" s="19">
        <v>42.0</v>
      </c>
    </row>
    <row r="35">
      <c r="A35" s="14">
        <v>3.4590231E7</v>
      </c>
      <c r="B35" s="15" t="s">
        <v>120</v>
      </c>
      <c r="C35" s="15">
        <v>824.0</v>
      </c>
      <c r="D35" s="17">
        <v>1097.0</v>
      </c>
      <c r="E35" s="17">
        <v>718.0</v>
      </c>
      <c r="F35" s="5">
        <v>997.0</v>
      </c>
      <c r="G35" s="18">
        <v>1570.0</v>
      </c>
      <c r="H35" s="19">
        <v>41.783439490445865</v>
      </c>
      <c r="I35" s="19">
        <v>42.0</v>
      </c>
    </row>
    <row r="36">
      <c r="A36" s="14">
        <v>3.4590232E7</v>
      </c>
      <c r="B36" s="15" t="s">
        <v>123</v>
      </c>
      <c r="C36" s="15">
        <v>824.0</v>
      </c>
      <c r="D36" s="17">
        <v>1097.0</v>
      </c>
      <c r="E36" s="17">
        <v>718.0</v>
      </c>
      <c r="F36" s="5">
        <v>997.0</v>
      </c>
      <c r="G36" s="18">
        <v>1585.0</v>
      </c>
      <c r="H36" s="19">
        <v>42.33438485804417</v>
      </c>
      <c r="I36" s="19">
        <v>42.0</v>
      </c>
    </row>
    <row r="37">
      <c r="A37" s="14">
        <v>3.4590233E7</v>
      </c>
      <c r="B37" s="15" t="s">
        <v>126</v>
      </c>
      <c r="C37" s="15">
        <v>824.0</v>
      </c>
      <c r="D37" s="17">
        <v>1097.0</v>
      </c>
      <c r="E37" s="17">
        <v>718.0</v>
      </c>
      <c r="F37" s="5">
        <v>997.0</v>
      </c>
      <c r="G37" s="18">
        <v>1570.0</v>
      </c>
      <c r="H37" s="19">
        <v>41.783439490445865</v>
      </c>
      <c r="I37" s="19">
        <v>42.0</v>
      </c>
    </row>
    <row r="38">
      <c r="A38" s="14">
        <v>3.4590234E7</v>
      </c>
      <c r="B38" s="15" t="s">
        <v>130</v>
      </c>
      <c r="C38" s="15">
        <v>824.0</v>
      </c>
      <c r="D38" s="17">
        <v>1097.0</v>
      </c>
      <c r="E38" s="17">
        <v>718.0</v>
      </c>
      <c r="F38" s="5">
        <v>997.0</v>
      </c>
      <c r="G38" s="18">
        <v>1570.0</v>
      </c>
      <c r="H38" s="19">
        <v>41.783439490445865</v>
      </c>
      <c r="I38" s="19">
        <v>42.0</v>
      </c>
    </row>
    <row r="39">
      <c r="A39" s="14">
        <v>3.4590235E7</v>
      </c>
      <c r="B39" s="15" t="s">
        <v>133</v>
      </c>
      <c r="C39" s="15">
        <v>824.0</v>
      </c>
      <c r="D39" s="17">
        <v>1097.0</v>
      </c>
      <c r="E39" s="17">
        <v>718.0</v>
      </c>
      <c r="F39" s="5">
        <v>997.0</v>
      </c>
      <c r="G39" s="18">
        <v>1150.0</v>
      </c>
      <c r="H39" s="19">
        <v>20.52173913043478</v>
      </c>
      <c r="I39" s="19">
        <v>21.0</v>
      </c>
    </row>
    <row r="40">
      <c r="A40" s="14">
        <v>3.4590236E7</v>
      </c>
      <c r="B40" s="15" t="s">
        <v>136</v>
      </c>
      <c r="C40" s="15">
        <v>824.0</v>
      </c>
      <c r="D40" s="17">
        <v>1097.0</v>
      </c>
      <c r="E40" s="17">
        <v>718.0</v>
      </c>
      <c r="F40" s="5">
        <v>997.0</v>
      </c>
      <c r="G40" s="18">
        <v>1850.0</v>
      </c>
      <c r="H40" s="19">
        <v>50.5945945945946</v>
      </c>
      <c r="I40" s="19">
        <v>51.0</v>
      </c>
    </row>
    <row r="41">
      <c r="A41" s="14">
        <v>3.4590237E7</v>
      </c>
      <c r="B41" s="15" t="s">
        <v>140</v>
      </c>
      <c r="C41" s="15">
        <v>824.0</v>
      </c>
      <c r="D41" s="17">
        <v>1097.0</v>
      </c>
      <c r="E41" s="17">
        <v>718.0</v>
      </c>
      <c r="F41" s="5">
        <v>997.0</v>
      </c>
      <c r="G41" s="18">
        <v>1570.0</v>
      </c>
      <c r="H41" s="19">
        <v>41.783439490445865</v>
      </c>
      <c r="I41" s="19">
        <v>42.0</v>
      </c>
    </row>
    <row r="42">
      <c r="A42" s="14">
        <v>3.4590238E7</v>
      </c>
      <c r="B42" s="15" t="s">
        <v>143</v>
      </c>
      <c r="C42" s="15">
        <v>824.0</v>
      </c>
      <c r="D42" s="17">
        <v>1097.0</v>
      </c>
      <c r="E42" s="17">
        <v>718.0</v>
      </c>
      <c r="F42" s="5">
        <v>997.0</v>
      </c>
      <c r="G42" s="18">
        <v>1570.0</v>
      </c>
      <c r="H42" s="19">
        <v>41.783439490445865</v>
      </c>
      <c r="I42" s="19">
        <v>42.0</v>
      </c>
    </row>
    <row r="43">
      <c r="A43" s="14">
        <v>3.4590239E7</v>
      </c>
      <c r="B43" s="15" t="s">
        <v>147</v>
      </c>
      <c r="C43" s="15">
        <v>824.0</v>
      </c>
      <c r="D43" s="17">
        <v>1097.0</v>
      </c>
      <c r="E43" s="17">
        <v>718.0</v>
      </c>
      <c r="F43" s="5">
        <v>997.0</v>
      </c>
      <c r="G43" s="18">
        <v>1430.0</v>
      </c>
      <c r="H43" s="19">
        <v>36.08391608391609</v>
      </c>
      <c r="I43" s="19">
        <v>36.0</v>
      </c>
    </row>
    <row r="44">
      <c r="A44" s="14">
        <v>3.459024E7</v>
      </c>
      <c r="B44" s="15" t="s">
        <v>150</v>
      </c>
      <c r="C44" s="15">
        <v>824.0</v>
      </c>
      <c r="D44" s="17">
        <v>1097.0</v>
      </c>
      <c r="E44" s="17">
        <v>718.0</v>
      </c>
      <c r="F44" s="5">
        <v>997.0</v>
      </c>
      <c r="G44" s="18">
        <v>1570.0</v>
      </c>
      <c r="H44" s="19">
        <v>41.783439490445865</v>
      </c>
      <c r="I44" s="19">
        <v>42.0</v>
      </c>
    </row>
    <row r="45">
      <c r="A45" s="14">
        <v>3.4590241E7</v>
      </c>
      <c r="B45" s="15" t="s">
        <v>154</v>
      </c>
      <c r="C45" s="15">
        <v>824.0</v>
      </c>
      <c r="D45" s="17">
        <v>1097.0</v>
      </c>
      <c r="E45" s="17">
        <v>718.0</v>
      </c>
      <c r="F45" s="5">
        <v>997.0</v>
      </c>
      <c r="G45" s="18">
        <v>1285.0</v>
      </c>
      <c r="H45" s="19">
        <v>28.871595330739297</v>
      </c>
      <c r="I45" s="19">
        <v>29.0</v>
      </c>
    </row>
    <row r="46">
      <c r="A46" s="14">
        <v>3.4590242E7</v>
      </c>
      <c r="B46" s="15" t="s">
        <v>153</v>
      </c>
      <c r="C46" s="15">
        <v>636.0</v>
      </c>
      <c r="D46" s="17">
        <v>898.0</v>
      </c>
      <c r="E46" s="17">
        <v>572.0</v>
      </c>
      <c r="F46" s="5">
        <v>822.0</v>
      </c>
      <c r="G46" s="18">
        <v>1285.0</v>
      </c>
      <c r="H46" s="19">
        <v>34.86381322957198</v>
      </c>
      <c r="I46" s="19">
        <v>35.0</v>
      </c>
    </row>
    <row r="47">
      <c r="A47" s="14">
        <v>3.4590243E7</v>
      </c>
      <c r="B47" s="15" t="s">
        <v>152</v>
      </c>
      <c r="C47" s="15">
        <v>824.0</v>
      </c>
      <c r="D47" s="17">
        <v>1097.0</v>
      </c>
      <c r="E47" s="17">
        <v>718.0</v>
      </c>
      <c r="F47" s="5">
        <v>997.0</v>
      </c>
      <c r="G47" s="18">
        <v>1570.0</v>
      </c>
      <c r="H47" s="19">
        <v>41.783439490445865</v>
      </c>
      <c r="I47" s="19">
        <v>42.0</v>
      </c>
    </row>
    <row r="48">
      <c r="A48" s="14">
        <v>3.4590244E7</v>
      </c>
      <c r="B48" s="15" t="s">
        <v>155</v>
      </c>
      <c r="C48" s="15">
        <v>636.0</v>
      </c>
      <c r="D48" s="17">
        <v>898.0</v>
      </c>
      <c r="E48" s="17">
        <v>572.0</v>
      </c>
      <c r="F48" s="5">
        <v>822.0</v>
      </c>
      <c r="G48" s="18">
        <v>1285.0</v>
      </c>
      <c r="H48" s="19">
        <v>34.86381322957198</v>
      </c>
      <c r="I48" s="19">
        <v>35.0</v>
      </c>
    </row>
    <row r="49">
      <c r="A49" s="14">
        <v>3.4590245E7</v>
      </c>
      <c r="B49" s="15" t="s">
        <v>156</v>
      </c>
      <c r="C49" s="15">
        <v>824.0</v>
      </c>
      <c r="D49" s="17">
        <v>1097.0</v>
      </c>
      <c r="E49" s="17">
        <v>718.0</v>
      </c>
      <c r="F49" s="5">
        <v>997.0</v>
      </c>
      <c r="G49" s="18">
        <v>1570.0</v>
      </c>
      <c r="H49" s="19">
        <v>41.783439490445865</v>
      </c>
      <c r="I49" s="19">
        <v>42.0</v>
      </c>
    </row>
    <row r="50">
      <c r="A50" s="14">
        <v>3.4590246E7</v>
      </c>
      <c r="B50" s="15" t="s">
        <v>157</v>
      </c>
      <c r="C50" s="15">
        <v>824.0</v>
      </c>
      <c r="D50" s="17">
        <v>1097.0</v>
      </c>
      <c r="E50" s="17">
        <v>718.0</v>
      </c>
      <c r="F50" s="5">
        <v>997.0</v>
      </c>
      <c r="G50" s="18">
        <v>1585.0</v>
      </c>
      <c r="H50" s="19">
        <v>42.33438485804417</v>
      </c>
      <c r="I50" s="19">
        <v>42.0</v>
      </c>
    </row>
    <row r="51">
      <c r="A51" s="14">
        <v>3.4590247E7</v>
      </c>
      <c r="B51" s="15" t="s">
        <v>151</v>
      </c>
      <c r="C51" s="15">
        <v>636.0</v>
      </c>
      <c r="D51" s="17">
        <v>898.0</v>
      </c>
      <c r="E51" s="17">
        <v>572.0</v>
      </c>
      <c r="F51" s="5">
        <v>822.0</v>
      </c>
      <c r="G51" s="18">
        <v>1285.0</v>
      </c>
      <c r="H51" s="19">
        <v>34.86381322957198</v>
      </c>
      <c r="I51" s="19">
        <v>35.0</v>
      </c>
    </row>
    <row r="52">
      <c r="A52" s="14">
        <v>3.4590248E7</v>
      </c>
      <c r="B52" s="15" t="s">
        <v>149</v>
      </c>
      <c r="C52" s="15">
        <v>824.0</v>
      </c>
      <c r="D52" s="17">
        <v>1097.0</v>
      </c>
      <c r="E52" s="17">
        <v>718.0</v>
      </c>
      <c r="F52" s="5">
        <v>997.0</v>
      </c>
      <c r="G52" s="18">
        <v>1850.0</v>
      </c>
      <c r="H52" s="19">
        <v>50.5945945945946</v>
      </c>
      <c r="I52" s="19">
        <v>51.0</v>
      </c>
    </row>
    <row r="53">
      <c r="A53" s="14">
        <v>3.4590249E7</v>
      </c>
      <c r="B53" s="15" t="s">
        <v>148</v>
      </c>
      <c r="C53" s="15">
        <v>824.0</v>
      </c>
      <c r="D53" s="17">
        <v>1097.0</v>
      </c>
      <c r="E53" s="17">
        <v>718.0</v>
      </c>
      <c r="F53" s="5">
        <v>997.0</v>
      </c>
      <c r="G53" s="18">
        <v>1150.0</v>
      </c>
      <c r="H53" s="19">
        <v>20.52173913043478</v>
      </c>
      <c r="I53" s="19">
        <v>21.0</v>
      </c>
    </row>
    <row r="54">
      <c r="A54" s="14">
        <v>3.459025E7</v>
      </c>
      <c r="B54" s="15" t="s">
        <v>146</v>
      </c>
      <c r="C54" s="15">
        <v>636.0</v>
      </c>
      <c r="D54" s="17">
        <v>898.0</v>
      </c>
      <c r="E54" s="17">
        <v>572.0</v>
      </c>
      <c r="F54" s="5">
        <v>822.0</v>
      </c>
      <c r="G54" s="18">
        <v>1285.0</v>
      </c>
      <c r="H54" s="19">
        <v>34.86381322957198</v>
      </c>
      <c r="I54" s="19">
        <v>35.0</v>
      </c>
    </row>
    <row r="55">
      <c r="A55" s="14">
        <v>3.4590251E7</v>
      </c>
      <c r="B55" s="15" t="s">
        <v>158</v>
      </c>
      <c r="C55" s="15">
        <v>824.0</v>
      </c>
      <c r="D55" s="17">
        <v>1097.0</v>
      </c>
      <c r="E55" s="17">
        <v>718.0</v>
      </c>
      <c r="F55" s="5">
        <v>997.0</v>
      </c>
      <c r="G55" s="18">
        <v>1150.0</v>
      </c>
      <c r="H55" s="19">
        <v>20.52173913043478</v>
      </c>
      <c r="I55" s="19">
        <v>21.0</v>
      </c>
    </row>
    <row r="56">
      <c r="A56" s="14">
        <v>3.4590252E7</v>
      </c>
      <c r="B56" s="15" t="s">
        <v>145</v>
      </c>
      <c r="C56" s="15">
        <v>824.0</v>
      </c>
      <c r="D56" s="17">
        <v>1097.0</v>
      </c>
      <c r="E56" s="17">
        <v>718.0</v>
      </c>
      <c r="F56" s="5">
        <v>997.0</v>
      </c>
      <c r="G56" s="18">
        <v>1570.0</v>
      </c>
      <c r="H56" s="19">
        <v>41.783439490445865</v>
      </c>
      <c r="I56" s="19">
        <v>42.0</v>
      </c>
    </row>
    <row r="57">
      <c r="A57" s="14">
        <v>3.4590253E7</v>
      </c>
      <c r="B57" s="15" t="s">
        <v>144</v>
      </c>
      <c r="C57" s="15">
        <v>824.0</v>
      </c>
      <c r="D57" s="17">
        <v>1097.0</v>
      </c>
      <c r="E57" s="17">
        <v>718.0</v>
      </c>
      <c r="F57" s="5">
        <v>997.0</v>
      </c>
      <c r="G57" s="18">
        <v>1850.0</v>
      </c>
      <c r="H57" s="19">
        <v>50.5945945945946</v>
      </c>
      <c r="I57" s="19">
        <v>51.0</v>
      </c>
    </row>
    <row r="58">
      <c r="A58" s="14">
        <v>3.5357017E7</v>
      </c>
      <c r="B58" s="15" t="s">
        <v>159</v>
      </c>
      <c r="C58" s="15">
        <v>868.0</v>
      </c>
      <c r="D58" s="5">
        <v>1149.0</v>
      </c>
      <c r="E58" s="17">
        <v>843.0</v>
      </c>
      <c r="F58" s="5">
        <v>1119.0</v>
      </c>
      <c r="G58" s="18">
        <v>1700.0</v>
      </c>
      <c r="H58" s="19">
        <v>28.235294117647058</v>
      </c>
      <c r="I58" s="19">
        <v>28.0</v>
      </c>
    </row>
    <row r="59">
      <c r="A59" s="14">
        <v>3.5357006E7</v>
      </c>
      <c r="B59" s="15" t="s">
        <v>160</v>
      </c>
      <c r="C59" s="15">
        <v>636.0</v>
      </c>
      <c r="D59" s="17">
        <v>898.0</v>
      </c>
      <c r="E59" s="17">
        <v>572.0</v>
      </c>
      <c r="F59" s="5">
        <v>822.0</v>
      </c>
      <c r="G59" s="18">
        <v>1285.0</v>
      </c>
      <c r="H59" s="19">
        <v>34.86381322957198</v>
      </c>
      <c r="I59" s="19">
        <v>35.0</v>
      </c>
    </row>
    <row r="60">
      <c r="A60" s="14">
        <v>3.5356991E7</v>
      </c>
      <c r="B60" s="15" t="s">
        <v>163</v>
      </c>
      <c r="C60" s="15">
        <v>824.0</v>
      </c>
      <c r="D60" s="17">
        <v>1097.0</v>
      </c>
      <c r="E60" s="17">
        <v>718.0</v>
      </c>
      <c r="F60" s="5">
        <v>997.0</v>
      </c>
      <c r="G60" s="18">
        <v>1570.0</v>
      </c>
      <c r="H60" s="19">
        <v>41.783439490445865</v>
      </c>
      <c r="I60" s="19">
        <v>42.0</v>
      </c>
    </row>
    <row r="61">
      <c r="A61" s="14">
        <v>3.5357007E7</v>
      </c>
      <c r="B61" s="15" t="s">
        <v>166</v>
      </c>
      <c r="C61" s="15">
        <v>824.0</v>
      </c>
      <c r="D61" s="17">
        <v>1097.0</v>
      </c>
      <c r="E61" s="17">
        <v>718.0</v>
      </c>
      <c r="F61" s="5">
        <v>997.0</v>
      </c>
      <c r="G61" s="18">
        <v>1700.0</v>
      </c>
      <c r="H61" s="19">
        <v>46.23529411764706</v>
      </c>
      <c r="I61" s="19">
        <v>46.0</v>
      </c>
    </row>
    <row r="62">
      <c r="A62" s="14">
        <v>3.5356996E7</v>
      </c>
      <c r="B62" s="15" t="s">
        <v>168</v>
      </c>
      <c r="C62" s="15">
        <v>824.0</v>
      </c>
      <c r="D62" s="17">
        <v>1097.0</v>
      </c>
      <c r="E62" s="17">
        <v>718.0</v>
      </c>
      <c r="F62" s="5">
        <v>997.0</v>
      </c>
      <c r="G62" s="18">
        <v>1570.0</v>
      </c>
      <c r="H62" s="19">
        <v>41.783439490445865</v>
      </c>
      <c r="I62" s="19">
        <v>42.0</v>
      </c>
    </row>
    <row r="63">
      <c r="A63" s="14">
        <v>3.5356981E7</v>
      </c>
      <c r="B63" s="15" t="s">
        <v>169</v>
      </c>
      <c r="C63" s="15">
        <v>824.0</v>
      </c>
      <c r="D63" s="17">
        <v>1097.0</v>
      </c>
      <c r="E63" s="17">
        <v>718.0</v>
      </c>
      <c r="F63" s="5">
        <v>997.0</v>
      </c>
      <c r="G63" s="18">
        <v>1570.0</v>
      </c>
      <c r="H63" s="19">
        <v>41.783439490445865</v>
      </c>
      <c r="I63" s="19">
        <v>42.0</v>
      </c>
    </row>
    <row r="64">
      <c r="A64" s="14">
        <v>3.5356985E7</v>
      </c>
      <c r="B64" s="15" t="s">
        <v>171</v>
      </c>
      <c r="C64" s="15">
        <v>824.0</v>
      </c>
      <c r="D64" s="17">
        <v>1097.0</v>
      </c>
      <c r="E64" s="17">
        <v>718.0</v>
      </c>
      <c r="F64" s="5">
        <v>997.0</v>
      </c>
      <c r="G64" s="18">
        <v>1700.0</v>
      </c>
      <c r="H64" s="19">
        <v>46.23529411764706</v>
      </c>
      <c r="I64" s="19">
        <v>46.0</v>
      </c>
    </row>
    <row r="65">
      <c r="A65" s="14">
        <v>3.5357003E7</v>
      </c>
      <c r="B65" s="15" t="s">
        <v>170</v>
      </c>
      <c r="C65" s="15">
        <v>824.0</v>
      </c>
      <c r="D65" s="17">
        <v>1097.0</v>
      </c>
      <c r="E65" s="17">
        <v>718.0</v>
      </c>
      <c r="F65" s="5">
        <v>997.0</v>
      </c>
      <c r="G65" s="18">
        <v>1570.0</v>
      </c>
      <c r="H65" s="19">
        <v>41.783439490445865</v>
      </c>
      <c r="I65" s="19">
        <v>42.0</v>
      </c>
    </row>
    <row r="66">
      <c r="A66" s="14">
        <v>3.5356969E7</v>
      </c>
      <c r="B66" s="15" t="s">
        <v>175</v>
      </c>
      <c r="C66" s="15">
        <v>824.0</v>
      </c>
      <c r="D66" s="17">
        <v>1097.0</v>
      </c>
      <c r="E66" s="17">
        <v>718.0</v>
      </c>
      <c r="F66" s="5">
        <v>997.0</v>
      </c>
      <c r="G66" s="18">
        <v>1570.0</v>
      </c>
      <c r="H66" s="19">
        <v>41.783439490445865</v>
      </c>
      <c r="I66" s="19">
        <v>42.0</v>
      </c>
    </row>
    <row r="67">
      <c r="A67" s="14">
        <v>3.5356975E7</v>
      </c>
      <c r="B67" s="15" t="s">
        <v>177</v>
      </c>
      <c r="C67" s="15">
        <v>636.0</v>
      </c>
      <c r="D67" s="17">
        <v>898.0</v>
      </c>
      <c r="E67" s="17">
        <v>572.0</v>
      </c>
      <c r="F67" s="5">
        <v>822.0</v>
      </c>
      <c r="G67" s="18">
        <v>1285.0</v>
      </c>
      <c r="H67" s="19">
        <v>34.86381322957198</v>
      </c>
      <c r="I67" s="19">
        <v>35.0</v>
      </c>
    </row>
    <row r="68">
      <c r="A68" s="14">
        <v>3.5356993E7</v>
      </c>
      <c r="B68" s="15" t="s">
        <v>174</v>
      </c>
      <c r="C68" s="15">
        <v>824.0</v>
      </c>
      <c r="D68" s="17">
        <v>1097.0</v>
      </c>
      <c r="E68" s="17">
        <v>718.0</v>
      </c>
      <c r="F68" s="5">
        <v>997.0</v>
      </c>
      <c r="G68" s="18">
        <v>1570.0</v>
      </c>
      <c r="H68" s="19">
        <v>41.783439490445865</v>
      </c>
      <c r="I68" s="19">
        <v>42.0</v>
      </c>
    </row>
    <row r="69">
      <c r="A69" s="14">
        <v>3.5356987E7</v>
      </c>
      <c r="B69" s="15" t="s">
        <v>176</v>
      </c>
      <c r="C69" s="15">
        <v>824.0</v>
      </c>
      <c r="D69" s="17">
        <v>1097.0</v>
      </c>
      <c r="E69" s="17">
        <v>718.0</v>
      </c>
      <c r="F69" s="5">
        <v>997.0</v>
      </c>
      <c r="G69" s="18">
        <v>1570.0</v>
      </c>
      <c r="H69" s="19">
        <v>41.783439490445865</v>
      </c>
      <c r="I69" s="19">
        <v>42.0</v>
      </c>
    </row>
    <row r="70">
      <c r="A70" s="14">
        <v>3.5356998E7</v>
      </c>
      <c r="B70" s="15" t="s">
        <v>173</v>
      </c>
      <c r="C70" s="15">
        <v>868.0</v>
      </c>
      <c r="D70" s="5">
        <v>1149.0</v>
      </c>
      <c r="E70" s="17">
        <v>843.0</v>
      </c>
      <c r="F70" s="5">
        <v>1119.0</v>
      </c>
      <c r="G70" s="18">
        <v>1700.0</v>
      </c>
      <c r="H70" s="19">
        <v>28.235294117647058</v>
      </c>
      <c r="I70" s="19">
        <v>28.0</v>
      </c>
    </row>
    <row r="71">
      <c r="A71" s="14">
        <v>3.535701E7</v>
      </c>
      <c r="B71" s="15" t="s">
        <v>167</v>
      </c>
      <c r="C71" s="15">
        <v>824.0</v>
      </c>
      <c r="D71" s="17">
        <v>1097.0</v>
      </c>
      <c r="E71" s="17">
        <v>718.0</v>
      </c>
      <c r="F71" s="5">
        <v>997.0</v>
      </c>
      <c r="G71" s="18">
        <v>1570.0</v>
      </c>
      <c r="H71" s="19">
        <v>41.783439490445865</v>
      </c>
      <c r="I71" s="19">
        <v>42.0</v>
      </c>
    </row>
    <row r="72">
      <c r="A72" s="14">
        <v>3.5357001E7</v>
      </c>
      <c r="B72" s="15" t="s">
        <v>172</v>
      </c>
      <c r="C72" s="15">
        <v>824.0</v>
      </c>
      <c r="D72" s="17">
        <v>1097.0</v>
      </c>
      <c r="E72" s="17">
        <v>718.0</v>
      </c>
      <c r="F72" s="5">
        <v>997.0</v>
      </c>
      <c r="G72" s="18">
        <v>1570.0</v>
      </c>
      <c r="H72" s="19">
        <v>41.783439490445865</v>
      </c>
      <c r="I72" s="19">
        <v>42.0</v>
      </c>
    </row>
    <row r="73">
      <c r="A73" s="14">
        <v>3.5356979E7</v>
      </c>
      <c r="B73" s="15" t="s">
        <v>179</v>
      </c>
      <c r="C73" s="15">
        <v>636.0</v>
      </c>
      <c r="D73" s="17">
        <v>898.0</v>
      </c>
      <c r="E73" s="17">
        <v>572.0</v>
      </c>
      <c r="F73" s="5">
        <v>822.0</v>
      </c>
      <c r="G73" s="18">
        <v>1285.0</v>
      </c>
      <c r="H73" s="19">
        <v>34.86381322957198</v>
      </c>
      <c r="I73" s="19">
        <v>35.0</v>
      </c>
    </row>
    <row r="74">
      <c r="A74" s="14">
        <v>3.5356964E7</v>
      </c>
      <c r="B74" s="15" t="s">
        <v>180</v>
      </c>
      <c r="C74" s="15">
        <v>824.0</v>
      </c>
      <c r="D74" s="17">
        <v>1097.0</v>
      </c>
      <c r="E74" s="17">
        <v>718.0</v>
      </c>
      <c r="F74" s="5">
        <v>997.0</v>
      </c>
      <c r="G74" s="18">
        <v>1700.0</v>
      </c>
      <c r="H74" s="19">
        <v>46.23529411764706</v>
      </c>
      <c r="I74" s="19">
        <v>46.0</v>
      </c>
    </row>
    <row r="75">
      <c r="A75" s="14">
        <v>3.5356984E7</v>
      </c>
      <c r="B75" s="15" t="s">
        <v>178</v>
      </c>
      <c r="C75" s="15">
        <v>824.0</v>
      </c>
      <c r="D75" s="17">
        <v>1097.0</v>
      </c>
      <c r="E75" s="17">
        <v>718.0</v>
      </c>
      <c r="F75" s="5">
        <v>997.0</v>
      </c>
      <c r="G75" s="18">
        <v>1570.0</v>
      </c>
      <c r="H75" s="19">
        <v>41.783439490445865</v>
      </c>
      <c r="I75" s="19">
        <v>42.0</v>
      </c>
    </row>
    <row r="76">
      <c r="A76" s="14">
        <v>3.5356992E7</v>
      </c>
      <c r="B76" s="15" t="s">
        <v>181</v>
      </c>
      <c r="C76" s="15">
        <v>824.0</v>
      </c>
      <c r="D76" s="17">
        <v>1097.0</v>
      </c>
      <c r="E76" s="17">
        <v>718.0</v>
      </c>
      <c r="F76" s="5">
        <v>997.0</v>
      </c>
      <c r="G76" s="18">
        <v>1570.0</v>
      </c>
      <c r="H76" s="19">
        <v>41.783439490445865</v>
      </c>
      <c r="I76" s="19">
        <v>42.0</v>
      </c>
    </row>
    <row r="77">
      <c r="A77" s="14">
        <v>3.6672976E7</v>
      </c>
      <c r="B77" s="15" t="s">
        <v>141</v>
      </c>
      <c r="C77" s="15">
        <v>868.0</v>
      </c>
      <c r="D77" s="5">
        <v>1149.0</v>
      </c>
      <c r="E77" s="17">
        <v>843.0</v>
      </c>
      <c r="F77" s="5">
        <v>1119.0</v>
      </c>
      <c r="G77" s="18">
        <v>1700.0</v>
      </c>
      <c r="H77" s="19">
        <v>28.235294117647058</v>
      </c>
      <c r="I77" s="19">
        <v>28.0</v>
      </c>
    </row>
    <row r="78">
      <c r="A78" s="14">
        <v>3.6672975E7</v>
      </c>
      <c r="B78" s="15" t="s">
        <v>182</v>
      </c>
      <c r="C78" s="15">
        <v>1218.0</v>
      </c>
      <c r="D78" s="5">
        <v>1697.0</v>
      </c>
      <c r="E78" s="17">
        <v>1095.0</v>
      </c>
      <c r="F78" s="17">
        <v>1549.0</v>
      </c>
      <c r="G78" s="18">
        <v>2060.0</v>
      </c>
      <c r="H78" s="19">
        <v>35.970873786407765</v>
      </c>
      <c r="I78" s="19">
        <v>36.0</v>
      </c>
    </row>
    <row r="79">
      <c r="A79" s="14">
        <v>3.6672979E7</v>
      </c>
      <c r="B79" s="15" t="s">
        <v>139</v>
      </c>
      <c r="C79" s="15">
        <v>868.0</v>
      </c>
      <c r="D79" s="5">
        <v>1149.0</v>
      </c>
      <c r="E79" s="17">
        <v>843.0</v>
      </c>
      <c r="F79" s="5">
        <v>1119.0</v>
      </c>
      <c r="G79" s="18">
        <v>2060.0</v>
      </c>
      <c r="H79" s="19">
        <v>40.77669902912621</v>
      </c>
      <c r="I79" s="19">
        <v>41.0</v>
      </c>
    </row>
    <row r="80">
      <c r="A80" s="14">
        <v>3.667298E7</v>
      </c>
      <c r="B80" s="15" t="s">
        <v>138</v>
      </c>
      <c r="C80" s="15">
        <v>824.0</v>
      </c>
      <c r="D80" s="17">
        <v>1097.0</v>
      </c>
      <c r="E80" s="17">
        <v>718.0</v>
      </c>
      <c r="F80" s="5">
        <v>997.0</v>
      </c>
      <c r="G80" s="18">
        <v>1855.0</v>
      </c>
      <c r="H80" s="19">
        <v>50.7277628032345</v>
      </c>
      <c r="I80" s="19">
        <v>51.0</v>
      </c>
    </row>
    <row r="81">
      <c r="A81" s="14">
        <v>3.6673034E7</v>
      </c>
      <c r="B81" s="15" t="s">
        <v>137</v>
      </c>
      <c r="C81" s="15">
        <v>868.0</v>
      </c>
      <c r="D81" s="5">
        <v>1149.0</v>
      </c>
      <c r="E81" s="17">
        <v>843.0</v>
      </c>
      <c r="F81" s="5">
        <v>1119.0</v>
      </c>
      <c r="G81" s="18">
        <v>1855.0</v>
      </c>
      <c r="H81" s="19">
        <v>34.23180592991914</v>
      </c>
      <c r="I81" s="19">
        <v>34.0</v>
      </c>
    </row>
    <row r="82">
      <c r="A82" s="14">
        <v>3.6672977E7</v>
      </c>
      <c r="B82" s="15" t="s">
        <v>185</v>
      </c>
      <c r="C82" s="15">
        <v>824.0</v>
      </c>
      <c r="D82" s="17">
        <v>1097.0</v>
      </c>
      <c r="E82" s="17">
        <v>718.0</v>
      </c>
      <c r="F82" s="5">
        <v>997.0</v>
      </c>
      <c r="G82" s="18">
        <v>1700.0</v>
      </c>
      <c r="H82" s="19">
        <v>46.23529411764706</v>
      </c>
      <c r="I82" s="19">
        <v>46.0</v>
      </c>
    </row>
    <row r="83">
      <c r="A83" s="14">
        <v>3.6672974E7</v>
      </c>
      <c r="B83" s="15" t="s">
        <v>142</v>
      </c>
      <c r="C83" s="15">
        <v>824.0</v>
      </c>
      <c r="D83" s="17">
        <v>1097.0</v>
      </c>
      <c r="E83" s="17">
        <v>718.0</v>
      </c>
      <c r="F83" s="5">
        <v>997.0</v>
      </c>
      <c r="G83" s="18">
        <v>1700.0</v>
      </c>
      <c r="H83" s="19">
        <v>46.23529411764706</v>
      </c>
      <c r="I83" s="19">
        <v>46.0</v>
      </c>
    </row>
    <row r="84">
      <c r="A84" s="14">
        <v>3.7169027E7</v>
      </c>
      <c r="B84" s="15" t="s">
        <v>125</v>
      </c>
      <c r="C84" s="15">
        <v>824.0</v>
      </c>
      <c r="D84" s="17">
        <v>1097.0</v>
      </c>
      <c r="E84" s="17">
        <v>718.0</v>
      </c>
      <c r="F84" s="5">
        <v>997.0</v>
      </c>
      <c r="G84" s="18">
        <v>1570.0</v>
      </c>
      <c r="H84" s="19">
        <v>41.783439490445865</v>
      </c>
      <c r="I84" s="19">
        <v>42.0</v>
      </c>
    </row>
    <row r="85">
      <c r="A85" s="14">
        <v>3.7169024E7</v>
      </c>
      <c r="B85" s="15" t="s">
        <v>128</v>
      </c>
      <c r="C85" s="15">
        <v>824.0</v>
      </c>
      <c r="D85" s="17">
        <v>1097.0</v>
      </c>
      <c r="E85" s="17">
        <v>718.0</v>
      </c>
      <c r="F85" s="5">
        <v>997.0</v>
      </c>
      <c r="G85" s="18">
        <v>1570.0</v>
      </c>
      <c r="H85" s="19">
        <v>41.783439490445865</v>
      </c>
      <c r="I85" s="19">
        <v>42.0</v>
      </c>
    </row>
    <row r="86">
      <c r="A86" s="14">
        <v>3.7169025E7</v>
      </c>
      <c r="B86" s="15" t="s">
        <v>127</v>
      </c>
      <c r="C86" s="15">
        <v>824.0</v>
      </c>
      <c r="D86" s="17">
        <v>1097.0</v>
      </c>
      <c r="E86" s="17">
        <v>718.0</v>
      </c>
      <c r="F86" s="5">
        <v>997.0</v>
      </c>
      <c r="G86" s="18">
        <v>1570.0</v>
      </c>
      <c r="H86" s="19">
        <v>41.783439490445865</v>
      </c>
      <c r="I86" s="19">
        <v>42.0</v>
      </c>
    </row>
    <row r="87">
      <c r="A87" s="14">
        <v>3.7332294E7</v>
      </c>
      <c r="B87" s="15" t="s">
        <v>106</v>
      </c>
      <c r="C87" s="15">
        <v>824.0</v>
      </c>
      <c r="D87" s="17">
        <v>1097.0</v>
      </c>
      <c r="E87" s="17">
        <v>718.0</v>
      </c>
      <c r="F87" s="5">
        <v>997.0</v>
      </c>
      <c r="G87" s="18">
        <v>1999.0</v>
      </c>
      <c r="H87" s="19">
        <v>54.277138569284645</v>
      </c>
      <c r="I87" s="19">
        <v>54.0</v>
      </c>
    </row>
    <row r="88">
      <c r="A88" s="14">
        <v>3.7332292E7</v>
      </c>
      <c r="B88" s="15" t="s">
        <v>108</v>
      </c>
      <c r="C88" s="15">
        <v>824.0</v>
      </c>
      <c r="D88" s="17">
        <v>1097.0</v>
      </c>
      <c r="E88" s="17">
        <v>718.0</v>
      </c>
      <c r="F88" s="5">
        <v>997.0</v>
      </c>
      <c r="G88" s="18">
        <v>1999.0</v>
      </c>
      <c r="H88" s="19">
        <v>54.277138569284645</v>
      </c>
      <c r="I88" s="19">
        <v>54.0</v>
      </c>
    </row>
    <row r="89">
      <c r="A89" s="14">
        <v>3.7332287E7</v>
      </c>
      <c r="B89" s="15" t="s">
        <v>109</v>
      </c>
      <c r="C89" s="15">
        <v>824.0</v>
      </c>
      <c r="D89" s="17">
        <v>1097.0</v>
      </c>
      <c r="E89" s="17">
        <v>718.0</v>
      </c>
      <c r="F89" s="5">
        <v>997.0</v>
      </c>
      <c r="G89" s="18">
        <v>1999.0</v>
      </c>
      <c r="H89" s="19">
        <v>54.277138569284645</v>
      </c>
      <c r="I89" s="19">
        <v>54.0</v>
      </c>
    </row>
    <row r="90">
      <c r="A90" s="14">
        <v>3.7332286E7</v>
      </c>
      <c r="B90" s="15" t="s">
        <v>111</v>
      </c>
      <c r="C90" s="15">
        <v>824.0</v>
      </c>
      <c r="D90" s="17">
        <v>1097.0</v>
      </c>
      <c r="E90" s="17">
        <v>718.0</v>
      </c>
      <c r="F90" s="5">
        <v>997.0</v>
      </c>
      <c r="G90" s="18">
        <v>1999.0</v>
      </c>
      <c r="H90" s="19">
        <v>54.277138569284645</v>
      </c>
      <c r="I90" s="19">
        <v>54.0</v>
      </c>
    </row>
    <row r="91">
      <c r="A91" s="14">
        <v>3.7332285E7</v>
      </c>
      <c r="B91" s="15" t="s">
        <v>112</v>
      </c>
      <c r="C91" s="15">
        <v>824.0</v>
      </c>
      <c r="D91" s="17">
        <v>1097.0</v>
      </c>
      <c r="E91" s="17">
        <v>718.0</v>
      </c>
      <c r="F91" s="5">
        <v>997.0</v>
      </c>
      <c r="G91" s="18">
        <v>1999.0</v>
      </c>
      <c r="H91" s="19">
        <v>54.277138569284645</v>
      </c>
      <c r="I91" s="19">
        <v>54.0</v>
      </c>
    </row>
    <row r="92">
      <c r="A92" s="14">
        <v>3.7332284E7</v>
      </c>
      <c r="B92" s="15" t="s">
        <v>114</v>
      </c>
      <c r="C92" s="15">
        <v>824.0</v>
      </c>
      <c r="D92" s="17">
        <v>1097.0</v>
      </c>
      <c r="E92" s="17">
        <v>718.0</v>
      </c>
      <c r="F92" s="5">
        <v>997.0</v>
      </c>
      <c r="G92" s="18">
        <v>1999.0</v>
      </c>
      <c r="H92" s="19">
        <v>54.277138569284645</v>
      </c>
      <c r="I92" s="19">
        <v>54.0</v>
      </c>
    </row>
    <row r="93">
      <c r="A93" s="14">
        <v>3.7332283E7</v>
      </c>
      <c r="B93" s="15" t="s">
        <v>115</v>
      </c>
      <c r="C93" s="15">
        <v>824.0</v>
      </c>
      <c r="D93" s="17">
        <v>1097.0</v>
      </c>
      <c r="E93" s="17">
        <v>718.0</v>
      </c>
      <c r="F93" s="5">
        <v>997.0</v>
      </c>
      <c r="G93" s="18">
        <v>1999.0</v>
      </c>
      <c r="H93" s="19">
        <v>54.277138569284645</v>
      </c>
      <c r="I93" s="19">
        <v>54.0</v>
      </c>
    </row>
    <row r="94">
      <c r="A94" s="14">
        <v>3.7332282E7</v>
      </c>
      <c r="B94" s="15" t="s">
        <v>117</v>
      </c>
      <c r="C94" s="15">
        <v>824.0</v>
      </c>
      <c r="D94" s="17">
        <v>1097.0</v>
      </c>
      <c r="E94" s="17">
        <v>718.0</v>
      </c>
      <c r="F94" s="5">
        <v>997.0</v>
      </c>
      <c r="G94" s="18">
        <v>1999.0</v>
      </c>
      <c r="H94" s="19">
        <v>54.277138569284645</v>
      </c>
      <c r="I94" s="19">
        <v>54.0</v>
      </c>
    </row>
    <row r="95">
      <c r="A95" s="14">
        <v>3.7747504E7</v>
      </c>
      <c r="B95" s="15" t="s">
        <v>101</v>
      </c>
      <c r="C95" s="15">
        <v>824.0</v>
      </c>
      <c r="D95" s="17">
        <v>1097.0</v>
      </c>
      <c r="E95" s="17">
        <v>718.0</v>
      </c>
      <c r="F95" s="5">
        <v>997.0</v>
      </c>
      <c r="G95" s="18">
        <v>1999.0</v>
      </c>
      <c r="H95" s="19">
        <v>54.277138569284645</v>
      </c>
      <c r="I95" s="19">
        <v>54.0</v>
      </c>
    </row>
    <row r="96">
      <c r="A96" s="14">
        <v>3.7747306E7</v>
      </c>
      <c r="B96" s="15" t="s">
        <v>102</v>
      </c>
      <c r="C96" s="15">
        <v>824.0</v>
      </c>
      <c r="D96" s="17">
        <v>1097.0</v>
      </c>
      <c r="E96" s="17">
        <v>718.0</v>
      </c>
      <c r="F96" s="5">
        <v>997.0</v>
      </c>
      <c r="G96" s="18">
        <v>1999.0</v>
      </c>
      <c r="H96" s="19">
        <v>54.277138569284645</v>
      </c>
      <c r="I96" s="19">
        <v>54.0</v>
      </c>
    </row>
    <row r="97">
      <c r="A97" s="14">
        <v>3.7747304E7</v>
      </c>
      <c r="B97" s="15" t="s">
        <v>104</v>
      </c>
      <c r="C97" s="15">
        <v>824.0</v>
      </c>
      <c r="D97" s="17">
        <v>1097.0</v>
      </c>
      <c r="E97" s="17">
        <v>718.0</v>
      </c>
      <c r="F97" s="5">
        <v>997.0</v>
      </c>
      <c r="G97" s="18">
        <v>1999.0</v>
      </c>
      <c r="H97" s="19">
        <v>54.277138569284645</v>
      </c>
      <c r="I97" s="19">
        <v>54.0</v>
      </c>
    </row>
    <row r="98">
      <c r="A98" s="14">
        <v>3.7747302E7</v>
      </c>
      <c r="B98" s="15" t="s">
        <v>105</v>
      </c>
      <c r="C98" s="15">
        <v>824.0</v>
      </c>
      <c r="D98" s="17">
        <v>1097.0</v>
      </c>
      <c r="E98" s="17">
        <v>718.0</v>
      </c>
      <c r="F98" s="5">
        <v>997.0</v>
      </c>
      <c r="G98" s="18">
        <v>1999.0</v>
      </c>
      <c r="H98" s="19">
        <v>54.277138569284645</v>
      </c>
      <c r="I98" s="19">
        <v>54.0</v>
      </c>
    </row>
    <row r="99">
      <c r="A99" s="14">
        <v>4.2353974E7</v>
      </c>
      <c r="B99" s="15" t="s">
        <v>26</v>
      </c>
      <c r="C99" s="15">
        <v>868.0</v>
      </c>
      <c r="D99" s="5">
        <v>1149.0</v>
      </c>
      <c r="E99" s="17">
        <v>843.0</v>
      </c>
      <c r="F99" s="5">
        <v>1119.0</v>
      </c>
      <c r="G99" s="18">
        <v>1999.0</v>
      </c>
      <c r="H99" s="19">
        <v>38.969484742371186</v>
      </c>
      <c r="I99" s="19">
        <v>39.0</v>
      </c>
    </row>
    <row r="100">
      <c r="A100" s="14">
        <v>4.2353965E7</v>
      </c>
      <c r="B100" s="15" t="s">
        <v>52</v>
      </c>
      <c r="C100" s="15">
        <v>824.0</v>
      </c>
      <c r="D100" s="17">
        <v>1097.0</v>
      </c>
      <c r="E100" s="17">
        <v>718.0</v>
      </c>
      <c r="F100" s="5">
        <v>997.0</v>
      </c>
      <c r="G100" s="18">
        <v>1999.0</v>
      </c>
      <c r="H100" s="19">
        <v>54.277138569284645</v>
      </c>
      <c r="I100" s="19">
        <v>54.0</v>
      </c>
    </row>
    <row r="101">
      <c r="A101" s="14">
        <v>4.2353959E7</v>
      </c>
      <c r="B101" s="15" t="s">
        <v>64</v>
      </c>
      <c r="C101" s="15">
        <v>824.0</v>
      </c>
      <c r="D101" s="17">
        <v>1097.0</v>
      </c>
      <c r="E101" s="17">
        <v>718.0</v>
      </c>
      <c r="F101" s="5">
        <v>997.0</v>
      </c>
      <c r="G101" s="18">
        <v>1999.0</v>
      </c>
      <c r="H101" s="19">
        <v>54.277138569284645</v>
      </c>
      <c r="I101" s="19">
        <v>54.0</v>
      </c>
    </row>
    <row r="102">
      <c r="A102" s="14">
        <v>4.2353968E7</v>
      </c>
      <c r="B102" s="15" t="s">
        <v>47</v>
      </c>
      <c r="C102" s="15">
        <v>824.0</v>
      </c>
      <c r="D102" s="17">
        <v>1097.0</v>
      </c>
      <c r="E102" s="17">
        <v>718.0</v>
      </c>
      <c r="F102" s="5">
        <v>997.0</v>
      </c>
      <c r="G102" s="18">
        <v>1999.0</v>
      </c>
      <c r="H102" s="19">
        <v>54.277138569284645</v>
      </c>
      <c r="I102" s="19">
        <v>54.0</v>
      </c>
    </row>
    <row r="103">
      <c r="A103" s="14">
        <v>4.2353966E7</v>
      </c>
      <c r="B103" s="15" t="s">
        <v>51</v>
      </c>
      <c r="C103" s="15">
        <v>824.0</v>
      </c>
      <c r="D103" s="17">
        <v>1097.0</v>
      </c>
      <c r="E103" s="17">
        <v>718.0</v>
      </c>
      <c r="F103" s="5">
        <v>997.0</v>
      </c>
      <c r="G103" s="18">
        <v>1999.0</v>
      </c>
      <c r="H103" s="19">
        <v>54.277138569284645</v>
      </c>
      <c r="I103" s="19">
        <v>54.0</v>
      </c>
    </row>
    <row r="104">
      <c r="A104" s="14">
        <v>4.2353962E7</v>
      </c>
      <c r="B104" s="15" t="s">
        <v>58</v>
      </c>
      <c r="C104" s="15">
        <v>824.0</v>
      </c>
      <c r="D104" s="17">
        <v>1097.0</v>
      </c>
      <c r="E104" s="17">
        <v>718.0</v>
      </c>
      <c r="F104" s="5">
        <v>997.0</v>
      </c>
      <c r="G104" s="18">
        <v>1999.0</v>
      </c>
      <c r="H104" s="19">
        <v>54.277138569284645</v>
      </c>
      <c r="I104" s="19">
        <v>54.0</v>
      </c>
    </row>
    <row r="105">
      <c r="A105" s="14">
        <v>4.2353951E7</v>
      </c>
      <c r="B105" s="15" t="s">
        <v>76</v>
      </c>
      <c r="C105" s="15">
        <v>824.0</v>
      </c>
      <c r="D105" s="17">
        <v>1097.0</v>
      </c>
      <c r="E105" s="17">
        <v>718.0</v>
      </c>
      <c r="F105" s="5">
        <v>997.0</v>
      </c>
      <c r="G105" s="18">
        <v>1999.0</v>
      </c>
      <c r="H105" s="19">
        <v>54.277138569284645</v>
      </c>
      <c r="I105" s="19">
        <v>54.0</v>
      </c>
    </row>
    <row r="106">
      <c r="A106" s="14">
        <v>4.2353967E7</v>
      </c>
      <c r="B106" s="15" t="s">
        <v>49</v>
      </c>
      <c r="C106" s="15">
        <v>824.0</v>
      </c>
      <c r="D106" s="17">
        <v>1097.0</v>
      </c>
      <c r="E106" s="17">
        <v>718.0</v>
      </c>
      <c r="F106" s="5">
        <v>997.0</v>
      </c>
      <c r="G106" s="18">
        <v>1999.0</v>
      </c>
      <c r="H106" s="19">
        <v>54.277138569284645</v>
      </c>
      <c r="I106" s="19">
        <v>54.0</v>
      </c>
    </row>
    <row r="107">
      <c r="A107" s="14">
        <v>4.2353972E7</v>
      </c>
      <c r="B107" s="15" t="s">
        <v>191</v>
      </c>
      <c r="C107" s="15">
        <v>1110.0</v>
      </c>
      <c r="D107" s="5">
        <v>1569.0</v>
      </c>
      <c r="E107" s="17">
        <v>999.0</v>
      </c>
      <c r="F107" s="17">
        <v>1436.0</v>
      </c>
      <c r="G107" s="18">
        <v>1999.0</v>
      </c>
      <c r="H107" s="19">
        <v>34.017008504252125</v>
      </c>
      <c r="I107" s="19">
        <v>34.0</v>
      </c>
    </row>
    <row r="108">
      <c r="A108" s="14">
        <v>4.2353955E7</v>
      </c>
      <c r="B108" s="15" t="s">
        <v>69</v>
      </c>
      <c r="C108" s="15">
        <v>824.0</v>
      </c>
      <c r="D108" s="17">
        <v>1097.0</v>
      </c>
      <c r="E108" s="17">
        <v>718.0</v>
      </c>
      <c r="F108" s="5">
        <v>997.0</v>
      </c>
      <c r="G108" s="18">
        <v>1999.0</v>
      </c>
      <c r="H108" s="19">
        <v>54.277138569284645</v>
      </c>
      <c r="I108" s="19">
        <v>54.0</v>
      </c>
    </row>
    <row r="109">
      <c r="A109" s="14">
        <v>4.2353963E7</v>
      </c>
      <c r="B109" s="15" t="s">
        <v>56</v>
      </c>
      <c r="C109" s="15">
        <v>824.0</v>
      </c>
      <c r="D109" s="17">
        <v>1097.0</v>
      </c>
      <c r="E109" s="17">
        <v>718.0</v>
      </c>
      <c r="F109" s="5">
        <v>997.0</v>
      </c>
      <c r="G109" s="18">
        <v>1999.0</v>
      </c>
      <c r="H109" s="19">
        <v>54.277138569284645</v>
      </c>
      <c r="I109" s="19">
        <v>54.0</v>
      </c>
    </row>
    <row r="110">
      <c r="A110" s="14">
        <v>4.2353952E7</v>
      </c>
      <c r="B110" s="15" t="s">
        <v>75</v>
      </c>
      <c r="C110" s="15">
        <v>824.0</v>
      </c>
      <c r="D110" s="17">
        <v>1097.0</v>
      </c>
      <c r="E110" s="17">
        <v>718.0</v>
      </c>
      <c r="F110" s="5">
        <v>997.0</v>
      </c>
      <c r="G110" s="18">
        <v>1999.0</v>
      </c>
      <c r="H110" s="19">
        <v>54.277138569284645</v>
      </c>
      <c r="I110" s="19">
        <v>54.0</v>
      </c>
    </row>
    <row r="111">
      <c r="A111" s="14">
        <v>4.2353961E7</v>
      </c>
      <c r="B111" s="15" t="s">
        <v>60</v>
      </c>
      <c r="C111" s="15">
        <v>824.0</v>
      </c>
      <c r="D111" s="17">
        <v>1097.0</v>
      </c>
      <c r="E111" s="17">
        <v>718.0</v>
      </c>
      <c r="F111" s="5">
        <v>997.0</v>
      </c>
      <c r="G111" s="18">
        <v>1999.0</v>
      </c>
      <c r="H111" s="19">
        <v>54.277138569284645</v>
      </c>
      <c r="I111" s="19">
        <v>54.0</v>
      </c>
    </row>
    <row r="112">
      <c r="A112" s="14">
        <v>4.2353953E7</v>
      </c>
      <c r="B112" s="15" t="s">
        <v>72</v>
      </c>
      <c r="C112" s="15">
        <v>824.0</v>
      </c>
      <c r="D112" s="17">
        <v>1097.0</v>
      </c>
      <c r="E112" s="17">
        <v>718.0</v>
      </c>
      <c r="F112" s="5">
        <v>997.0</v>
      </c>
      <c r="G112" s="18">
        <v>1999.0</v>
      </c>
      <c r="H112" s="19">
        <v>54.277138569284645</v>
      </c>
      <c r="I112" s="19">
        <v>54.0</v>
      </c>
    </row>
    <row r="113">
      <c r="A113" s="14">
        <v>4.2353957E7</v>
      </c>
      <c r="B113" s="15" t="s">
        <v>67</v>
      </c>
      <c r="C113" s="15">
        <v>824.0</v>
      </c>
      <c r="D113" s="17">
        <v>1097.0</v>
      </c>
      <c r="E113" s="17">
        <v>718.0</v>
      </c>
      <c r="F113" s="5">
        <v>997.0</v>
      </c>
      <c r="G113" s="18">
        <v>1999.0</v>
      </c>
      <c r="H113" s="19">
        <v>54.277138569284645</v>
      </c>
      <c r="I113" s="19">
        <v>54.0</v>
      </c>
    </row>
    <row r="114">
      <c r="A114" s="14">
        <v>4.235397E7</v>
      </c>
      <c r="B114" s="15" t="s">
        <v>193</v>
      </c>
      <c r="C114" s="15">
        <v>824.0</v>
      </c>
      <c r="D114" s="17">
        <v>1097.0</v>
      </c>
      <c r="E114" s="17">
        <v>718.0</v>
      </c>
      <c r="F114" s="5">
        <v>997.0</v>
      </c>
      <c r="G114" s="18">
        <v>1999.0</v>
      </c>
      <c r="H114" s="19">
        <v>54.277138569284645</v>
      </c>
      <c r="I114" s="19">
        <v>54.0</v>
      </c>
    </row>
    <row r="115">
      <c r="A115" s="14">
        <v>4.2353958E7</v>
      </c>
      <c r="B115" s="15" t="s">
        <v>65</v>
      </c>
      <c r="C115" s="15">
        <v>824.0</v>
      </c>
      <c r="D115" s="17">
        <v>1097.0</v>
      </c>
      <c r="E115" s="17">
        <v>718.0</v>
      </c>
      <c r="F115" s="5">
        <v>997.0</v>
      </c>
      <c r="G115" s="18">
        <v>1999.0</v>
      </c>
      <c r="H115" s="19">
        <v>54.277138569284645</v>
      </c>
      <c r="I115" s="19">
        <v>54.0</v>
      </c>
    </row>
    <row r="116">
      <c r="A116" s="14">
        <v>4.2353971E7</v>
      </c>
      <c r="B116" s="15" t="s">
        <v>28</v>
      </c>
      <c r="C116" s="15">
        <v>824.0</v>
      </c>
      <c r="D116" s="17">
        <v>1097.0</v>
      </c>
      <c r="E116" s="17">
        <v>718.0</v>
      </c>
      <c r="F116" s="5">
        <v>997.0</v>
      </c>
      <c r="G116" s="18">
        <v>1999.0</v>
      </c>
      <c r="H116" s="19">
        <v>54.277138569284645</v>
      </c>
      <c r="I116" s="19">
        <v>54.0</v>
      </c>
    </row>
    <row r="117">
      <c r="A117" s="14">
        <v>4.2353964E7</v>
      </c>
      <c r="B117" s="15" t="s">
        <v>55</v>
      </c>
      <c r="C117" s="15">
        <v>824.0</v>
      </c>
      <c r="D117" s="17">
        <v>1097.0</v>
      </c>
      <c r="E117" s="17">
        <v>718.0</v>
      </c>
      <c r="F117" s="5">
        <v>997.0</v>
      </c>
      <c r="G117" s="18">
        <v>1999.0</v>
      </c>
      <c r="H117" s="19">
        <v>54.277138569284645</v>
      </c>
      <c r="I117" s="19">
        <v>54.0</v>
      </c>
    </row>
    <row r="118">
      <c r="A118" s="14">
        <v>4.2353949E7</v>
      </c>
      <c r="B118" s="15" t="s">
        <v>80</v>
      </c>
      <c r="C118" s="15">
        <v>824.0</v>
      </c>
      <c r="D118" s="17">
        <v>1097.0</v>
      </c>
      <c r="E118" s="17">
        <v>718.0</v>
      </c>
      <c r="F118" s="5">
        <v>997.0</v>
      </c>
      <c r="G118" s="18">
        <v>1999.0</v>
      </c>
      <c r="H118" s="19">
        <v>54.277138569284645</v>
      </c>
      <c r="I118" s="19">
        <v>54.0</v>
      </c>
    </row>
    <row r="119">
      <c r="A119" s="14">
        <v>4.235395E7</v>
      </c>
      <c r="B119" s="15" t="s">
        <v>79</v>
      </c>
      <c r="C119" s="15">
        <v>824.0</v>
      </c>
      <c r="D119" s="17">
        <v>1097.0</v>
      </c>
      <c r="E119" s="17">
        <v>718.0</v>
      </c>
      <c r="F119" s="5">
        <v>997.0</v>
      </c>
      <c r="G119" s="18">
        <v>1999.0</v>
      </c>
      <c r="H119" s="19">
        <v>54.277138569284645</v>
      </c>
      <c r="I119" s="19">
        <v>54.0</v>
      </c>
    </row>
    <row r="120">
      <c r="A120" s="14">
        <v>4.2353948E7</v>
      </c>
      <c r="B120" s="15" t="s">
        <v>82</v>
      </c>
      <c r="C120" s="15">
        <v>824.0</v>
      </c>
      <c r="D120" s="17">
        <v>1097.0</v>
      </c>
      <c r="E120" s="17">
        <v>718.0</v>
      </c>
      <c r="F120" s="5">
        <v>997.0</v>
      </c>
      <c r="G120" s="18">
        <v>1999.0</v>
      </c>
      <c r="H120" s="19">
        <v>54.277138569284645</v>
      </c>
      <c r="I120" s="19">
        <v>54.0</v>
      </c>
    </row>
    <row r="121">
      <c r="A121" s="14">
        <v>4.2353969E7</v>
      </c>
      <c r="B121" s="15" t="s">
        <v>42</v>
      </c>
      <c r="C121" s="15">
        <v>824.0</v>
      </c>
      <c r="D121" s="17">
        <v>1097.0</v>
      </c>
      <c r="E121" s="17">
        <v>718.0</v>
      </c>
      <c r="F121" s="5">
        <v>997.0</v>
      </c>
      <c r="G121" s="18">
        <v>1999.0</v>
      </c>
      <c r="H121" s="19">
        <v>54.277138569284645</v>
      </c>
      <c r="I121" s="19">
        <v>54.0</v>
      </c>
    </row>
    <row r="122">
      <c r="A122" s="14">
        <v>4.2353954E7</v>
      </c>
      <c r="B122" s="15" t="s">
        <v>71</v>
      </c>
      <c r="C122" s="15">
        <v>824.0</v>
      </c>
      <c r="D122" s="17">
        <v>1097.0</v>
      </c>
      <c r="E122" s="17">
        <v>718.0</v>
      </c>
      <c r="F122" s="5">
        <v>997.0</v>
      </c>
      <c r="G122" s="18">
        <v>1999.0</v>
      </c>
      <c r="H122" s="19">
        <v>54.277138569284645</v>
      </c>
      <c r="I122" s="19">
        <v>54.0</v>
      </c>
    </row>
    <row r="123">
      <c r="A123" s="14">
        <v>4.2353956E7</v>
      </c>
      <c r="B123" s="15" t="s">
        <v>195</v>
      </c>
      <c r="C123" s="15">
        <v>824.0</v>
      </c>
      <c r="D123" s="17">
        <v>1097.0</v>
      </c>
      <c r="E123" s="17">
        <v>718.0</v>
      </c>
      <c r="F123" s="5">
        <v>997.0</v>
      </c>
      <c r="G123" s="18">
        <v>1999.0</v>
      </c>
      <c r="H123" s="19">
        <v>54.277138569284645</v>
      </c>
      <c r="I123" s="19">
        <v>54.0</v>
      </c>
    </row>
    <row r="124">
      <c r="A124" s="14">
        <v>4.235396E7</v>
      </c>
      <c r="B124" s="15" t="s">
        <v>61</v>
      </c>
      <c r="C124" s="15">
        <v>824.0</v>
      </c>
      <c r="D124" s="17">
        <v>1097.0</v>
      </c>
      <c r="E124" s="17">
        <v>718.0</v>
      </c>
      <c r="F124" s="5">
        <v>997.0</v>
      </c>
      <c r="G124" s="18">
        <v>1999.0</v>
      </c>
      <c r="H124" s="19">
        <v>54.277138569284645</v>
      </c>
      <c r="I124" s="19">
        <v>54.0</v>
      </c>
    </row>
    <row r="125">
      <c r="A125" s="14">
        <v>3.5805405E7</v>
      </c>
      <c r="B125" s="15" t="s">
        <v>164</v>
      </c>
      <c r="C125" s="15">
        <v>1376.0</v>
      </c>
      <c r="D125" s="5">
        <v>1939.0</v>
      </c>
      <c r="E125" s="17">
        <v>1260.0</v>
      </c>
      <c r="F125" s="5">
        <v>1798.0</v>
      </c>
      <c r="G125" s="18">
        <v>2657.0</v>
      </c>
      <c r="H125" s="19">
        <v>34.8889725254046</v>
      </c>
      <c r="I125" s="19">
        <v>35.0</v>
      </c>
    </row>
    <row r="126">
      <c r="A126" s="14">
        <v>3.58054E7</v>
      </c>
      <c r="B126" s="15" t="s">
        <v>165</v>
      </c>
      <c r="C126" s="15">
        <v>1376.0</v>
      </c>
      <c r="D126" s="5">
        <v>1939.0</v>
      </c>
      <c r="E126" s="17">
        <v>1260.0</v>
      </c>
      <c r="F126" s="5">
        <v>1798.0</v>
      </c>
      <c r="G126" s="18">
        <v>2828.0</v>
      </c>
      <c r="H126" s="19">
        <v>38.82602545968883</v>
      </c>
      <c r="I126" s="19">
        <v>39.0</v>
      </c>
    </row>
    <row r="127">
      <c r="A127" s="14">
        <v>3.620191E7</v>
      </c>
      <c r="B127" s="15" t="s">
        <v>162</v>
      </c>
      <c r="C127" s="15">
        <v>712.0</v>
      </c>
      <c r="D127" s="17">
        <v>1000.0</v>
      </c>
      <c r="E127" s="17">
        <v>612.0</v>
      </c>
      <c r="F127" s="17">
        <v>836.0</v>
      </c>
      <c r="G127" s="18">
        <v>1427.0</v>
      </c>
      <c r="H127" s="19">
        <v>41.41555711282411</v>
      </c>
      <c r="I127" s="19">
        <v>41.0</v>
      </c>
    </row>
    <row r="128">
      <c r="A128" s="14">
        <v>3.6201921E7</v>
      </c>
      <c r="B128" s="15" t="s">
        <v>161</v>
      </c>
      <c r="C128" s="15">
        <v>712.0</v>
      </c>
      <c r="D128" s="17">
        <v>1000.0</v>
      </c>
      <c r="E128" s="17">
        <v>612.0</v>
      </c>
      <c r="F128" s="17">
        <v>836.0</v>
      </c>
      <c r="G128" s="18">
        <v>1427.0</v>
      </c>
      <c r="H128" s="19">
        <v>41.41555711282411</v>
      </c>
      <c r="I128" s="19">
        <v>41.0</v>
      </c>
    </row>
    <row r="129">
      <c r="A129" s="14">
        <v>3.6689841E7</v>
      </c>
      <c r="B129" s="15" t="s">
        <v>129</v>
      </c>
      <c r="C129" s="15">
        <v>1376.0</v>
      </c>
      <c r="D129" s="5">
        <v>1939.0</v>
      </c>
      <c r="E129" s="17">
        <v>1260.0</v>
      </c>
      <c r="F129" s="5">
        <v>1798.0</v>
      </c>
      <c r="G129" s="18">
        <v>2657.0</v>
      </c>
      <c r="H129" s="19">
        <v>34.8889725254046</v>
      </c>
      <c r="I129" s="19">
        <v>35.0</v>
      </c>
    </row>
    <row r="130">
      <c r="A130" s="14">
        <v>3.668984E7</v>
      </c>
      <c r="B130" s="15" t="s">
        <v>131</v>
      </c>
      <c r="C130" s="15">
        <v>1376.0</v>
      </c>
      <c r="D130" s="5">
        <v>1939.0</v>
      </c>
      <c r="E130" s="17">
        <v>1260.0</v>
      </c>
      <c r="F130" s="5">
        <v>1798.0</v>
      </c>
      <c r="G130" s="18">
        <v>2828.0</v>
      </c>
      <c r="H130" s="19">
        <v>38.82602545968883</v>
      </c>
      <c r="I130" s="19">
        <v>39.0</v>
      </c>
    </row>
    <row r="131">
      <c r="A131" s="14">
        <v>3.6689839E7</v>
      </c>
      <c r="B131" s="15" t="s">
        <v>132</v>
      </c>
      <c r="C131" s="15">
        <v>1376.0</v>
      </c>
      <c r="D131" s="5">
        <v>1939.0</v>
      </c>
      <c r="E131" s="17">
        <v>1260.0</v>
      </c>
      <c r="F131" s="5">
        <v>1798.0</v>
      </c>
      <c r="G131" s="18">
        <v>2828.0</v>
      </c>
      <c r="H131" s="19">
        <v>38.82602545968883</v>
      </c>
      <c r="I131" s="19">
        <v>39.0</v>
      </c>
    </row>
    <row r="132">
      <c r="A132" s="14">
        <v>3.6689837E7</v>
      </c>
      <c r="B132" s="15" t="s">
        <v>135</v>
      </c>
      <c r="C132" s="15">
        <v>1376.0</v>
      </c>
      <c r="D132" s="5">
        <v>1939.0</v>
      </c>
      <c r="E132" s="17">
        <v>1260.0</v>
      </c>
      <c r="F132" s="5">
        <v>1798.0</v>
      </c>
      <c r="G132" s="18">
        <v>2657.0</v>
      </c>
      <c r="H132" s="19">
        <v>34.8889725254046</v>
      </c>
      <c r="I132" s="19">
        <v>35.0</v>
      </c>
    </row>
    <row r="133">
      <c r="A133" s="14">
        <v>3.6689838E7</v>
      </c>
      <c r="B133" s="15" t="s">
        <v>134</v>
      </c>
      <c r="C133" s="15">
        <v>1376.0</v>
      </c>
      <c r="D133" s="5">
        <v>1939.0</v>
      </c>
      <c r="E133" s="17">
        <v>1260.0</v>
      </c>
      <c r="F133" s="5">
        <v>1798.0</v>
      </c>
      <c r="G133" s="18">
        <v>2657.0</v>
      </c>
      <c r="H133" s="19">
        <v>34.8889725254046</v>
      </c>
      <c r="I133" s="19">
        <v>35.0</v>
      </c>
    </row>
    <row r="134">
      <c r="A134" s="14">
        <v>3.7310368E7</v>
      </c>
      <c r="B134" s="15" t="s">
        <v>118</v>
      </c>
      <c r="C134" s="15">
        <v>1376.0</v>
      </c>
      <c r="D134" s="5">
        <v>1939.0</v>
      </c>
      <c r="E134" s="17">
        <v>1260.0</v>
      </c>
      <c r="F134" s="5">
        <v>1798.0</v>
      </c>
      <c r="G134" s="18">
        <v>2999.0</v>
      </c>
      <c r="H134" s="19">
        <v>42.31410470156719</v>
      </c>
      <c r="I134" s="19">
        <v>42.0</v>
      </c>
    </row>
    <row r="135">
      <c r="A135" s="14">
        <v>3.7310367E7</v>
      </c>
      <c r="B135" s="15" t="s">
        <v>119</v>
      </c>
      <c r="C135" s="15">
        <v>1376.0</v>
      </c>
      <c r="D135" s="5">
        <v>1939.0</v>
      </c>
      <c r="E135" s="17">
        <v>1260.0</v>
      </c>
      <c r="F135" s="5">
        <v>1798.0</v>
      </c>
      <c r="G135" s="18">
        <v>2999.0</v>
      </c>
      <c r="H135" s="19">
        <v>42.31410470156719</v>
      </c>
      <c r="I135" s="19">
        <v>42.0</v>
      </c>
    </row>
    <row r="136">
      <c r="A136" s="14">
        <v>3.7310366E7</v>
      </c>
      <c r="B136" s="15" t="s">
        <v>121</v>
      </c>
      <c r="C136" s="15">
        <v>1376.0</v>
      </c>
      <c r="D136" s="5">
        <v>1939.0</v>
      </c>
      <c r="E136" s="17">
        <v>1260.0</v>
      </c>
      <c r="F136" s="5">
        <v>1798.0</v>
      </c>
      <c r="G136" s="18">
        <v>2999.0</v>
      </c>
      <c r="H136" s="19">
        <v>42.31410470156719</v>
      </c>
      <c r="I136" s="19">
        <v>42.0</v>
      </c>
    </row>
    <row r="137">
      <c r="A137" s="14">
        <v>3.7310365E7</v>
      </c>
      <c r="B137" s="15" t="s">
        <v>122</v>
      </c>
      <c r="C137" s="15">
        <v>1335.0</v>
      </c>
      <c r="D137" s="5">
        <v>1889.0</v>
      </c>
      <c r="E137" s="17">
        <v>1203.0</v>
      </c>
      <c r="F137" s="5">
        <v>1728.0</v>
      </c>
      <c r="G137" s="12">
        <v>2799.0</v>
      </c>
      <c r="H137" s="19">
        <v>41.58628081457664</v>
      </c>
      <c r="I137" s="19">
        <v>42.0</v>
      </c>
    </row>
    <row r="138">
      <c r="A138" s="14">
        <v>3.7310364E7</v>
      </c>
      <c r="B138" s="15" t="s">
        <v>124</v>
      </c>
      <c r="C138" s="15">
        <v>1335.0</v>
      </c>
      <c r="D138" s="5">
        <v>1889.0</v>
      </c>
      <c r="E138" s="17">
        <v>1203.0</v>
      </c>
      <c r="F138" s="5">
        <v>1728.0</v>
      </c>
      <c r="G138" s="12">
        <v>2799.0</v>
      </c>
      <c r="H138" s="19">
        <v>41.58628081457664</v>
      </c>
      <c r="I138" s="19">
        <v>42.0</v>
      </c>
    </row>
    <row r="139">
      <c r="A139" s="14">
        <v>3.8335565E7</v>
      </c>
      <c r="B139" s="15" t="s">
        <v>87</v>
      </c>
      <c r="C139" s="15">
        <v>1376.0</v>
      </c>
      <c r="D139" s="5">
        <v>1939.0</v>
      </c>
      <c r="E139" s="17">
        <v>1260.0</v>
      </c>
      <c r="F139" s="5">
        <v>1798.0</v>
      </c>
      <c r="G139" s="18">
        <v>2999.0</v>
      </c>
      <c r="H139" s="19">
        <v>42.31410470156719</v>
      </c>
      <c r="I139" s="19">
        <v>42.0</v>
      </c>
    </row>
    <row r="140">
      <c r="A140" s="14">
        <v>3.8335557E7</v>
      </c>
      <c r="B140" s="15" t="s">
        <v>99</v>
      </c>
      <c r="C140" s="15">
        <v>1376.0</v>
      </c>
      <c r="D140" s="5">
        <v>1939.0</v>
      </c>
      <c r="E140" s="17">
        <v>1260.0</v>
      </c>
      <c r="F140" s="5">
        <v>1798.0</v>
      </c>
      <c r="G140" s="18">
        <v>2999.0</v>
      </c>
      <c r="H140" s="19">
        <v>42.31410470156719</v>
      </c>
      <c r="I140" s="19">
        <v>42.0</v>
      </c>
    </row>
    <row r="141">
      <c r="A141" s="14">
        <v>3.833556E7</v>
      </c>
      <c r="B141" s="15" t="s">
        <v>95</v>
      </c>
      <c r="C141" s="15">
        <v>1376.0</v>
      </c>
      <c r="D141" s="5">
        <v>1939.0</v>
      </c>
      <c r="E141" s="17">
        <v>1260.0</v>
      </c>
      <c r="F141" s="5">
        <v>1798.0</v>
      </c>
      <c r="G141" s="18">
        <v>2999.0</v>
      </c>
      <c r="H141" s="19">
        <v>42.31410470156719</v>
      </c>
      <c r="I141" s="19">
        <v>42.0</v>
      </c>
    </row>
    <row r="142">
      <c r="A142" s="14">
        <v>3.8335559E7</v>
      </c>
      <c r="B142" s="15" t="s">
        <v>96</v>
      </c>
      <c r="C142" s="15">
        <v>1335.0</v>
      </c>
      <c r="D142" s="5">
        <v>1889.0</v>
      </c>
      <c r="E142" s="17">
        <v>1203.0</v>
      </c>
      <c r="F142" s="5">
        <v>1728.0</v>
      </c>
      <c r="G142" s="12">
        <v>2999.0</v>
      </c>
      <c r="H142" s="19">
        <v>45.48182727575858</v>
      </c>
      <c r="I142" s="19">
        <v>45.0</v>
      </c>
    </row>
    <row r="143">
      <c r="A143" s="14">
        <v>3.8335564E7</v>
      </c>
      <c r="B143" s="15" t="s">
        <v>89</v>
      </c>
      <c r="C143" s="15">
        <v>1376.0</v>
      </c>
      <c r="D143" s="5">
        <v>1939.0</v>
      </c>
      <c r="E143" s="17">
        <v>1260.0</v>
      </c>
      <c r="F143" s="5">
        <v>1798.0</v>
      </c>
      <c r="G143" s="18">
        <v>2999.0</v>
      </c>
      <c r="H143" s="19">
        <v>42.31410470156719</v>
      </c>
      <c r="I143" s="19">
        <v>42.0</v>
      </c>
    </row>
    <row r="144">
      <c r="A144" s="14">
        <v>3.8335567E7</v>
      </c>
      <c r="B144" s="15" t="s">
        <v>85</v>
      </c>
      <c r="C144" s="15">
        <v>1376.0</v>
      </c>
      <c r="D144" s="5">
        <v>1939.0</v>
      </c>
      <c r="E144" s="17">
        <v>1260.0</v>
      </c>
      <c r="F144" s="5">
        <v>1798.0</v>
      </c>
      <c r="G144" s="18">
        <v>2999.0</v>
      </c>
      <c r="H144" s="19">
        <v>42.31410470156719</v>
      </c>
      <c r="I144" s="19">
        <v>42.0</v>
      </c>
    </row>
    <row r="145">
      <c r="A145" s="14">
        <v>3.8335569E7</v>
      </c>
      <c r="B145" s="15" t="s">
        <v>83</v>
      </c>
      <c r="C145" s="15">
        <v>1376.0</v>
      </c>
      <c r="D145" s="5">
        <v>1939.0</v>
      </c>
      <c r="E145" s="17">
        <v>1260.0</v>
      </c>
      <c r="F145" s="5">
        <v>1798.0</v>
      </c>
      <c r="G145" s="18">
        <v>2999.0</v>
      </c>
      <c r="H145" s="19">
        <v>42.31410470156719</v>
      </c>
      <c r="I145" s="19">
        <v>42.0</v>
      </c>
    </row>
    <row r="146">
      <c r="A146" s="14">
        <v>3.8335568E7</v>
      </c>
      <c r="B146" s="15" t="s">
        <v>196</v>
      </c>
      <c r="C146" s="15">
        <v>1603.0</v>
      </c>
      <c r="D146" s="5">
        <v>2338.0</v>
      </c>
      <c r="E146" s="17">
        <v>1425.0</v>
      </c>
      <c r="F146" s="5">
        <v>1998.0</v>
      </c>
      <c r="G146" s="18">
        <v>2999.0</v>
      </c>
      <c r="H146" s="19">
        <v>37.47915971990663</v>
      </c>
      <c r="I146" s="19">
        <v>37.0</v>
      </c>
    </row>
    <row r="147">
      <c r="A147" s="14">
        <v>3.833557E7</v>
      </c>
      <c r="B147" s="15" t="s">
        <v>197</v>
      </c>
      <c r="C147" s="15">
        <v>1603.0</v>
      </c>
      <c r="D147" s="5">
        <v>2338.0</v>
      </c>
      <c r="E147" s="17">
        <v>1425.0</v>
      </c>
      <c r="F147" s="5">
        <v>1998.0</v>
      </c>
      <c r="G147" s="18">
        <v>2999.0</v>
      </c>
      <c r="H147" s="19">
        <v>37.47915971990663</v>
      </c>
      <c r="I147" s="19">
        <v>37.0</v>
      </c>
    </row>
    <row r="148">
      <c r="A148" s="14">
        <v>3.8335571E7</v>
      </c>
      <c r="B148" s="15" t="s">
        <v>198</v>
      </c>
      <c r="C148" s="15">
        <v>1603.0</v>
      </c>
      <c r="D148" s="5">
        <v>2338.0</v>
      </c>
      <c r="E148" s="17">
        <v>1425.0</v>
      </c>
      <c r="F148" s="5">
        <v>1998.0</v>
      </c>
      <c r="G148" s="18">
        <v>2999.0</v>
      </c>
      <c r="H148" s="19">
        <v>37.47915971990663</v>
      </c>
      <c r="I148" s="19">
        <v>37.0</v>
      </c>
    </row>
    <row r="149">
      <c r="A149" s="14">
        <v>3.8335572E7</v>
      </c>
      <c r="B149" s="15" t="s">
        <v>199</v>
      </c>
      <c r="C149" s="15">
        <v>1603.0</v>
      </c>
      <c r="D149" s="5">
        <v>2338.0</v>
      </c>
      <c r="E149" s="17">
        <v>1425.0</v>
      </c>
      <c r="F149" s="5">
        <v>1998.0</v>
      </c>
      <c r="G149" s="12">
        <v>2999.0</v>
      </c>
      <c r="H149" s="19">
        <v>42.31410470156719</v>
      </c>
      <c r="I149" s="19">
        <v>42.0</v>
      </c>
    </row>
    <row r="150">
      <c r="A150" s="14">
        <v>3.8335563E7</v>
      </c>
      <c r="B150" s="15" t="s">
        <v>90</v>
      </c>
      <c r="C150" s="15">
        <v>1376.0</v>
      </c>
      <c r="D150" s="5">
        <v>1939.0</v>
      </c>
      <c r="E150" s="17">
        <v>1260.0</v>
      </c>
      <c r="F150" s="5">
        <v>1798.0</v>
      </c>
      <c r="G150" s="18">
        <v>2999.0</v>
      </c>
      <c r="H150" s="19">
        <v>42.31410470156719</v>
      </c>
      <c r="I150" s="19">
        <v>42.0</v>
      </c>
    </row>
    <row r="151">
      <c r="A151" s="14">
        <v>3.8335562E7</v>
      </c>
      <c r="B151" s="15" t="s">
        <v>92</v>
      </c>
      <c r="C151" s="15">
        <v>1376.0</v>
      </c>
      <c r="D151" s="5">
        <v>1939.0</v>
      </c>
      <c r="E151" s="17">
        <v>1260.0</v>
      </c>
      <c r="F151" s="5">
        <v>1798.0</v>
      </c>
      <c r="G151" s="18">
        <v>2999.0</v>
      </c>
      <c r="H151" s="19">
        <v>42.31410470156719</v>
      </c>
      <c r="I151" s="19">
        <v>42.0</v>
      </c>
    </row>
    <row r="152">
      <c r="A152" s="14">
        <v>3.8335561E7</v>
      </c>
      <c r="B152" s="15" t="s">
        <v>93</v>
      </c>
      <c r="C152" s="15">
        <v>1376.0</v>
      </c>
      <c r="D152" s="5">
        <v>1939.0</v>
      </c>
      <c r="E152" s="17">
        <v>1260.0</v>
      </c>
      <c r="F152" s="5">
        <v>1798.0</v>
      </c>
      <c r="G152" s="18">
        <v>2999.0</v>
      </c>
      <c r="H152" s="19">
        <v>42.31410470156719</v>
      </c>
      <c r="I152" s="19">
        <v>42.0</v>
      </c>
    </row>
    <row r="153">
      <c r="A153" s="14">
        <v>3.8335566E7</v>
      </c>
      <c r="B153" s="15" t="s">
        <v>86</v>
      </c>
      <c r="C153" s="15">
        <v>1376.0</v>
      </c>
      <c r="D153" s="5">
        <v>1939.0</v>
      </c>
      <c r="E153" s="17">
        <v>1260.0</v>
      </c>
      <c r="F153" s="5">
        <v>1798.0</v>
      </c>
      <c r="G153" s="18">
        <v>2999.0</v>
      </c>
      <c r="H153" s="19">
        <v>42.31410470156719</v>
      </c>
      <c r="I153" s="19">
        <v>42.0</v>
      </c>
    </row>
    <row r="154">
      <c r="A154" s="14">
        <v>3.8335558E7</v>
      </c>
      <c r="B154" s="15" t="s">
        <v>98</v>
      </c>
      <c r="C154" s="15">
        <v>1376.0</v>
      </c>
      <c r="D154" s="5">
        <v>1939.0</v>
      </c>
      <c r="E154" s="17">
        <v>1260.0</v>
      </c>
      <c r="F154" s="5">
        <v>1798.0</v>
      </c>
      <c r="G154" s="18">
        <v>2999.0</v>
      </c>
      <c r="H154" s="19">
        <v>42.31410470156719</v>
      </c>
      <c r="I154" s="19">
        <v>42.0</v>
      </c>
    </row>
    <row r="155">
      <c r="A155" s="5">
        <v>4.4159396E7</v>
      </c>
      <c r="B155" s="5" t="s">
        <v>200</v>
      </c>
      <c r="C155" s="15">
        <v>868.0</v>
      </c>
      <c r="D155" s="5">
        <v>1149.0</v>
      </c>
      <c r="E155" s="17">
        <v>843.0</v>
      </c>
      <c r="F155" s="5">
        <v>1119.0</v>
      </c>
      <c r="G155" s="18">
        <v>2199.0</v>
      </c>
      <c r="H155" s="17">
        <v>44.52023647112323</v>
      </c>
      <c r="I155" s="19">
        <v>45.0</v>
      </c>
    </row>
    <row r="156">
      <c r="A156" s="5">
        <v>4.4159387E7</v>
      </c>
      <c r="B156" s="5" t="s">
        <v>201</v>
      </c>
      <c r="C156" s="15">
        <v>868.0</v>
      </c>
      <c r="D156" s="5">
        <v>1149.0</v>
      </c>
      <c r="E156" s="17">
        <v>843.0</v>
      </c>
      <c r="F156" s="5">
        <v>1119.0</v>
      </c>
      <c r="G156" s="18">
        <v>2199.0</v>
      </c>
      <c r="H156" s="17">
        <v>44.52023647112323</v>
      </c>
      <c r="I156" s="19">
        <v>45.0</v>
      </c>
    </row>
    <row r="157">
      <c r="A157" s="5">
        <v>4.4159388E7</v>
      </c>
      <c r="B157" s="5" t="s">
        <v>202</v>
      </c>
      <c r="C157" s="15">
        <v>868.0</v>
      </c>
      <c r="D157" s="5">
        <v>1149.0</v>
      </c>
      <c r="E157" s="17">
        <v>843.0</v>
      </c>
      <c r="F157" s="5">
        <v>1119.0</v>
      </c>
      <c r="G157" s="18">
        <v>2199.0</v>
      </c>
      <c r="H157" s="17">
        <v>44.52023647112323</v>
      </c>
      <c r="I157" s="19">
        <v>45.0</v>
      </c>
    </row>
    <row r="158">
      <c r="A158" s="5">
        <v>4.4159386E7</v>
      </c>
      <c r="B158" s="5" t="s">
        <v>203</v>
      </c>
      <c r="C158" s="15">
        <v>868.0</v>
      </c>
      <c r="D158" s="5">
        <v>1149.0</v>
      </c>
      <c r="E158" s="17">
        <v>843.0</v>
      </c>
      <c r="F158" s="5">
        <v>1119.0</v>
      </c>
      <c r="G158" s="18">
        <v>2199.0</v>
      </c>
      <c r="H158" s="17">
        <v>44.52023647112323</v>
      </c>
      <c r="I158" s="19">
        <v>45.0</v>
      </c>
    </row>
    <row r="159">
      <c r="A159" s="5">
        <v>4.4159398E7</v>
      </c>
      <c r="B159" s="5" t="s">
        <v>204</v>
      </c>
      <c r="C159" s="15">
        <v>868.0</v>
      </c>
      <c r="D159" s="5">
        <v>1149.0</v>
      </c>
      <c r="E159" s="17">
        <v>843.0</v>
      </c>
      <c r="F159" s="5">
        <v>1119.0</v>
      </c>
      <c r="G159" s="18">
        <v>2199.0</v>
      </c>
      <c r="H159" s="17">
        <v>44.52023647112323</v>
      </c>
      <c r="I159" s="19">
        <v>45.0</v>
      </c>
    </row>
    <row r="160">
      <c r="A160" s="5">
        <v>4.4159406E7</v>
      </c>
      <c r="B160" s="5" t="s">
        <v>205</v>
      </c>
      <c r="C160" s="15">
        <v>868.0</v>
      </c>
      <c r="D160" s="5">
        <v>1149.0</v>
      </c>
      <c r="E160" s="17">
        <v>843.0</v>
      </c>
      <c r="F160" s="5">
        <v>1119.0</v>
      </c>
      <c r="G160" s="18">
        <v>2199.0</v>
      </c>
      <c r="H160" s="17">
        <v>44.52023647112323</v>
      </c>
      <c r="I160" s="19">
        <v>45.0</v>
      </c>
    </row>
    <row r="161">
      <c r="A161" s="5">
        <v>4.4159397E7</v>
      </c>
      <c r="B161" s="5" t="s">
        <v>206</v>
      </c>
      <c r="C161" s="15">
        <v>824.0</v>
      </c>
      <c r="D161" s="17">
        <v>1097.0</v>
      </c>
      <c r="E161" s="17">
        <v>718.0</v>
      </c>
      <c r="F161" s="5">
        <v>997.0</v>
      </c>
      <c r="G161" s="18">
        <v>2199.0</v>
      </c>
      <c r="H161" s="17">
        <v>58.435652569349706</v>
      </c>
      <c r="I161" s="19">
        <v>58.0</v>
      </c>
    </row>
    <row r="162">
      <c r="A162" s="5">
        <v>4.4159407E7</v>
      </c>
      <c r="B162" s="5" t="s">
        <v>207</v>
      </c>
      <c r="C162" s="15">
        <v>868.0</v>
      </c>
      <c r="D162" s="5">
        <v>1149.0</v>
      </c>
      <c r="E162" s="17">
        <v>843.0</v>
      </c>
      <c r="F162" s="5">
        <v>1119.0</v>
      </c>
      <c r="G162" s="18">
        <v>2199.0</v>
      </c>
      <c r="H162" s="17">
        <v>44.52023647112323</v>
      </c>
      <c r="I162" s="19">
        <v>45.0</v>
      </c>
    </row>
    <row r="163">
      <c r="A163" s="5">
        <v>4.41594E7</v>
      </c>
      <c r="B163" s="5" t="s">
        <v>208</v>
      </c>
      <c r="C163" s="15">
        <v>868.0</v>
      </c>
      <c r="D163" s="5">
        <v>1149.0</v>
      </c>
      <c r="E163" s="17">
        <v>843.0</v>
      </c>
      <c r="F163" s="5">
        <v>1119.0</v>
      </c>
      <c r="G163" s="18">
        <v>2199.0</v>
      </c>
      <c r="H163" s="17">
        <v>44.52023647112323</v>
      </c>
      <c r="I163" s="19">
        <v>45.0</v>
      </c>
    </row>
    <row r="164">
      <c r="A164" s="5">
        <v>4.4159392E7</v>
      </c>
      <c r="B164" s="5" t="s">
        <v>209</v>
      </c>
      <c r="C164" s="15">
        <v>824.0</v>
      </c>
      <c r="D164" s="17">
        <v>1097.0</v>
      </c>
      <c r="E164" s="17">
        <v>718.0</v>
      </c>
      <c r="F164" s="5">
        <v>997.0</v>
      </c>
      <c r="G164" s="18">
        <v>2199.0</v>
      </c>
      <c r="H164" s="17">
        <v>58.435652569349706</v>
      </c>
      <c r="I164" s="19">
        <v>58.0</v>
      </c>
    </row>
    <row r="165">
      <c r="A165" s="5">
        <v>4.4159393E7</v>
      </c>
      <c r="B165" s="5" t="s">
        <v>210</v>
      </c>
      <c r="C165" s="15">
        <v>824.0</v>
      </c>
      <c r="D165" s="17">
        <v>1097.0</v>
      </c>
      <c r="E165" s="17">
        <v>718.0</v>
      </c>
      <c r="F165" s="5">
        <v>997.0</v>
      </c>
      <c r="G165" s="18">
        <v>2199.0</v>
      </c>
      <c r="H165" s="17">
        <v>58.435652569349706</v>
      </c>
      <c r="I165" s="19">
        <v>58.0</v>
      </c>
    </row>
    <row r="166">
      <c r="A166" s="5">
        <v>4.4159405E7</v>
      </c>
      <c r="B166" s="5" t="s">
        <v>211</v>
      </c>
      <c r="C166" s="15">
        <v>868.0</v>
      </c>
      <c r="D166" s="5">
        <v>1149.0</v>
      </c>
      <c r="E166" s="17">
        <v>843.0</v>
      </c>
      <c r="F166" s="5">
        <v>1119.0</v>
      </c>
      <c r="G166" s="18">
        <v>2199.0</v>
      </c>
      <c r="H166" s="17">
        <v>44.52023647112323</v>
      </c>
      <c r="I166" s="19">
        <v>45.0</v>
      </c>
    </row>
    <row r="167">
      <c r="A167" s="5">
        <v>4.4159395E7</v>
      </c>
      <c r="B167" s="5" t="s">
        <v>212</v>
      </c>
      <c r="C167" s="15">
        <v>868.0</v>
      </c>
      <c r="D167" s="5">
        <v>1149.0</v>
      </c>
      <c r="E167" s="17">
        <v>843.0</v>
      </c>
      <c r="F167" s="5">
        <v>1119.0</v>
      </c>
      <c r="G167" s="18">
        <v>2199.0</v>
      </c>
      <c r="H167" s="17">
        <v>44.52023647112323</v>
      </c>
      <c r="I167" s="19">
        <v>45.0</v>
      </c>
    </row>
    <row r="168">
      <c r="A168" s="5">
        <v>4.4159408E7</v>
      </c>
      <c r="B168" s="5" t="s">
        <v>213</v>
      </c>
      <c r="C168" s="15">
        <v>868.0</v>
      </c>
      <c r="D168" s="5">
        <v>1149.0</v>
      </c>
      <c r="E168" s="17">
        <v>843.0</v>
      </c>
      <c r="F168" s="5">
        <v>1119.0</v>
      </c>
      <c r="G168" s="18">
        <v>2199.0</v>
      </c>
      <c r="H168" s="17">
        <v>44.52023647112323</v>
      </c>
      <c r="I168" s="19">
        <v>45.0</v>
      </c>
    </row>
    <row r="169">
      <c r="A169" s="5">
        <v>4.415939E7</v>
      </c>
      <c r="B169" s="5" t="s">
        <v>214</v>
      </c>
      <c r="C169" s="15">
        <v>824.0</v>
      </c>
      <c r="D169" s="17">
        <v>1097.0</v>
      </c>
      <c r="E169" s="17">
        <v>718.0</v>
      </c>
      <c r="F169" s="5">
        <v>997.0</v>
      </c>
      <c r="G169" s="18">
        <v>2199.0</v>
      </c>
      <c r="H169" s="17">
        <v>58.435652569349706</v>
      </c>
      <c r="I169" s="19">
        <v>58.0</v>
      </c>
    </row>
    <row r="170">
      <c r="A170" s="5">
        <v>4.4159394E7</v>
      </c>
      <c r="B170" s="5" t="s">
        <v>215</v>
      </c>
      <c r="C170" s="15">
        <v>868.0</v>
      </c>
      <c r="D170" s="5">
        <v>1149.0</v>
      </c>
      <c r="E170" s="17">
        <v>843.0</v>
      </c>
      <c r="F170" s="5">
        <v>1119.0</v>
      </c>
      <c r="G170" s="18">
        <v>2199.0</v>
      </c>
      <c r="H170" s="17">
        <v>44.52023647112323</v>
      </c>
      <c r="I170" s="19">
        <v>45.0</v>
      </c>
    </row>
    <row r="171">
      <c r="A171" s="5">
        <v>4.4159389E7</v>
      </c>
      <c r="B171" s="5" t="s">
        <v>216</v>
      </c>
      <c r="C171" s="15">
        <v>868.0</v>
      </c>
      <c r="D171" s="5">
        <v>1149.0</v>
      </c>
      <c r="E171" s="17">
        <v>843.0</v>
      </c>
      <c r="F171" s="5">
        <v>1119.0</v>
      </c>
      <c r="G171" s="18">
        <v>2199.0</v>
      </c>
      <c r="H171" s="17">
        <v>44.52023647112323</v>
      </c>
      <c r="I171" s="19">
        <v>45.0</v>
      </c>
    </row>
    <row r="172">
      <c r="A172" s="5">
        <v>4.4159399E7</v>
      </c>
      <c r="B172" s="5" t="s">
        <v>217</v>
      </c>
      <c r="C172" s="15">
        <v>824.0</v>
      </c>
      <c r="D172" s="17">
        <v>1097.0</v>
      </c>
      <c r="E172" s="17">
        <v>718.0</v>
      </c>
      <c r="F172" s="5">
        <v>997.0</v>
      </c>
      <c r="G172" s="18">
        <v>2199.0</v>
      </c>
      <c r="H172" s="17">
        <v>58.435652569349706</v>
      </c>
      <c r="I172" s="19">
        <v>58.0</v>
      </c>
    </row>
    <row r="173">
      <c r="A173" s="5">
        <v>4.4159391E7</v>
      </c>
      <c r="B173" s="5" t="s">
        <v>218</v>
      </c>
      <c r="C173" s="15">
        <v>868.0</v>
      </c>
      <c r="D173" s="5">
        <v>1149.0</v>
      </c>
      <c r="E173" s="17">
        <v>843.0</v>
      </c>
      <c r="F173" s="5">
        <v>1119.0</v>
      </c>
      <c r="G173" s="18">
        <v>2199.0</v>
      </c>
      <c r="H173" s="17">
        <v>44.52023647112323</v>
      </c>
      <c r="I173" s="19">
        <v>45.0</v>
      </c>
    </row>
    <row r="174">
      <c r="A174" s="5">
        <v>4.4159403E7</v>
      </c>
      <c r="B174" s="5" t="s">
        <v>219</v>
      </c>
      <c r="C174" s="15">
        <v>868.0</v>
      </c>
      <c r="D174" s="5">
        <v>1149.0</v>
      </c>
      <c r="E174" s="17">
        <v>843.0</v>
      </c>
      <c r="F174" s="5">
        <v>1119.0</v>
      </c>
      <c r="G174" s="18">
        <v>2199.0</v>
      </c>
      <c r="H174" s="17">
        <v>44.52023647112323</v>
      </c>
      <c r="I174" s="19">
        <v>45.0</v>
      </c>
    </row>
    <row r="175">
      <c r="A175" s="5">
        <v>4.3479441E7</v>
      </c>
      <c r="B175" s="5" t="s">
        <v>220</v>
      </c>
      <c r="C175" s="17">
        <v>1242.0</v>
      </c>
      <c r="D175" s="17">
        <v>1697.0</v>
      </c>
      <c r="E175" s="17">
        <v>1117.0</v>
      </c>
      <c r="F175" s="17">
        <v>1557.0</v>
      </c>
      <c r="G175" s="5">
        <v>3099.0</v>
      </c>
      <c r="H175" s="16">
        <f t="shared" ref="H175:H204" si="1">IFERROR((G175-F175)/G175*100, "")</f>
        <v>49.75798645</v>
      </c>
      <c r="I175" s="16">
        <f t="shared" ref="I175:I204" si="2">ROUND(H175,0)</f>
        <v>50</v>
      </c>
    </row>
    <row r="176">
      <c r="A176" s="5">
        <v>4.3479439E7</v>
      </c>
      <c r="B176" s="5" t="s">
        <v>221</v>
      </c>
      <c r="C176" s="17">
        <v>1242.0</v>
      </c>
      <c r="D176" s="17">
        <v>1697.0</v>
      </c>
      <c r="E176" s="17">
        <v>1117.0</v>
      </c>
      <c r="F176" s="17">
        <v>1557.0</v>
      </c>
      <c r="G176" s="5">
        <v>3099.0</v>
      </c>
      <c r="H176" s="16">
        <f t="shared" si="1"/>
        <v>49.75798645</v>
      </c>
      <c r="I176" s="16">
        <f t="shared" si="2"/>
        <v>50</v>
      </c>
    </row>
    <row r="177">
      <c r="A177" s="5">
        <v>4.347944E7</v>
      </c>
      <c r="B177" s="5" t="s">
        <v>222</v>
      </c>
      <c r="C177" s="17">
        <v>1242.0</v>
      </c>
      <c r="D177" s="17">
        <v>1697.0</v>
      </c>
      <c r="E177" s="17">
        <v>1117.0</v>
      </c>
      <c r="F177" s="17">
        <v>1557.0</v>
      </c>
      <c r="G177" s="5">
        <v>3099.0</v>
      </c>
      <c r="H177" s="16">
        <f t="shared" si="1"/>
        <v>49.75798645</v>
      </c>
      <c r="I177" s="16">
        <f t="shared" si="2"/>
        <v>50</v>
      </c>
    </row>
    <row r="178">
      <c r="A178" s="5">
        <v>4.3479443E7</v>
      </c>
      <c r="B178" s="5" t="s">
        <v>223</v>
      </c>
      <c r="C178" s="17">
        <v>1242.0</v>
      </c>
      <c r="D178" s="17">
        <v>1697.0</v>
      </c>
      <c r="E178" s="17">
        <v>1117.0</v>
      </c>
      <c r="F178" s="17">
        <v>1557.0</v>
      </c>
      <c r="G178" s="5">
        <v>3099.0</v>
      </c>
      <c r="H178" s="16">
        <f t="shared" si="1"/>
        <v>49.75798645</v>
      </c>
      <c r="I178" s="16">
        <f t="shared" si="2"/>
        <v>50</v>
      </c>
    </row>
    <row r="179">
      <c r="A179" s="5">
        <v>4.3479444E7</v>
      </c>
      <c r="B179" s="5" t="s">
        <v>224</v>
      </c>
      <c r="C179" s="17">
        <v>1242.0</v>
      </c>
      <c r="D179" s="17">
        <v>1697.0</v>
      </c>
      <c r="E179" s="17">
        <v>1117.0</v>
      </c>
      <c r="F179" s="17">
        <v>1557.0</v>
      </c>
      <c r="G179" s="5">
        <v>3099.0</v>
      </c>
      <c r="H179" s="16">
        <f t="shared" si="1"/>
        <v>49.75798645</v>
      </c>
      <c r="I179" s="16">
        <f t="shared" si="2"/>
        <v>50</v>
      </c>
    </row>
    <row r="180">
      <c r="A180" s="5">
        <v>4.3479438E7</v>
      </c>
      <c r="B180" s="5" t="s">
        <v>225</v>
      </c>
      <c r="C180" s="17">
        <v>1242.0</v>
      </c>
      <c r="D180" s="17">
        <v>1697.0</v>
      </c>
      <c r="E180" s="17">
        <v>1117.0</v>
      </c>
      <c r="F180" s="17">
        <v>1557.0</v>
      </c>
      <c r="G180" s="5">
        <v>3099.0</v>
      </c>
      <c r="H180" s="16">
        <f t="shared" si="1"/>
        <v>49.75798645</v>
      </c>
      <c r="I180" s="16">
        <f t="shared" si="2"/>
        <v>50</v>
      </c>
    </row>
    <row r="181">
      <c r="A181" s="5">
        <v>4.3479442E7</v>
      </c>
      <c r="B181" s="5" t="s">
        <v>226</v>
      </c>
      <c r="C181" s="17">
        <v>1242.0</v>
      </c>
      <c r="D181" s="17">
        <v>1697.0</v>
      </c>
      <c r="E181" s="17">
        <v>1117.0</v>
      </c>
      <c r="F181" s="17">
        <v>1557.0</v>
      </c>
      <c r="G181" s="5">
        <v>3099.0</v>
      </c>
      <c r="H181" s="16">
        <f t="shared" si="1"/>
        <v>49.75798645</v>
      </c>
      <c r="I181" s="16">
        <f t="shared" si="2"/>
        <v>50</v>
      </c>
    </row>
    <row r="182">
      <c r="A182" s="5">
        <v>4.4974273E7</v>
      </c>
      <c r="B182" s="5" t="s">
        <v>227</v>
      </c>
      <c r="C182" s="17">
        <v>768.0</v>
      </c>
      <c r="D182" s="17">
        <v>997.0</v>
      </c>
      <c r="E182" s="17">
        <v>676.0</v>
      </c>
      <c r="F182" s="17">
        <v>897.0</v>
      </c>
      <c r="G182" s="5">
        <v>1799.0</v>
      </c>
      <c r="H182" s="16">
        <f t="shared" si="1"/>
        <v>50.13896609</v>
      </c>
      <c r="I182" s="16">
        <f t="shared" si="2"/>
        <v>50</v>
      </c>
    </row>
    <row r="183">
      <c r="A183" s="5">
        <v>4.5614817E7</v>
      </c>
      <c r="B183" s="5" t="s">
        <v>228</v>
      </c>
      <c r="C183" s="17">
        <v>768.0</v>
      </c>
      <c r="D183" s="17">
        <v>997.0</v>
      </c>
      <c r="E183" s="17">
        <v>676.0</v>
      </c>
      <c r="F183" s="17">
        <v>897.0</v>
      </c>
      <c r="G183" s="5">
        <v>1799.0</v>
      </c>
      <c r="H183" s="16">
        <f t="shared" si="1"/>
        <v>50.13896609</v>
      </c>
      <c r="I183" s="16">
        <f t="shared" si="2"/>
        <v>50</v>
      </c>
    </row>
    <row r="184">
      <c r="A184" s="5">
        <v>4.5614816E7</v>
      </c>
      <c r="B184" s="5" t="s">
        <v>229</v>
      </c>
      <c r="C184" s="17">
        <v>768.0</v>
      </c>
      <c r="D184" s="17">
        <v>997.0</v>
      </c>
      <c r="E184" s="17">
        <v>676.0</v>
      </c>
      <c r="F184" s="17">
        <v>897.0</v>
      </c>
      <c r="G184" s="5">
        <v>1799.0</v>
      </c>
      <c r="H184" s="16">
        <f t="shared" si="1"/>
        <v>50.13896609</v>
      </c>
      <c r="I184" s="16">
        <f t="shared" si="2"/>
        <v>50</v>
      </c>
    </row>
    <row r="185">
      <c r="A185" s="5">
        <v>4.561482E7</v>
      </c>
      <c r="B185" s="5" t="s">
        <v>230</v>
      </c>
      <c r="C185" s="17">
        <v>768.0</v>
      </c>
      <c r="D185" s="17">
        <v>997.0</v>
      </c>
      <c r="E185" s="17">
        <v>676.0</v>
      </c>
      <c r="F185" s="17">
        <v>897.0</v>
      </c>
      <c r="G185" s="5">
        <v>1799.0</v>
      </c>
      <c r="H185" s="16">
        <f t="shared" si="1"/>
        <v>50.13896609</v>
      </c>
      <c r="I185" s="16">
        <f t="shared" si="2"/>
        <v>50</v>
      </c>
    </row>
    <row r="186">
      <c r="A186" s="5">
        <v>4.5614821E7</v>
      </c>
      <c r="B186" s="5" t="s">
        <v>231</v>
      </c>
      <c r="C186" s="17">
        <v>768.0</v>
      </c>
      <c r="D186" s="17">
        <v>997.0</v>
      </c>
      <c r="E186" s="17">
        <v>676.0</v>
      </c>
      <c r="F186" s="17">
        <v>897.0</v>
      </c>
      <c r="G186" s="5">
        <v>1799.0</v>
      </c>
      <c r="H186" s="16">
        <f t="shared" si="1"/>
        <v>50.13896609</v>
      </c>
      <c r="I186" s="16">
        <f t="shared" si="2"/>
        <v>50</v>
      </c>
    </row>
    <row r="187">
      <c r="A187" s="5">
        <v>4.5614818E7</v>
      </c>
      <c r="B187" s="5" t="s">
        <v>232</v>
      </c>
      <c r="C187" s="17">
        <v>768.0</v>
      </c>
      <c r="D187" s="17">
        <v>997.0</v>
      </c>
      <c r="E187" s="17">
        <v>676.0</v>
      </c>
      <c r="F187" s="17">
        <v>897.0</v>
      </c>
      <c r="G187" s="5">
        <v>1799.0</v>
      </c>
      <c r="H187" s="16">
        <f t="shared" si="1"/>
        <v>50.13896609</v>
      </c>
      <c r="I187" s="16">
        <f t="shared" si="2"/>
        <v>50</v>
      </c>
    </row>
    <row r="188">
      <c r="A188" s="5">
        <v>4.5614819E7</v>
      </c>
      <c r="B188" s="5" t="s">
        <v>233</v>
      </c>
      <c r="C188" s="17">
        <v>768.0</v>
      </c>
      <c r="D188" s="17">
        <v>997.0</v>
      </c>
      <c r="E188" s="17">
        <v>676.0</v>
      </c>
      <c r="F188" s="17">
        <v>897.0</v>
      </c>
      <c r="G188" s="5">
        <v>1799.0</v>
      </c>
      <c r="H188" s="16">
        <f t="shared" si="1"/>
        <v>50.13896609</v>
      </c>
      <c r="I188" s="16">
        <f t="shared" si="2"/>
        <v>50</v>
      </c>
    </row>
    <row r="189">
      <c r="A189" s="5">
        <v>4.5614822E7</v>
      </c>
      <c r="B189" s="5" t="s">
        <v>234</v>
      </c>
      <c r="C189" s="17">
        <v>768.0</v>
      </c>
      <c r="D189" s="17">
        <v>997.0</v>
      </c>
      <c r="E189" s="17">
        <v>676.0</v>
      </c>
      <c r="F189" s="17">
        <v>897.0</v>
      </c>
      <c r="G189" s="5">
        <v>1799.0</v>
      </c>
      <c r="H189" s="16">
        <f t="shared" si="1"/>
        <v>50.13896609</v>
      </c>
      <c r="I189" s="16">
        <f t="shared" si="2"/>
        <v>50</v>
      </c>
    </row>
    <row r="190">
      <c r="A190" s="5">
        <v>4.6163829E7</v>
      </c>
      <c r="B190" s="5" t="s">
        <v>235</v>
      </c>
      <c r="C190" s="17">
        <v>868.0</v>
      </c>
      <c r="D190" s="17">
        <v>1149.0</v>
      </c>
      <c r="E190" s="17">
        <v>843.0</v>
      </c>
      <c r="F190" s="17">
        <v>1119.0</v>
      </c>
      <c r="G190" s="5">
        <v>2199.0</v>
      </c>
      <c r="H190" s="16">
        <f t="shared" si="1"/>
        <v>49.11323329</v>
      </c>
      <c r="I190" s="16">
        <f t="shared" si="2"/>
        <v>49</v>
      </c>
    </row>
    <row r="191">
      <c r="A191" s="5">
        <v>4.6175272E7</v>
      </c>
      <c r="B191" s="5" t="s">
        <v>236</v>
      </c>
      <c r="C191" s="17">
        <v>824.0</v>
      </c>
      <c r="D191" s="17">
        <v>1097.0</v>
      </c>
      <c r="E191" s="17">
        <v>718.0</v>
      </c>
      <c r="F191" s="17">
        <v>997.0</v>
      </c>
      <c r="G191" s="5">
        <v>2199.0</v>
      </c>
      <c r="H191" s="16">
        <f t="shared" si="1"/>
        <v>54.66120964</v>
      </c>
      <c r="I191" s="16">
        <f t="shared" si="2"/>
        <v>55</v>
      </c>
    </row>
    <row r="192">
      <c r="A192" s="5">
        <v>4.6176155E7</v>
      </c>
      <c r="B192" s="5" t="s">
        <v>237</v>
      </c>
      <c r="C192" s="17">
        <v>824.0</v>
      </c>
      <c r="D192" s="17">
        <v>1097.0</v>
      </c>
      <c r="E192" s="17">
        <v>718.0</v>
      </c>
      <c r="F192" s="17">
        <v>997.0</v>
      </c>
      <c r="G192" s="5">
        <v>2199.0</v>
      </c>
      <c r="H192" s="16">
        <f t="shared" si="1"/>
        <v>54.66120964</v>
      </c>
      <c r="I192" s="16">
        <f t="shared" si="2"/>
        <v>55</v>
      </c>
    </row>
    <row r="193">
      <c r="A193" s="5">
        <v>4.6174169E7</v>
      </c>
      <c r="B193" s="5" t="s">
        <v>238</v>
      </c>
      <c r="C193" s="17">
        <v>824.0</v>
      </c>
      <c r="D193" s="17">
        <v>1097.0</v>
      </c>
      <c r="E193" s="17">
        <v>718.0</v>
      </c>
      <c r="F193" s="17">
        <v>997.0</v>
      </c>
      <c r="G193" s="5">
        <v>2199.0</v>
      </c>
      <c r="H193" s="16">
        <f t="shared" si="1"/>
        <v>54.66120964</v>
      </c>
      <c r="I193" s="16">
        <f t="shared" si="2"/>
        <v>55</v>
      </c>
    </row>
    <row r="194">
      <c r="A194" s="5">
        <v>4.6163828E7</v>
      </c>
      <c r="B194" s="5" t="s">
        <v>239</v>
      </c>
      <c r="C194" s="17">
        <v>824.0</v>
      </c>
      <c r="D194" s="17">
        <v>1097.0</v>
      </c>
      <c r="E194" s="17">
        <v>718.0</v>
      </c>
      <c r="F194" s="17">
        <v>997.0</v>
      </c>
      <c r="G194" s="5">
        <v>2199.0</v>
      </c>
      <c r="H194" s="16">
        <f t="shared" si="1"/>
        <v>54.66120964</v>
      </c>
      <c r="I194" s="16">
        <f t="shared" si="2"/>
        <v>55</v>
      </c>
    </row>
    <row r="195">
      <c r="A195" s="5">
        <v>4.6163826E7</v>
      </c>
      <c r="B195" s="5" t="s">
        <v>240</v>
      </c>
      <c r="C195" s="17">
        <v>824.0</v>
      </c>
      <c r="D195" s="17">
        <v>1097.0</v>
      </c>
      <c r="E195" s="17">
        <v>718.0</v>
      </c>
      <c r="F195" s="17">
        <v>997.0</v>
      </c>
      <c r="G195" s="5">
        <v>2199.0</v>
      </c>
      <c r="H195" s="16">
        <f t="shared" si="1"/>
        <v>54.66120964</v>
      </c>
      <c r="I195" s="16">
        <f t="shared" si="2"/>
        <v>55</v>
      </c>
    </row>
    <row r="196">
      <c r="A196" s="5">
        <v>4.6163825E7</v>
      </c>
      <c r="B196" s="5" t="s">
        <v>241</v>
      </c>
      <c r="C196" s="17">
        <v>824.0</v>
      </c>
      <c r="D196" s="17">
        <v>1097.0</v>
      </c>
      <c r="E196" s="17">
        <v>718.0</v>
      </c>
      <c r="F196" s="17">
        <v>997.0</v>
      </c>
      <c r="G196" s="5">
        <v>2199.0</v>
      </c>
      <c r="H196" s="16">
        <f t="shared" si="1"/>
        <v>54.66120964</v>
      </c>
      <c r="I196" s="16">
        <f t="shared" si="2"/>
        <v>55</v>
      </c>
    </row>
    <row r="197">
      <c r="A197" s="5">
        <v>4.6175275E7</v>
      </c>
      <c r="B197" s="5" t="s">
        <v>242</v>
      </c>
      <c r="C197" s="17">
        <v>824.0</v>
      </c>
      <c r="D197" s="17">
        <v>1097.0</v>
      </c>
      <c r="E197" s="17">
        <v>718.0</v>
      </c>
      <c r="F197" s="17">
        <v>997.0</v>
      </c>
      <c r="G197" s="5">
        <v>2199.0</v>
      </c>
      <c r="H197" s="16">
        <f t="shared" si="1"/>
        <v>54.66120964</v>
      </c>
      <c r="I197" s="16">
        <f t="shared" si="2"/>
        <v>55</v>
      </c>
    </row>
    <row r="198">
      <c r="A198" s="5">
        <v>4.6175271E7</v>
      </c>
      <c r="B198" s="5" t="s">
        <v>243</v>
      </c>
      <c r="C198" s="17">
        <v>824.0</v>
      </c>
      <c r="D198" s="17">
        <v>1097.0</v>
      </c>
      <c r="E198" s="17">
        <v>718.0</v>
      </c>
      <c r="F198" s="17">
        <v>997.0</v>
      </c>
      <c r="G198" s="5">
        <v>2199.0</v>
      </c>
      <c r="H198" s="16">
        <f t="shared" si="1"/>
        <v>54.66120964</v>
      </c>
      <c r="I198" s="16">
        <f t="shared" si="2"/>
        <v>55</v>
      </c>
    </row>
    <row r="199">
      <c r="A199" s="5">
        <v>4.6175274E7</v>
      </c>
      <c r="B199" s="5" t="s">
        <v>244</v>
      </c>
      <c r="C199" s="17">
        <v>824.0</v>
      </c>
      <c r="D199" s="17">
        <v>1097.0</v>
      </c>
      <c r="E199" s="17">
        <v>718.0</v>
      </c>
      <c r="F199" s="17">
        <v>997.0</v>
      </c>
      <c r="G199" s="5">
        <v>2199.0</v>
      </c>
      <c r="H199" s="16">
        <f t="shared" si="1"/>
        <v>54.66120964</v>
      </c>
      <c r="I199" s="16">
        <f t="shared" si="2"/>
        <v>55</v>
      </c>
    </row>
    <row r="200">
      <c r="A200" s="5">
        <v>4.6175273E7</v>
      </c>
      <c r="B200" s="5" t="s">
        <v>245</v>
      </c>
      <c r="C200" s="17">
        <v>824.0</v>
      </c>
      <c r="D200" s="17">
        <v>1097.0</v>
      </c>
      <c r="E200" s="17">
        <v>718.0</v>
      </c>
      <c r="F200" s="17">
        <v>997.0</v>
      </c>
      <c r="G200" s="5">
        <v>2199.0</v>
      </c>
      <c r="H200" s="16">
        <f t="shared" si="1"/>
        <v>54.66120964</v>
      </c>
      <c r="I200" s="16">
        <f t="shared" si="2"/>
        <v>55</v>
      </c>
    </row>
    <row r="201">
      <c r="A201" s="5">
        <v>4.6175276E7</v>
      </c>
      <c r="B201" s="5" t="s">
        <v>246</v>
      </c>
      <c r="C201" s="17">
        <v>824.0</v>
      </c>
      <c r="D201" s="17">
        <v>1097.0</v>
      </c>
      <c r="E201" s="17">
        <v>718.0</v>
      </c>
      <c r="F201" s="17">
        <v>997.0</v>
      </c>
      <c r="G201" s="5">
        <v>2199.0</v>
      </c>
      <c r="H201" s="16">
        <f t="shared" si="1"/>
        <v>54.66120964</v>
      </c>
      <c r="I201" s="16">
        <f t="shared" si="2"/>
        <v>55</v>
      </c>
    </row>
    <row r="202">
      <c r="A202" s="5">
        <v>4.6163827E7</v>
      </c>
      <c r="B202" s="5" t="s">
        <v>247</v>
      </c>
      <c r="C202" s="17">
        <v>824.0</v>
      </c>
      <c r="D202" s="17">
        <v>1097.0</v>
      </c>
      <c r="E202" s="17">
        <v>718.0</v>
      </c>
      <c r="F202" s="17">
        <v>997.0</v>
      </c>
      <c r="G202" s="5">
        <v>2199.0</v>
      </c>
      <c r="H202" s="16">
        <f t="shared" si="1"/>
        <v>54.66120964</v>
      </c>
      <c r="I202" s="16">
        <f t="shared" si="2"/>
        <v>55</v>
      </c>
    </row>
    <row r="203">
      <c r="A203" s="5">
        <v>4.617417E7</v>
      </c>
      <c r="B203" s="5" t="s">
        <v>248</v>
      </c>
      <c r="C203" s="17">
        <v>824.0</v>
      </c>
      <c r="D203" s="17">
        <v>1097.0</v>
      </c>
      <c r="E203" s="17">
        <v>718.0</v>
      </c>
      <c r="F203" s="17">
        <v>997.0</v>
      </c>
      <c r="G203" s="5">
        <v>2199.0</v>
      </c>
      <c r="H203" s="16">
        <f t="shared" si="1"/>
        <v>54.66120964</v>
      </c>
      <c r="I203" s="16">
        <f t="shared" si="2"/>
        <v>55</v>
      </c>
    </row>
    <row r="204">
      <c r="A204" s="5">
        <v>4.6176414E7</v>
      </c>
      <c r="B204" s="5" t="s">
        <v>249</v>
      </c>
      <c r="C204" s="17">
        <v>824.0</v>
      </c>
      <c r="D204" s="17">
        <v>1097.0</v>
      </c>
      <c r="E204" s="17">
        <v>718.0</v>
      </c>
      <c r="F204" s="17">
        <v>997.0</v>
      </c>
      <c r="G204" s="5">
        <v>2199.0</v>
      </c>
      <c r="H204" s="16">
        <f t="shared" si="1"/>
        <v>54.66120964</v>
      </c>
      <c r="I204" s="16">
        <f t="shared" si="2"/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4" max="4" width="13.38"/>
    <col customWidth="1" min="5" max="5" width="15.38"/>
    <col customWidth="1" min="7" max="7" width="13.75"/>
    <col customWidth="1" min="8" max="8" width="11.13"/>
    <col customWidth="1" min="10" max="10" width="15.38"/>
    <col customWidth="1" min="13" max="13" width="10.75"/>
    <col customWidth="1" min="14" max="14" width="11.5"/>
    <col customWidth="1" min="16" max="16" width="15.38"/>
    <col customWidth="1" min="17" max="17" width="8.25"/>
    <col customWidth="1" min="18" max="18" width="7.88"/>
  </cols>
  <sheetData>
    <row r="1">
      <c r="A1" s="1"/>
      <c r="B1" s="3" t="s">
        <v>1</v>
      </c>
      <c r="C1" s="3" t="s">
        <v>2</v>
      </c>
      <c r="D1" s="5" t="s">
        <v>4</v>
      </c>
      <c r="E1" s="5" t="s">
        <v>5</v>
      </c>
      <c r="F1" s="5" t="s">
        <v>7</v>
      </c>
      <c r="G1" s="5" t="s">
        <v>8</v>
      </c>
      <c r="H1" s="5" t="s">
        <v>9</v>
      </c>
    </row>
    <row r="2">
      <c r="A2" s="3" t="s">
        <v>10</v>
      </c>
      <c r="B2" s="8">
        <v>1469.0</v>
      </c>
      <c r="C2" s="10">
        <v>1997.0</v>
      </c>
      <c r="D2" s="5">
        <v>1320.0</v>
      </c>
      <c r="E2" s="5">
        <v>1819.0</v>
      </c>
      <c r="F2" s="16">
        <f t="shared" ref="F2:F16" si="1">B2-D2</f>
        <v>149</v>
      </c>
      <c r="G2" s="16">
        <f t="shared" ref="G2:G16" si="2">B2-10%*B2</f>
        <v>1322.1</v>
      </c>
      <c r="H2" s="16">
        <f t="shared" ref="H2:H16" si="3">((C2-E2)/C2)*100</f>
        <v>8.913370055</v>
      </c>
    </row>
    <row r="3">
      <c r="A3" s="3" t="s">
        <v>30</v>
      </c>
      <c r="B3" s="8">
        <v>1385.0</v>
      </c>
      <c r="C3" s="10">
        <v>1897.0</v>
      </c>
      <c r="D3" s="5">
        <v>1245.0</v>
      </c>
      <c r="E3" s="5">
        <v>1729.0</v>
      </c>
      <c r="F3" s="16">
        <f t="shared" si="1"/>
        <v>140</v>
      </c>
      <c r="G3" s="16">
        <f t="shared" si="2"/>
        <v>1246.5</v>
      </c>
      <c r="H3" s="16">
        <f t="shared" si="3"/>
        <v>8.856088561</v>
      </c>
    </row>
    <row r="4">
      <c r="A4" s="5" t="s">
        <v>32</v>
      </c>
      <c r="B4" s="8">
        <v>1218.0</v>
      </c>
      <c r="C4" s="10">
        <v>1697.0</v>
      </c>
      <c r="D4" s="5">
        <v>1095.0</v>
      </c>
      <c r="E4" s="5">
        <v>1549.0</v>
      </c>
      <c r="F4" s="16">
        <f t="shared" si="1"/>
        <v>123</v>
      </c>
      <c r="G4" s="16">
        <f t="shared" si="2"/>
        <v>1096.2</v>
      </c>
      <c r="H4" s="16">
        <f t="shared" si="3"/>
        <v>8.721272834</v>
      </c>
    </row>
    <row r="5">
      <c r="A5" s="3" t="s">
        <v>34</v>
      </c>
      <c r="B5" s="8">
        <v>1110.0</v>
      </c>
      <c r="C5" s="10">
        <v>1569.0</v>
      </c>
      <c r="D5" s="5">
        <v>999.0</v>
      </c>
      <c r="E5" s="5">
        <v>1436.0</v>
      </c>
      <c r="F5" s="16">
        <f t="shared" si="1"/>
        <v>111</v>
      </c>
      <c r="G5" s="16">
        <f t="shared" si="2"/>
        <v>999</v>
      </c>
      <c r="H5" s="16">
        <f t="shared" si="3"/>
        <v>8.476736775</v>
      </c>
    </row>
    <row r="6">
      <c r="A6" s="3" t="s">
        <v>36</v>
      </c>
      <c r="B6" s="8">
        <v>868.0</v>
      </c>
      <c r="C6" s="10">
        <v>1149.0</v>
      </c>
      <c r="D6" s="5">
        <v>843.0</v>
      </c>
      <c r="E6" s="5">
        <v>1119.0</v>
      </c>
      <c r="F6" s="16">
        <f t="shared" si="1"/>
        <v>25</v>
      </c>
      <c r="G6" s="16">
        <f t="shared" si="2"/>
        <v>781.2</v>
      </c>
      <c r="H6" s="16">
        <f t="shared" si="3"/>
        <v>2.610966057</v>
      </c>
    </row>
    <row r="7">
      <c r="A7" s="3" t="s">
        <v>39</v>
      </c>
      <c r="B7" s="8">
        <v>824.0</v>
      </c>
      <c r="C7" s="10">
        <v>1097.0</v>
      </c>
      <c r="D7" s="5">
        <v>718.0</v>
      </c>
      <c r="E7" s="5">
        <v>997.0</v>
      </c>
      <c r="F7" s="16">
        <f t="shared" si="1"/>
        <v>106</v>
      </c>
      <c r="G7" s="16">
        <f t="shared" si="2"/>
        <v>741.6</v>
      </c>
      <c r="H7" s="16">
        <f t="shared" si="3"/>
        <v>9.115770283</v>
      </c>
    </row>
    <row r="8">
      <c r="A8" s="3" t="s">
        <v>41</v>
      </c>
      <c r="B8" s="22">
        <v>636.0</v>
      </c>
      <c r="C8" s="23">
        <v>898.0</v>
      </c>
      <c r="D8" s="5">
        <v>572.0</v>
      </c>
      <c r="E8" s="5">
        <v>822.0</v>
      </c>
      <c r="F8" s="16">
        <f t="shared" si="1"/>
        <v>64</v>
      </c>
      <c r="G8" s="16">
        <f t="shared" si="2"/>
        <v>572.4</v>
      </c>
      <c r="H8" s="16">
        <f t="shared" si="3"/>
        <v>8.46325167</v>
      </c>
    </row>
    <row r="9">
      <c r="A9" s="3" t="s">
        <v>45</v>
      </c>
      <c r="B9" s="22">
        <v>1335.0</v>
      </c>
      <c r="C9" s="23">
        <v>1889.0</v>
      </c>
      <c r="D9" s="5">
        <v>1203.0</v>
      </c>
      <c r="E9" s="5">
        <v>1728.0</v>
      </c>
      <c r="F9" s="16">
        <f t="shared" si="1"/>
        <v>132</v>
      </c>
      <c r="G9" s="16">
        <f t="shared" si="2"/>
        <v>1201.5</v>
      </c>
      <c r="H9" s="16">
        <f t="shared" si="3"/>
        <v>8.523028057</v>
      </c>
    </row>
    <row r="10" ht="33.0" customHeight="1">
      <c r="A10" s="3" t="s">
        <v>48</v>
      </c>
      <c r="B10" s="22">
        <v>1376.0</v>
      </c>
      <c r="C10" s="23">
        <v>1939.0</v>
      </c>
      <c r="D10" s="5">
        <v>1260.0</v>
      </c>
      <c r="E10" s="5">
        <v>1798.0</v>
      </c>
      <c r="F10" s="16">
        <f t="shared" si="1"/>
        <v>116</v>
      </c>
      <c r="G10" s="16">
        <f t="shared" si="2"/>
        <v>1238.4</v>
      </c>
      <c r="H10" s="16">
        <f t="shared" si="3"/>
        <v>7.271789582</v>
      </c>
    </row>
    <row r="11" ht="33.0" customHeight="1">
      <c r="A11" s="3" t="s">
        <v>54</v>
      </c>
      <c r="B11" s="8">
        <v>1603.0</v>
      </c>
      <c r="C11" s="10">
        <v>2338.0</v>
      </c>
      <c r="D11" s="5">
        <v>1425.0</v>
      </c>
      <c r="E11" s="5">
        <v>1998.0</v>
      </c>
      <c r="F11" s="16">
        <f t="shared" si="1"/>
        <v>178</v>
      </c>
      <c r="G11" s="16">
        <f t="shared" si="2"/>
        <v>1442.7</v>
      </c>
      <c r="H11" s="16">
        <f t="shared" si="3"/>
        <v>14.54234388</v>
      </c>
    </row>
    <row r="12">
      <c r="A12" s="5" t="s">
        <v>59</v>
      </c>
      <c r="F12" s="16">
        <f t="shared" si="1"/>
        <v>0</v>
      </c>
      <c r="G12" s="16">
        <f t="shared" si="2"/>
        <v>0</v>
      </c>
      <c r="H12" s="16" t="str">
        <f t="shared" si="3"/>
        <v>#DIV/0!</v>
      </c>
    </row>
    <row r="13">
      <c r="A13" s="3" t="s">
        <v>63</v>
      </c>
      <c r="B13" s="12">
        <v>712.0</v>
      </c>
      <c r="C13" s="12">
        <v>1000.0</v>
      </c>
      <c r="D13" s="5">
        <v>612.0</v>
      </c>
      <c r="E13" s="5">
        <v>836.0</v>
      </c>
      <c r="F13" s="16">
        <f t="shared" si="1"/>
        <v>100</v>
      </c>
      <c r="G13" s="16">
        <f t="shared" si="2"/>
        <v>640.8</v>
      </c>
      <c r="H13" s="16">
        <f t="shared" si="3"/>
        <v>16.4</v>
      </c>
    </row>
    <row r="14">
      <c r="A14" s="5" t="s">
        <v>68</v>
      </c>
      <c r="B14" s="5">
        <v>1242.0</v>
      </c>
      <c r="C14" s="5">
        <v>1697.0</v>
      </c>
      <c r="D14" s="5">
        <v>1117.0</v>
      </c>
      <c r="E14" s="5">
        <v>1557.0</v>
      </c>
      <c r="F14" s="16">
        <f t="shared" si="1"/>
        <v>125</v>
      </c>
      <c r="G14" s="16">
        <f t="shared" si="2"/>
        <v>1117.8</v>
      </c>
      <c r="H14" s="16">
        <f t="shared" si="3"/>
        <v>8.249852681</v>
      </c>
    </row>
    <row r="15">
      <c r="A15" s="5" t="s">
        <v>73</v>
      </c>
      <c r="F15" s="16">
        <f t="shared" si="1"/>
        <v>0</v>
      </c>
      <c r="G15" s="16">
        <f t="shared" si="2"/>
        <v>0</v>
      </c>
      <c r="H15" s="16" t="str">
        <f t="shared" si="3"/>
        <v>#DIV/0!</v>
      </c>
    </row>
    <row r="16">
      <c r="A16" s="5" t="s">
        <v>77</v>
      </c>
      <c r="B16" s="5">
        <v>768.0</v>
      </c>
      <c r="C16" s="5">
        <v>997.0</v>
      </c>
      <c r="D16" s="5">
        <v>676.0</v>
      </c>
      <c r="E16" s="5">
        <v>897.0</v>
      </c>
      <c r="F16" s="16">
        <f t="shared" si="1"/>
        <v>92</v>
      </c>
      <c r="G16" s="16">
        <f t="shared" si="2"/>
        <v>691.2</v>
      </c>
      <c r="H16" s="16">
        <f t="shared" si="3"/>
        <v>10.03009027</v>
      </c>
    </row>
    <row r="21">
      <c r="M21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3" t="s">
        <v>14</v>
      </c>
    </row>
    <row r="2">
      <c r="A2" s="12">
        <v>3.3108032E7</v>
      </c>
      <c r="B2" s="12">
        <v>1440.0</v>
      </c>
    </row>
    <row r="3">
      <c r="A3" s="12">
        <v>3.7747504E7</v>
      </c>
      <c r="B3" s="12">
        <v>1999.0</v>
      </c>
    </row>
    <row r="4">
      <c r="A4" s="12">
        <v>3.7747304E7</v>
      </c>
      <c r="B4" s="12">
        <v>1999.0</v>
      </c>
    </row>
    <row r="5">
      <c r="A5" s="12">
        <v>3.7747306E7</v>
      </c>
      <c r="B5" s="12">
        <v>1999.0</v>
      </c>
    </row>
    <row r="6">
      <c r="A6" s="12">
        <v>3.7747302E7</v>
      </c>
      <c r="B6" s="12">
        <v>1999.0</v>
      </c>
    </row>
    <row r="7">
      <c r="A7" s="12">
        <v>3.3752853E7</v>
      </c>
      <c r="B7" s="12">
        <v>1440.0</v>
      </c>
    </row>
    <row r="8">
      <c r="A8" s="12">
        <v>3.3517703E7</v>
      </c>
      <c r="B8" s="12">
        <v>1109.0</v>
      </c>
    </row>
    <row r="9">
      <c r="A9" s="12">
        <v>3.3752859E7</v>
      </c>
      <c r="B9" s="12">
        <v>1109.0</v>
      </c>
    </row>
    <row r="10">
      <c r="A10" s="12">
        <v>3.3517655E7</v>
      </c>
      <c r="B10" s="12">
        <v>1440.0</v>
      </c>
    </row>
    <row r="11">
      <c r="A11" s="12">
        <v>3.6201921E7</v>
      </c>
      <c r="B11" s="12">
        <v>1427.0</v>
      </c>
    </row>
    <row r="12">
      <c r="A12" s="12">
        <v>3.620191E7</v>
      </c>
      <c r="B12" s="12">
        <v>1427.0</v>
      </c>
    </row>
    <row r="13">
      <c r="A13" s="12">
        <v>3.6689837E7</v>
      </c>
      <c r="B13" s="12">
        <v>2657.0</v>
      </c>
    </row>
    <row r="14">
      <c r="A14" s="12">
        <v>3.8335572E7</v>
      </c>
      <c r="B14" s="12">
        <v>2999.0</v>
      </c>
    </row>
    <row r="15">
      <c r="A15" s="12">
        <v>3.833557E7</v>
      </c>
      <c r="B15" s="12">
        <v>2999.0</v>
      </c>
    </row>
    <row r="16">
      <c r="A16" s="12">
        <v>3.8335568E7</v>
      </c>
      <c r="B16" s="12">
        <v>2999.0</v>
      </c>
    </row>
    <row r="17">
      <c r="A17" s="12">
        <v>3.5805405E7</v>
      </c>
      <c r="B17" s="12">
        <v>2657.0</v>
      </c>
    </row>
    <row r="18">
      <c r="A18" s="12">
        <v>3.6689839E7</v>
      </c>
      <c r="B18" s="12">
        <v>2828.0</v>
      </c>
    </row>
    <row r="19">
      <c r="A19" s="12">
        <v>3.8335563E7</v>
      </c>
      <c r="B19" s="12">
        <v>2999.0</v>
      </c>
    </row>
    <row r="20">
      <c r="A20" s="12">
        <v>3.8335557E7</v>
      </c>
      <c r="B20" s="12">
        <v>2999.0</v>
      </c>
    </row>
    <row r="21">
      <c r="A21" s="12">
        <v>3.8335562E7</v>
      </c>
      <c r="B21" s="12">
        <v>2999.0</v>
      </c>
    </row>
    <row r="22">
      <c r="A22" s="12">
        <v>3.668984E7</v>
      </c>
      <c r="B22" s="12">
        <v>2828.0</v>
      </c>
    </row>
    <row r="23">
      <c r="A23" s="12">
        <v>3.833556E7</v>
      </c>
      <c r="B23" s="12">
        <v>2999.0</v>
      </c>
    </row>
    <row r="24">
      <c r="A24" s="12">
        <v>3.8335565E7</v>
      </c>
      <c r="B24" s="12">
        <v>2999.0</v>
      </c>
    </row>
    <row r="25">
      <c r="A25" s="12">
        <v>3.8335566E7</v>
      </c>
      <c r="B25" s="12">
        <v>2999.0</v>
      </c>
    </row>
    <row r="26">
      <c r="A26" s="12">
        <v>3.8335567E7</v>
      </c>
      <c r="B26" s="12">
        <v>2999.0</v>
      </c>
    </row>
    <row r="27">
      <c r="A27" s="12">
        <v>3.8335564E7</v>
      </c>
      <c r="B27" s="12">
        <v>2999.0</v>
      </c>
    </row>
    <row r="28">
      <c r="A28" s="12">
        <v>3.8335571E7</v>
      </c>
      <c r="B28" s="12">
        <v>2999.0</v>
      </c>
    </row>
    <row r="29">
      <c r="A29" s="12">
        <v>3.7310367E7</v>
      </c>
      <c r="B29" s="12">
        <v>2999.0</v>
      </c>
    </row>
    <row r="30">
      <c r="A30" s="12">
        <v>3.58054E7</v>
      </c>
      <c r="B30" s="12">
        <v>2828.0</v>
      </c>
    </row>
    <row r="31">
      <c r="A31" s="12">
        <v>3.7310368E7</v>
      </c>
      <c r="B31" s="12">
        <v>2999.0</v>
      </c>
    </row>
    <row r="32">
      <c r="A32" s="12">
        <v>3.6689838E7</v>
      </c>
      <c r="B32" s="12">
        <v>2657.0</v>
      </c>
    </row>
    <row r="33">
      <c r="A33" s="12">
        <v>3.8335558E7</v>
      </c>
      <c r="B33" s="12">
        <v>2999.0</v>
      </c>
    </row>
    <row r="34">
      <c r="A34" s="12">
        <v>3.7310364E7</v>
      </c>
      <c r="B34" s="12">
        <v>2799.0</v>
      </c>
    </row>
    <row r="35">
      <c r="A35" s="12">
        <v>3.7310365E7</v>
      </c>
      <c r="B35" s="12">
        <v>2799.0</v>
      </c>
    </row>
    <row r="36">
      <c r="A36" s="12">
        <v>3.7310366E7</v>
      </c>
      <c r="B36" s="12">
        <v>2999.0</v>
      </c>
    </row>
    <row r="37">
      <c r="A37" s="12">
        <v>3.6689841E7</v>
      </c>
      <c r="B37" s="12">
        <v>2657.0</v>
      </c>
    </row>
    <row r="38">
      <c r="A38" s="12">
        <v>3.8335569E7</v>
      </c>
      <c r="B38" s="12">
        <v>2999.0</v>
      </c>
    </row>
    <row r="39">
      <c r="A39" s="12">
        <v>3.8335559E7</v>
      </c>
      <c r="B39" s="12">
        <v>2999.0</v>
      </c>
    </row>
    <row r="40">
      <c r="A40" s="12">
        <v>3.8335561E7</v>
      </c>
      <c r="B40" s="12">
        <v>2999.0</v>
      </c>
    </row>
    <row r="41">
      <c r="A41" s="12">
        <v>3.4590252E7</v>
      </c>
      <c r="B41" s="12">
        <v>1570.0</v>
      </c>
    </row>
    <row r="42">
      <c r="A42" s="12">
        <v>3.4590213E7</v>
      </c>
      <c r="B42" s="12">
        <v>1570.0</v>
      </c>
    </row>
    <row r="43">
      <c r="A43" s="12">
        <v>3.4590218E7</v>
      </c>
      <c r="B43" s="12">
        <v>1285.0</v>
      </c>
    </row>
    <row r="44">
      <c r="A44" s="12">
        <v>3.6672976E7</v>
      </c>
      <c r="B44" s="12">
        <v>1700.0</v>
      </c>
    </row>
    <row r="45">
      <c r="A45" s="12">
        <v>4.2353957E7</v>
      </c>
      <c r="B45" s="12">
        <v>1999.0</v>
      </c>
    </row>
    <row r="46">
      <c r="A46" s="12">
        <v>3.5357017E7</v>
      </c>
      <c r="B46" s="12">
        <v>1700.0</v>
      </c>
    </row>
    <row r="47">
      <c r="A47" s="12">
        <v>3.6672979E7</v>
      </c>
      <c r="B47" s="12">
        <v>2060.0</v>
      </c>
    </row>
    <row r="48">
      <c r="A48" s="12">
        <v>3.4590206E7</v>
      </c>
      <c r="B48" s="12">
        <v>1285.0</v>
      </c>
    </row>
    <row r="49">
      <c r="A49" s="12">
        <v>3.459024E7</v>
      </c>
      <c r="B49" s="12">
        <v>1570.0</v>
      </c>
    </row>
    <row r="50">
      <c r="A50" s="12">
        <v>3.5357006E7</v>
      </c>
      <c r="B50" s="12">
        <v>1285.0</v>
      </c>
    </row>
    <row r="51">
      <c r="A51" s="12">
        <v>3.4590237E7</v>
      </c>
      <c r="B51" s="12">
        <v>1570.0</v>
      </c>
    </row>
    <row r="52">
      <c r="A52" s="12">
        <v>3.6672975E7</v>
      </c>
      <c r="B52" s="12">
        <v>2060.0</v>
      </c>
    </row>
    <row r="53">
      <c r="A53" s="12">
        <v>3.4590227E7</v>
      </c>
      <c r="B53" s="12">
        <v>1285.0</v>
      </c>
    </row>
    <row r="54">
      <c r="A54" s="12">
        <v>3.5356991E7</v>
      </c>
      <c r="B54" s="12">
        <v>1570.0</v>
      </c>
    </row>
    <row r="55">
      <c r="A55" s="12">
        <v>3.4590219E7</v>
      </c>
      <c r="B55" s="12">
        <v>1285.0</v>
      </c>
    </row>
    <row r="56">
      <c r="A56" s="12">
        <v>3.5357007E7</v>
      </c>
      <c r="B56" s="12">
        <v>1700.0</v>
      </c>
    </row>
    <row r="57">
      <c r="A57" s="12">
        <v>3.4590197E7</v>
      </c>
      <c r="B57" s="12">
        <v>1700.0</v>
      </c>
    </row>
    <row r="58">
      <c r="A58" s="12">
        <v>3.4590231E7</v>
      </c>
      <c r="B58" s="12">
        <v>1570.0</v>
      </c>
    </row>
    <row r="59">
      <c r="A59" s="12">
        <v>4.2353948E7</v>
      </c>
      <c r="B59" s="12">
        <v>1999.0</v>
      </c>
    </row>
    <row r="60">
      <c r="A60" s="12">
        <v>3.4590233E7</v>
      </c>
      <c r="B60" s="12">
        <v>1570.0</v>
      </c>
    </row>
    <row r="61">
      <c r="A61" s="12">
        <v>4.2353962E7</v>
      </c>
      <c r="B61" s="12">
        <v>1999.0</v>
      </c>
    </row>
    <row r="62">
      <c r="A62" s="12">
        <v>4.2353951E7</v>
      </c>
      <c r="B62" s="12">
        <v>1999.0</v>
      </c>
    </row>
    <row r="63">
      <c r="A63" s="12">
        <v>3.6672977E7</v>
      </c>
      <c r="B63" s="12">
        <v>1700.0</v>
      </c>
    </row>
    <row r="64">
      <c r="A64" s="12">
        <v>3.4590242E7</v>
      </c>
      <c r="B64" s="12">
        <v>1285.0</v>
      </c>
    </row>
    <row r="65">
      <c r="A65" s="12">
        <v>3.5356996E7</v>
      </c>
      <c r="B65" s="12">
        <v>1570.0</v>
      </c>
    </row>
    <row r="66">
      <c r="A66" s="12">
        <v>3.5356981E7</v>
      </c>
      <c r="B66" s="12">
        <v>1570.0</v>
      </c>
    </row>
    <row r="67">
      <c r="A67" s="12">
        <v>4.2353968E7</v>
      </c>
      <c r="B67" s="12">
        <v>1999.0</v>
      </c>
    </row>
    <row r="68">
      <c r="A68" s="12">
        <v>4.2353954E7</v>
      </c>
      <c r="B68" s="12">
        <v>1999.0</v>
      </c>
    </row>
    <row r="69">
      <c r="A69" s="12">
        <v>3.4590249E7</v>
      </c>
      <c r="B69" s="12">
        <v>1150.0</v>
      </c>
    </row>
    <row r="70">
      <c r="A70" s="12">
        <v>4.2353959E7</v>
      </c>
      <c r="B70" s="12">
        <v>1999.0</v>
      </c>
    </row>
    <row r="71">
      <c r="A71" s="12">
        <v>4.2353971E7</v>
      </c>
      <c r="B71" s="12">
        <v>1999.0</v>
      </c>
    </row>
    <row r="72">
      <c r="A72" s="12">
        <v>3.7332287E7</v>
      </c>
      <c r="B72" s="12">
        <v>1999.0</v>
      </c>
    </row>
    <row r="73">
      <c r="A73" s="12">
        <v>4.2353967E7</v>
      </c>
      <c r="B73" s="12">
        <v>1999.0</v>
      </c>
    </row>
    <row r="74">
      <c r="A74" s="12">
        <v>3.4590212E7</v>
      </c>
      <c r="B74" s="12">
        <v>1850.0</v>
      </c>
    </row>
    <row r="75">
      <c r="A75" s="12">
        <v>3.4590222E7</v>
      </c>
      <c r="B75" s="12">
        <v>1570.0</v>
      </c>
    </row>
    <row r="76">
      <c r="A76" s="12">
        <v>3.4590208E7</v>
      </c>
      <c r="B76" s="12">
        <v>1150.0</v>
      </c>
    </row>
    <row r="77">
      <c r="A77" s="12">
        <v>3.4590251E7</v>
      </c>
      <c r="B77" s="12">
        <v>1150.0</v>
      </c>
    </row>
    <row r="78">
      <c r="A78" s="12">
        <v>3.4590235E7</v>
      </c>
      <c r="B78" s="12">
        <v>1150.0</v>
      </c>
    </row>
    <row r="79">
      <c r="A79" s="12">
        <v>3.4590202E7</v>
      </c>
      <c r="B79" s="12">
        <v>1150.0</v>
      </c>
    </row>
    <row r="80">
      <c r="A80" s="12">
        <v>3.6673034E7</v>
      </c>
      <c r="B80" s="12">
        <v>1855.0</v>
      </c>
    </row>
    <row r="81">
      <c r="A81" s="12">
        <v>3.4590248E7</v>
      </c>
      <c r="B81" s="12">
        <v>1850.0</v>
      </c>
    </row>
    <row r="82">
      <c r="A82" s="12">
        <v>3.4590229E7</v>
      </c>
      <c r="B82" s="12">
        <v>1570.0</v>
      </c>
    </row>
    <row r="83">
      <c r="A83" s="12">
        <v>3.4590232E7</v>
      </c>
      <c r="B83" s="12">
        <v>1585.0</v>
      </c>
    </row>
    <row r="84">
      <c r="A84" s="12">
        <v>4.2353966E7</v>
      </c>
      <c r="B84" s="12">
        <v>1999.0</v>
      </c>
    </row>
    <row r="85">
      <c r="A85" s="12">
        <v>3.4590217E7</v>
      </c>
      <c r="B85" s="12">
        <v>1570.0</v>
      </c>
    </row>
    <row r="86">
      <c r="A86" s="12">
        <v>4.235395E7</v>
      </c>
      <c r="B86" s="12">
        <v>1999.0</v>
      </c>
    </row>
    <row r="87">
      <c r="A87" s="12">
        <v>4.235397E7</v>
      </c>
      <c r="B87" s="12">
        <v>1999.0</v>
      </c>
    </row>
    <row r="88">
      <c r="A88" s="12">
        <v>3.4590223E7</v>
      </c>
      <c r="B88" s="12">
        <v>1285.0</v>
      </c>
    </row>
    <row r="89">
      <c r="A89" s="12">
        <v>4.2353974E7</v>
      </c>
      <c r="B89" s="12">
        <v>1999.0</v>
      </c>
    </row>
    <row r="90">
      <c r="A90" s="12">
        <v>3.5356985E7</v>
      </c>
      <c r="B90" s="12">
        <v>1700.0</v>
      </c>
    </row>
    <row r="91">
      <c r="A91" s="12">
        <v>4.2353961E7</v>
      </c>
      <c r="B91" s="12">
        <v>1999.0</v>
      </c>
    </row>
    <row r="92">
      <c r="A92" s="12">
        <v>3.5357003E7</v>
      </c>
      <c r="B92" s="12">
        <v>1570.0</v>
      </c>
    </row>
    <row r="93">
      <c r="A93" s="12">
        <v>3.5356969E7</v>
      </c>
      <c r="B93" s="12">
        <v>1570.0</v>
      </c>
    </row>
    <row r="94">
      <c r="A94" s="12">
        <v>3.7169027E7</v>
      </c>
      <c r="B94" s="12">
        <v>1570.0</v>
      </c>
    </row>
    <row r="95">
      <c r="A95" s="12">
        <v>4.2353949E7</v>
      </c>
      <c r="B95" s="12">
        <v>1999.0</v>
      </c>
    </row>
    <row r="96">
      <c r="A96" s="12">
        <v>4.2353953E7</v>
      </c>
      <c r="B96" s="12">
        <v>1999.0</v>
      </c>
    </row>
    <row r="97">
      <c r="A97" s="12">
        <v>3.5356975E7</v>
      </c>
      <c r="B97" s="12">
        <v>1285.0</v>
      </c>
    </row>
    <row r="98">
      <c r="A98" s="12">
        <v>3.5356993E7</v>
      </c>
      <c r="B98" s="12">
        <v>1570.0</v>
      </c>
    </row>
    <row r="99">
      <c r="A99" s="12">
        <v>3.7332285E7</v>
      </c>
      <c r="B99" s="12">
        <v>1999.0</v>
      </c>
    </row>
    <row r="100">
      <c r="A100" s="12">
        <v>3.7332283E7</v>
      </c>
      <c r="B100" s="12">
        <v>1999.0</v>
      </c>
    </row>
    <row r="101">
      <c r="A101" s="12">
        <v>3.5356987E7</v>
      </c>
      <c r="B101" s="12">
        <v>1570.0</v>
      </c>
    </row>
    <row r="102">
      <c r="A102" s="12">
        <v>3.4590224E7</v>
      </c>
      <c r="B102" s="12">
        <v>1415.0</v>
      </c>
    </row>
    <row r="103">
      <c r="A103" s="12">
        <v>3.5356998E7</v>
      </c>
      <c r="B103" s="12">
        <v>1700.0</v>
      </c>
    </row>
    <row r="104">
      <c r="A104" s="12">
        <v>3.459022E7</v>
      </c>
      <c r="B104" s="12">
        <v>1285.0</v>
      </c>
    </row>
    <row r="105">
      <c r="A105" s="12">
        <v>3.4590228E7</v>
      </c>
      <c r="B105" s="12">
        <v>1150.0</v>
      </c>
    </row>
    <row r="106">
      <c r="A106" s="12">
        <v>3.4590221E7</v>
      </c>
      <c r="B106" s="12">
        <v>1150.0</v>
      </c>
    </row>
    <row r="107">
      <c r="A107" s="12">
        <v>3.4590241E7</v>
      </c>
      <c r="B107" s="12">
        <v>1285.0</v>
      </c>
    </row>
    <row r="108">
      <c r="A108" s="12">
        <v>3.4590239E7</v>
      </c>
      <c r="B108" s="12">
        <v>1430.0</v>
      </c>
    </row>
    <row r="109">
      <c r="A109" s="12">
        <v>3.7169024E7</v>
      </c>
      <c r="B109" s="12">
        <v>1570.0</v>
      </c>
    </row>
    <row r="110">
      <c r="A110" s="12">
        <v>3.4590226E7</v>
      </c>
      <c r="B110" s="12">
        <v>1570.0</v>
      </c>
    </row>
    <row r="111">
      <c r="A111" s="12">
        <v>3.4590214E7</v>
      </c>
      <c r="B111" s="12">
        <v>1415.0</v>
      </c>
    </row>
    <row r="112">
      <c r="A112" s="12">
        <v>3.4590215E7</v>
      </c>
      <c r="B112" s="12">
        <v>1415.0</v>
      </c>
    </row>
    <row r="113">
      <c r="A113" s="12">
        <v>3.535701E7</v>
      </c>
      <c r="B113" s="12">
        <v>1570.0</v>
      </c>
    </row>
    <row r="114">
      <c r="A114" s="12">
        <v>3.4590216E7</v>
      </c>
      <c r="B114" s="12">
        <v>1710.0</v>
      </c>
    </row>
    <row r="115">
      <c r="A115" s="12">
        <v>4.2353963E7</v>
      </c>
      <c r="B115" s="12">
        <v>1999.0</v>
      </c>
    </row>
    <row r="116">
      <c r="A116" s="12">
        <v>4.2353958E7</v>
      </c>
      <c r="B116" s="12">
        <v>1999.0</v>
      </c>
    </row>
    <row r="117">
      <c r="A117" s="12">
        <v>3.7332284E7</v>
      </c>
      <c r="B117" s="12">
        <v>1999.0</v>
      </c>
    </row>
    <row r="118">
      <c r="A118" s="12">
        <v>3.4590196E7</v>
      </c>
      <c r="B118" s="12">
        <v>1570.0</v>
      </c>
    </row>
    <row r="119">
      <c r="A119" s="12">
        <v>3.5357001E7</v>
      </c>
      <c r="B119" s="12">
        <v>1570.0</v>
      </c>
    </row>
    <row r="120">
      <c r="A120" s="12">
        <v>3.667298E7</v>
      </c>
      <c r="B120" s="12">
        <v>1855.0</v>
      </c>
    </row>
    <row r="121">
      <c r="A121" s="12">
        <v>3.4590211E7</v>
      </c>
      <c r="B121" s="12">
        <v>1570.0</v>
      </c>
    </row>
    <row r="122">
      <c r="A122" s="12">
        <v>3.4590238E7</v>
      </c>
      <c r="B122" s="12">
        <v>1570.0</v>
      </c>
    </row>
    <row r="123">
      <c r="A123" s="12">
        <v>3.4590247E7</v>
      </c>
      <c r="B123" s="12">
        <v>1285.0</v>
      </c>
    </row>
    <row r="124">
      <c r="A124" s="12">
        <v>3.4590245E7</v>
      </c>
      <c r="B124" s="12">
        <v>1570.0</v>
      </c>
    </row>
    <row r="125">
      <c r="A125" s="12">
        <v>3.45902E7</v>
      </c>
      <c r="B125" s="12">
        <v>1285.0</v>
      </c>
    </row>
    <row r="126">
      <c r="A126" s="12">
        <v>4.2353952E7</v>
      </c>
      <c r="B126" s="12">
        <v>1999.0</v>
      </c>
    </row>
    <row r="127">
      <c r="A127" s="12">
        <v>4.2353969E7</v>
      </c>
      <c r="B127" s="12">
        <v>1999.0</v>
      </c>
    </row>
    <row r="128">
      <c r="A128" s="12">
        <v>3.4590244E7</v>
      </c>
      <c r="B128" s="12">
        <v>1285.0</v>
      </c>
    </row>
    <row r="129">
      <c r="A129" s="12">
        <v>3.459023E7</v>
      </c>
      <c r="B129" s="12">
        <v>1570.0</v>
      </c>
    </row>
    <row r="130">
      <c r="A130" s="12">
        <v>3.4590243E7</v>
      </c>
      <c r="B130" s="12">
        <v>1570.0</v>
      </c>
    </row>
    <row r="131">
      <c r="A131" s="12">
        <v>3.4590234E7</v>
      </c>
      <c r="B131" s="12">
        <v>1570.0</v>
      </c>
    </row>
    <row r="132">
      <c r="A132" s="12">
        <v>3.4590246E7</v>
      </c>
      <c r="B132" s="12">
        <v>1585.0</v>
      </c>
    </row>
    <row r="133">
      <c r="A133" s="12">
        <v>4.2353964E7</v>
      </c>
      <c r="B133" s="12">
        <v>1999.0</v>
      </c>
    </row>
    <row r="134">
      <c r="A134" s="12">
        <v>3.4590209E7</v>
      </c>
      <c r="B134" s="12">
        <v>1285.0</v>
      </c>
    </row>
    <row r="135">
      <c r="A135" s="12">
        <v>3.4590236E7</v>
      </c>
      <c r="B135" s="12">
        <v>1850.0</v>
      </c>
    </row>
    <row r="136">
      <c r="A136" s="12">
        <v>3.4590253E7</v>
      </c>
      <c r="B136" s="12">
        <v>1850.0</v>
      </c>
    </row>
    <row r="137">
      <c r="A137" s="12">
        <v>4.2353956E7</v>
      </c>
      <c r="B137" s="12">
        <v>1999.0</v>
      </c>
    </row>
    <row r="138">
      <c r="A138" s="12">
        <v>3.5356979E7</v>
      </c>
      <c r="B138" s="12">
        <v>1285.0</v>
      </c>
    </row>
    <row r="139">
      <c r="A139" s="12">
        <v>3.7169025E7</v>
      </c>
      <c r="B139" s="12">
        <v>1570.0</v>
      </c>
    </row>
    <row r="140">
      <c r="A140" s="12">
        <v>3.7332294E7</v>
      </c>
      <c r="B140" s="12">
        <v>1999.0</v>
      </c>
    </row>
    <row r="141">
      <c r="A141" s="12">
        <v>3.7332292E7</v>
      </c>
      <c r="B141" s="12">
        <v>1999.0</v>
      </c>
    </row>
    <row r="142">
      <c r="A142" s="12">
        <v>3.4590205E7</v>
      </c>
      <c r="B142" s="12">
        <v>1570.0</v>
      </c>
    </row>
    <row r="143">
      <c r="A143" s="12">
        <v>3.4590225E7</v>
      </c>
      <c r="B143" s="12">
        <v>1150.0</v>
      </c>
    </row>
    <row r="144">
      <c r="A144" s="12">
        <v>3.5356964E7</v>
      </c>
      <c r="B144" s="12">
        <v>1700.0</v>
      </c>
    </row>
    <row r="145">
      <c r="A145" s="12">
        <v>3.5356984E7</v>
      </c>
      <c r="B145" s="12">
        <v>1570.0</v>
      </c>
    </row>
    <row r="146">
      <c r="A146" s="12">
        <v>3.5356992E7</v>
      </c>
      <c r="B146" s="12">
        <v>1570.0</v>
      </c>
    </row>
    <row r="147">
      <c r="A147" s="12">
        <v>4.235396E7</v>
      </c>
      <c r="B147" s="12">
        <v>1999.0</v>
      </c>
    </row>
    <row r="148">
      <c r="A148" s="12">
        <v>3.459025E7</v>
      </c>
      <c r="B148" s="12">
        <v>1285.0</v>
      </c>
    </row>
    <row r="149">
      <c r="A149" s="12">
        <v>3.7332282E7</v>
      </c>
      <c r="B149" s="12">
        <v>1999.0</v>
      </c>
    </row>
    <row r="150">
      <c r="A150" s="12">
        <v>3.7332286E7</v>
      </c>
      <c r="B150" s="12">
        <v>1999.0</v>
      </c>
    </row>
    <row r="151">
      <c r="A151" s="12">
        <v>3.6672974E7</v>
      </c>
      <c r="B151" s="12">
        <v>1700.0</v>
      </c>
    </row>
    <row r="152">
      <c r="A152" s="12">
        <v>4.2353965E7</v>
      </c>
      <c r="B152" s="12">
        <v>1999.0</v>
      </c>
    </row>
    <row r="153">
      <c r="A153" s="12">
        <v>4.2353972E7</v>
      </c>
      <c r="B153" s="12">
        <v>1999.0</v>
      </c>
    </row>
    <row r="154">
      <c r="A154" s="12">
        <v>4.5639457E7</v>
      </c>
      <c r="B154" s="12">
        <v>2799.0</v>
      </c>
    </row>
    <row r="155">
      <c r="A155" s="12">
        <v>4.2353955E7</v>
      </c>
      <c r="B155" s="12">
        <v>1999.0</v>
      </c>
    </row>
    <row r="156">
      <c r="A156" s="12">
        <v>4.3479441E7</v>
      </c>
      <c r="B156" s="12">
        <v>3099.0</v>
      </c>
    </row>
    <row r="157">
      <c r="A157" s="12">
        <v>4.3479439E7</v>
      </c>
      <c r="B157" s="12">
        <v>3099.0</v>
      </c>
    </row>
    <row r="158">
      <c r="A158" s="12">
        <v>4.347944E7</v>
      </c>
      <c r="B158" s="12">
        <v>3099.0</v>
      </c>
    </row>
    <row r="159">
      <c r="A159" s="12">
        <v>4.3479443E7</v>
      </c>
      <c r="B159" s="12">
        <v>3099.0</v>
      </c>
    </row>
    <row r="160">
      <c r="A160" s="12">
        <v>4.3479444E7</v>
      </c>
      <c r="B160" s="12">
        <v>3099.0</v>
      </c>
    </row>
    <row r="161">
      <c r="A161" s="12">
        <v>4.3479438E7</v>
      </c>
      <c r="B161" s="12">
        <v>3099.0</v>
      </c>
    </row>
    <row r="162">
      <c r="A162" s="12">
        <v>4.3479442E7</v>
      </c>
      <c r="B162" s="12">
        <v>3099.0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8.5"/>
    <col customWidth="1" min="5" max="5" width="16.13"/>
  </cols>
  <sheetData>
    <row r="1">
      <c r="A1" s="5" t="s">
        <v>18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</row>
    <row r="2">
      <c r="A2" s="20">
        <v>4.2353974E7</v>
      </c>
      <c r="B2" s="5" t="s">
        <v>26</v>
      </c>
      <c r="C2" s="17">
        <v>843.0</v>
      </c>
      <c r="D2" s="5">
        <v>823.0</v>
      </c>
      <c r="E2" s="21">
        <v>800.340067</v>
      </c>
      <c r="F2" s="12">
        <v>2.831288</v>
      </c>
    </row>
    <row r="3">
      <c r="A3" s="20">
        <v>4.2353971E7</v>
      </c>
      <c r="B3" s="5" t="s">
        <v>28</v>
      </c>
      <c r="C3" s="17">
        <v>722.0</v>
      </c>
      <c r="D3" s="5">
        <v>712.0</v>
      </c>
      <c r="E3" s="21">
        <v>712.0</v>
      </c>
      <c r="F3" s="12">
        <v>0.0</v>
      </c>
    </row>
    <row r="4">
      <c r="A4" s="20">
        <v>4.2353969E7</v>
      </c>
      <c r="B4" s="5" t="s">
        <v>42</v>
      </c>
      <c r="C4" s="17">
        <v>722.0</v>
      </c>
      <c r="D4" s="5">
        <v>712.0</v>
      </c>
      <c r="E4" s="21">
        <v>712.0</v>
      </c>
      <c r="F4" s="12">
        <v>0.0</v>
      </c>
    </row>
    <row r="5">
      <c r="A5" s="20">
        <v>4.2353968E7</v>
      </c>
      <c r="B5" s="5" t="s">
        <v>47</v>
      </c>
      <c r="C5" s="17">
        <v>722.0</v>
      </c>
      <c r="D5" s="5">
        <v>712.0</v>
      </c>
      <c r="E5" s="21">
        <v>712.0</v>
      </c>
      <c r="F5" s="12">
        <v>0.0</v>
      </c>
    </row>
    <row r="6">
      <c r="A6" s="20">
        <v>4.2353967E7</v>
      </c>
      <c r="B6" s="5" t="s">
        <v>49</v>
      </c>
      <c r="C6" s="17">
        <v>722.0</v>
      </c>
      <c r="D6" s="5">
        <v>712.0</v>
      </c>
      <c r="E6" s="21">
        <v>712.0</v>
      </c>
      <c r="F6" s="12">
        <v>0.0</v>
      </c>
    </row>
    <row r="7">
      <c r="A7" s="20">
        <v>4.2353966E7</v>
      </c>
      <c r="B7" s="5" t="s">
        <v>51</v>
      </c>
      <c r="C7" s="17">
        <v>722.0</v>
      </c>
      <c r="D7" s="5">
        <v>712.0</v>
      </c>
      <c r="E7" s="21">
        <v>712.0</v>
      </c>
      <c r="F7" s="12">
        <v>0.0</v>
      </c>
    </row>
    <row r="8">
      <c r="A8" s="20">
        <v>4.2353965E7</v>
      </c>
      <c r="B8" s="5" t="s">
        <v>52</v>
      </c>
      <c r="C8" s="17">
        <v>722.0</v>
      </c>
      <c r="D8" s="5">
        <v>712.0</v>
      </c>
      <c r="E8" s="21">
        <v>712.0</v>
      </c>
      <c r="F8" s="12">
        <v>0.0</v>
      </c>
    </row>
    <row r="9">
      <c r="A9" s="20">
        <v>4.2353964E7</v>
      </c>
      <c r="B9" s="5" t="s">
        <v>55</v>
      </c>
      <c r="C9" s="17">
        <v>722.0</v>
      </c>
      <c r="D9" s="5">
        <v>712.0</v>
      </c>
      <c r="E9" s="21">
        <v>712.0</v>
      </c>
      <c r="F9" s="12">
        <v>0.0</v>
      </c>
    </row>
    <row r="10">
      <c r="A10" s="20">
        <v>4.2353963E7</v>
      </c>
      <c r="B10" s="5" t="s">
        <v>56</v>
      </c>
      <c r="C10" s="17">
        <v>722.0</v>
      </c>
      <c r="D10" s="5">
        <v>712.0</v>
      </c>
      <c r="E10" s="21">
        <v>712.0</v>
      </c>
      <c r="F10" s="12">
        <v>0.0</v>
      </c>
    </row>
    <row r="11">
      <c r="A11" s="20">
        <v>4.2353962E7</v>
      </c>
      <c r="B11" s="5" t="s">
        <v>58</v>
      </c>
      <c r="C11" s="17">
        <v>722.0</v>
      </c>
      <c r="D11" s="5">
        <v>712.0</v>
      </c>
      <c r="E11" s="21">
        <v>712.0</v>
      </c>
      <c r="F11" s="12">
        <v>0.0</v>
      </c>
    </row>
    <row r="12">
      <c r="A12" s="20">
        <v>4.2353961E7</v>
      </c>
      <c r="B12" s="5" t="s">
        <v>60</v>
      </c>
      <c r="C12" s="17">
        <v>722.0</v>
      </c>
      <c r="D12" s="5">
        <v>712.0</v>
      </c>
      <c r="E12" s="21">
        <v>712.0</v>
      </c>
      <c r="F12" s="12">
        <v>0.0</v>
      </c>
    </row>
    <row r="13">
      <c r="A13" s="20">
        <v>4.235396E7</v>
      </c>
      <c r="B13" s="5" t="s">
        <v>61</v>
      </c>
      <c r="C13" s="17">
        <v>722.0</v>
      </c>
      <c r="D13" s="5">
        <v>712.0</v>
      </c>
      <c r="E13" s="21">
        <v>712.0</v>
      </c>
      <c r="F13" s="12">
        <v>0.0</v>
      </c>
    </row>
    <row r="14">
      <c r="A14" s="20">
        <v>4.2353959E7</v>
      </c>
      <c r="B14" s="5" t="s">
        <v>64</v>
      </c>
      <c r="C14" s="17">
        <v>722.0</v>
      </c>
      <c r="D14" s="5">
        <v>712.0</v>
      </c>
      <c r="E14" s="21">
        <v>712.0</v>
      </c>
      <c r="F14" s="12">
        <v>0.0</v>
      </c>
    </row>
    <row r="15">
      <c r="A15" s="20">
        <v>4.2353958E7</v>
      </c>
      <c r="B15" s="5" t="s">
        <v>65</v>
      </c>
      <c r="C15" s="17">
        <v>722.0</v>
      </c>
      <c r="D15" s="5">
        <v>712.0</v>
      </c>
      <c r="E15" s="21">
        <v>712.0</v>
      </c>
      <c r="F15" s="12">
        <v>0.0</v>
      </c>
    </row>
    <row r="16">
      <c r="A16" s="20">
        <v>4.2353957E7</v>
      </c>
      <c r="B16" s="5" t="s">
        <v>67</v>
      </c>
      <c r="C16" s="17">
        <v>722.0</v>
      </c>
      <c r="D16" s="5">
        <v>712.0</v>
      </c>
      <c r="E16" s="21">
        <v>712.0</v>
      </c>
      <c r="F16" s="12">
        <v>0.0</v>
      </c>
    </row>
    <row r="17">
      <c r="A17" s="20">
        <v>4.2353955E7</v>
      </c>
      <c r="B17" s="5" t="s">
        <v>69</v>
      </c>
      <c r="C17" s="17">
        <v>722.0</v>
      </c>
      <c r="D17" s="5">
        <v>712.0</v>
      </c>
      <c r="E17" s="21">
        <v>712.0</v>
      </c>
      <c r="F17" s="12">
        <v>0.0</v>
      </c>
    </row>
    <row r="18">
      <c r="A18" s="20">
        <v>4.2353954E7</v>
      </c>
      <c r="B18" s="5" t="s">
        <v>71</v>
      </c>
      <c r="C18" s="17">
        <v>722.0</v>
      </c>
      <c r="D18" s="5">
        <v>712.0</v>
      </c>
      <c r="E18" s="21">
        <v>712.0</v>
      </c>
      <c r="F18" s="12">
        <v>0.0</v>
      </c>
    </row>
    <row r="19">
      <c r="A19" s="20">
        <v>4.2353953E7</v>
      </c>
      <c r="B19" s="5" t="s">
        <v>72</v>
      </c>
      <c r="C19" s="17">
        <v>722.0</v>
      </c>
      <c r="D19" s="5">
        <v>712.0</v>
      </c>
      <c r="E19" s="21">
        <v>712.0</v>
      </c>
      <c r="F19" s="12">
        <v>0.0</v>
      </c>
    </row>
    <row r="20">
      <c r="A20" s="20">
        <v>4.2353952E7</v>
      </c>
      <c r="B20" s="5" t="s">
        <v>75</v>
      </c>
      <c r="C20" s="17">
        <v>722.0</v>
      </c>
      <c r="D20" s="5">
        <v>712.0</v>
      </c>
      <c r="E20" s="21">
        <v>712.0</v>
      </c>
      <c r="F20" s="12">
        <v>0.0</v>
      </c>
    </row>
    <row r="21">
      <c r="A21" s="20">
        <v>4.2353951E7</v>
      </c>
      <c r="B21" s="5" t="s">
        <v>76</v>
      </c>
      <c r="C21" s="17">
        <v>722.0</v>
      </c>
      <c r="D21" s="5">
        <v>712.0</v>
      </c>
      <c r="E21" s="21">
        <v>712.0</v>
      </c>
      <c r="F21" s="12">
        <v>0.0</v>
      </c>
    </row>
    <row r="22">
      <c r="A22" s="20">
        <v>4.235395E7</v>
      </c>
      <c r="B22" s="5" t="s">
        <v>79</v>
      </c>
      <c r="C22" s="17">
        <v>722.0</v>
      </c>
      <c r="D22" s="5">
        <v>712.0</v>
      </c>
      <c r="E22" s="21">
        <v>712.0</v>
      </c>
      <c r="F22" s="12">
        <v>0.0</v>
      </c>
    </row>
    <row r="23">
      <c r="A23" s="20">
        <v>4.2353949E7</v>
      </c>
      <c r="B23" s="5" t="s">
        <v>80</v>
      </c>
      <c r="C23" s="17">
        <v>722.0</v>
      </c>
      <c r="D23" s="5">
        <v>712.0</v>
      </c>
      <c r="E23" s="21">
        <v>712.0</v>
      </c>
      <c r="F23" s="12">
        <v>0.0</v>
      </c>
    </row>
    <row r="24">
      <c r="A24" s="20">
        <v>4.2353948E7</v>
      </c>
      <c r="B24" s="5" t="s">
        <v>82</v>
      </c>
      <c r="C24" s="17">
        <v>722.0</v>
      </c>
      <c r="D24" s="5">
        <v>712.0</v>
      </c>
      <c r="E24" s="21">
        <v>712.0</v>
      </c>
      <c r="F24" s="12">
        <v>0.0</v>
      </c>
    </row>
    <row r="25">
      <c r="A25" s="20">
        <v>3.8335569E7</v>
      </c>
      <c r="B25" s="5" t="s">
        <v>83</v>
      </c>
      <c r="C25" s="17">
        <v>1336.0</v>
      </c>
      <c r="D25" s="17">
        <v>1336.0</v>
      </c>
      <c r="E25" s="21">
        <v>1265.85</v>
      </c>
      <c r="F25" s="12">
        <v>5.541731</v>
      </c>
    </row>
    <row r="26">
      <c r="A26" s="20">
        <v>3.8335567E7</v>
      </c>
      <c r="B26" s="5" t="s">
        <v>85</v>
      </c>
      <c r="C26" s="17">
        <v>1336.0</v>
      </c>
      <c r="D26" s="17">
        <v>1336.0</v>
      </c>
      <c r="E26" s="21">
        <v>1278.0</v>
      </c>
      <c r="F26" s="12">
        <v>4.538341</v>
      </c>
    </row>
    <row r="27">
      <c r="A27" s="20">
        <v>3.8335566E7</v>
      </c>
      <c r="B27" s="5" t="s">
        <v>86</v>
      </c>
      <c r="C27" s="17">
        <v>1336.0</v>
      </c>
      <c r="D27" s="17">
        <v>1336.0</v>
      </c>
      <c r="E27" s="21">
        <v>1265.85</v>
      </c>
      <c r="F27" s="12">
        <v>5.541731</v>
      </c>
    </row>
    <row r="28">
      <c r="A28" s="20">
        <v>3.8335565E7</v>
      </c>
      <c r="B28" s="5" t="s">
        <v>87</v>
      </c>
      <c r="C28" s="17">
        <v>1336.0</v>
      </c>
      <c r="D28" s="17">
        <v>1336.0</v>
      </c>
      <c r="E28" s="21">
        <v>1265.85</v>
      </c>
      <c r="F28" s="12">
        <v>5.541731</v>
      </c>
    </row>
    <row r="29">
      <c r="A29" s="20">
        <v>3.8335564E7</v>
      </c>
      <c r="B29" s="5" t="s">
        <v>89</v>
      </c>
      <c r="C29" s="17">
        <v>1336.0</v>
      </c>
      <c r="D29" s="17">
        <v>1336.0</v>
      </c>
      <c r="E29" s="21">
        <v>1265.85</v>
      </c>
      <c r="F29" s="12">
        <v>5.541731</v>
      </c>
    </row>
    <row r="30">
      <c r="A30" s="20">
        <v>3.8335563E7</v>
      </c>
      <c r="B30" s="5" t="s">
        <v>90</v>
      </c>
      <c r="C30" s="17">
        <v>1336.0</v>
      </c>
      <c r="D30" s="17">
        <v>1336.0</v>
      </c>
      <c r="E30" s="21">
        <v>1265.85</v>
      </c>
      <c r="F30" s="12">
        <v>5.541731</v>
      </c>
    </row>
    <row r="31">
      <c r="A31" s="20">
        <v>3.8335562E7</v>
      </c>
      <c r="B31" s="5" t="s">
        <v>92</v>
      </c>
      <c r="C31" s="17">
        <v>1336.0</v>
      </c>
      <c r="D31" s="17">
        <v>1336.0</v>
      </c>
      <c r="E31" s="21">
        <v>1265.85</v>
      </c>
      <c r="F31" s="12">
        <v>5.541731</v>
      </c>
    </row>
    <row r="32">
      <c r="A32" s="20">
        <v>3.8335561E7</v>
      </c>
      <c r="B32" s="5" t="s">
        <v>93</v>
      </c>
      <c r="C32" s="17">
        <v>1336.0</v>
      </c>
      <c r="D32" s="17">
        <v>1336.0</v>
      </c>
      <c r="E32" s="21">
        <v>1299.0</v>
      </c>
      <c r="F32" s="12">
        <v>2.848345</v>
      </c>
    </row>
    <row r="33">
      <c r="A33" s="20">
        <v>3.833556E7</v>
      </c>
      <c r="B33" s="5" t="s">
        <v>95</v>
      </c>
      <c r="C33" s="17">
        <v>1336.0</v>
      </c>
      <c r="D33" s="17">
        <v>1336.0</v>
      </c>
      <c r="E33" s="21">
        <v>1265.85</v>
      </c>
      <c r="F33" s="12">
        <v>5.541731</v>
      </c>
    </row>
    <row r="34">
      <c r="A34" s="20">
        <v>3.8335559E7</v>
      </c>
      <c r="B34" s="5" t="s">
        <v>96</v>
      </c>
      <c r="C34" s="17">
        <v>1253.5</v>
      </c>
      <c r="D34" s="5">
        <v>1218.0</v>
      </c>
      <c r="E34" s="21">
        <v>1218.0</v>
      </c>
      <c r="F34" s="12">
        <v>0.0</v>
      </c>
    </row>
    <row r="35">
      <c r="A35" s="20">
        <v>3.8335558E7</v>
      </c>
      <c r="B35" s="5" t="s">
        <v>98</v>
      </c>
      <c r="C35" s="17">
        <v>1336.0</v>
      </c>
      <c r="D35" s="5">
        <v>1278.0</v>
      </c>
      <c r="E35" s="21">
        <v>1278.0</v>
      </c>
      <c r="F35" s="12">
        <v>0.0</v>
      </c>
    </row>
    <row r="36">
      <c r="A36" s="20">
        <v>3.8335557E7</v>
      </c>
      <c r="B36" s="5" t="s">
        <v>99</v>
      </c>
      <c r="C36" s="17">
        <v>1336.0</v>
      </c>
      <c r="D36" s="5">
        <v>1299.0</v>
      </c>
      <c r="E36" s="21">
        <v>1299.0</v>
      </c>
      <c r="F36" s="12">
        <v>0.0</v>
      </c>
    </row>
    <row r="37">
      <c r="A37" s="20">
        <v>3.7747504E7</v>
      </c>
      <c r="B37" s="5" t="s">
        <v>101</v>
      </c>
      <c r="C37" s="17">
        <v>722.0</v>
      </c>
      <c r="D37" s="5">
        <v>712.0</v>
      </c>
      <c r="E37" s="21">
        <v>685.3</v>
      </c>
      <c r="F37" s="12">
        <v>3.896104</v>
      </c>
    </row>
    <row r="38">
      <c r="A38" s="20">
        <v>3.7747306E7</v>
      </c>
      <c r="B38" s="5" t="s">
        <v>102</v>
      </c>
      <c r="C38" s="17">
        <v>722.0</v>
      </c>
      <c r="D38" s="5">
        <v>712.0</v>
      </c>
      <c r="E38" s="21">
        <v>685.3</v>
      </c>
      <c r="F38" s="12">
        <v>3.896104</v>
      </c>
    </row>
    <row r="39">
      <c r="A39" s="20">
        <v>3.7747304E7</v>
      </c>
      <c r="B39" s="5" t="s">
        <v>104</v>
      </c>
      <c r="C39" s="17">
        <v>722.0</v>
      </c>
      <c r="D39" s="5">
        <v>712.0</v>
      </c>
      <c r="E39" s="21">
        <v>692.37</v>
      </c>
      <c r="F39" s="12">
        <v>2.835189</v>
      </c>
    </row>
    <row r="40">
      <c r="A40" s="20">
        <v>3.7747302E7</v>
      </c>
      <c r="B40" s="5" t="s">
        <v>105</v>
      </c>
      <c r="C40" s="17">
        <v>722.0</v>
      </c>
      <c r="D40" s="5">
        <v>712.0</v>
      </c>
      <c r="E40" s="21">
        <v>685.3</v>
      </c>
      <c r="F40" s="12">
        <v>3.896104</v>
      </c>
    </row>
    <row r="41">
      <c r="A41" s="20">
        <v>3.7332294E7</v>
      </c>
      <c r="B41" s="5" t="s">
        <v>106</v>
      </c>
      <c r="C41" s="17">
        <v>722.0</v>
      </c>
      <c r="D41" s="5">
        <v>712.0</v>
      </c>
      <c r="E41" s="21">
        <v>685.3</v>
      </c>
      <c r="F41" s="12">
        <v>3.896104</v>
      </c>
    </row>
    <row r="42">
      <c r="A42" s="20">
        <v>3.7332292E7</v>
      </c>
      <c r="B42" s="5" t="s">
        <v>108</v>
      </c>
      <c r="C42" s="17">
        <v>722.0</v>
      </c>
      <c r="D42" s="5">
        <v>712.0</v>
      </c>
      <c r="E42" s="21">
        <v>685.3</v>
      </c>
      <c r="F42" s="12">
        <v>3.896104</v>
      </c>
    </row>
    <row r="43">
      <c r="A43" s="20">
        <v>3.7332287E7</v>
      </c>
      <c r="B43" s="5" t="s">
        <v>109</v>
      </c>
      <c r="C43" s="17">
        <v>722.0</v>
      </c>
      <c r="D43" s="5">
        <v>712.0</v>
      </c>
      <c r="E43" s="21">
        <v>712.0</v>
      </c>
      <c r="F43" s="12">
        <v>0.0</v>
      </c>
    </row>
    <row r="44">
      <c r="A44" s="20">
        <v>3.7332286E7</v>
      </c>
      <c r="B44" s="5" t="s">
        <v>111</v>
      </c>
      <c r="C44" s="17">
        <v>722.0</v>
      </c>
      <c r="D44" s="5">
        <v>712.0</v>
      </c>
      <c r="E44" s="21">
        <v>685.3</v>
      </c>
      <c r="F44" s="12">
        <v>3.896104</v>
      </c>
    </row>
    <row r="45">
      <c r="A45" s="20">
        <v>3.7332285E7</v>
      </c>
      <c r="B45" s="5" t="s">
        <v>112</v>
      </c>
      <c r="C45" s="17">
        <v>722.0</v>
      </c>
      <c r="D45" s="5">
        <v>712.0</v>
      </c>
      <c r="E45" s="21">
        <v>685.3</v>
      </c>
      <c r="F45" s="12">
        <v>3.896104</v>
      </c>
    </row>
    <row r="46">
      <c r="A46" s="20">
        <v>3.7332284E7</v>
      </c>
      <c r="B46" s="5" t="s">
        <v>114</v>
      </c>
      <c r="C46" s="17">
        <v>722.0</v>
      </c>
      <c r="D46" s="5">
        <v>712.0</v>
      </c>
      <c r="E46" s="21">
        <v>692.37</v>
      </c>
      <c r="F46" s="12">
        <v>2.835189</v>
      </c>
    </row>
    <row r="47">
      <c r="A47" s="20">
        <v>3.7332283E7</v>
      </c>
      <c r="B47" s="5" t="s">
        <v>115</v>
      </c>
      <c r="C47" s="17">
        <v>722.0</v>
      </c>
      <c r="D47" s="5">
        <v>712.0</v>
      </c>
      <c r="E47" s="21">
        <v>685.3</v>
      </c>
      <c r="F47" s="12">
        <v>3.896104</v>
      </c>
    </row>
    <row r="48">
      <c r="A48" s="20">
        <v>3.7332282E7</v>
      </c>
      <c r="B48" s="5" t="s">
        <v>117</v>
      </c>
      <c r="C48" s="17">
        <v>722.0</v>
      </c>
      <c r="D48" s="5">
        <v>712.0</v>
      </c>
      <c r="E48" s="21">
        <v>685.3</v>
      </c>
      <c r="F48" s="12">
        <v>3.896104</v>
      </c>
    </row>
    <row r="49">
      <c r="A49" s="20">
        <v>3.7310368E7</v>
      </c>
      <c r="B49" s="5" t="s">
        <v>118</v>
      </c>
      <c r="C49" s="17">
        <v>1336.0</v>
      </c>
      <c r="D49" s="17">
        <v>1336.0</v>
      </c>
      <c r="E49" s="21">
        <v>1265.85</v>
      </c>
      <c r="F49" s="12">
        <v>5.541731</v>
      </c>
    </row>
    <row r="50">
      <c r="A50" s="20">
        <v>3.7310367E7</v>
      </c>
      <c r="B50" s="5" t="s">
        <v>119</v>
      </c>
      <c r="C50" s="17">
        <v>1336.0</v>
      </c>
      <c r="D50" s="17">
        <v>1336.0</v>
      </c>
      <c r="E50" s="21">
        <v>1299.0</v>
      </c>
      <c r="F50" s="12">
        <v>2.848345</v>
      </c>
    </row>
    <row r="51">
      <c r="A51" s="20">
        <v>3.7310366E7</v>
      </c>
      <c r="B51" s="5" t="s">
        <v>121</v>
      </c>
      <c r="C51" s="17">
        <v>1336.0</v>
      </c>
      <c r="D51" s="17">
        <v>1336.0</v>
      </c>
      <c r="E51" s="21">
        <v>1299.0</v>
      </c>
      <c r="F51" s="12">
        <v>2.848345</v>
      </c>
    </row>
    <row r="52">
      <c r="A52" s="20">
        <v>3.7310365E7</v>
      </c>
      <c r="B52" s="5" t="s">
        <v>122</v>
      </c>
      <c r="C52" s="17">
        <v>1253.5</v>
      </c>
      <c r="D52" s="17">
        <v>1253.5</v>
      </c>
      <c r="E52" s="21">
        <v>1218.0</v>
      </c>
      <c r="F52" s="12">
        <v>2.914614</v>
      </c>
    </row>
    <row r="53">
      <c r="A53" s="20">
        <v>3.7310364E7</v>
      </c>
      <c r="B53" s="5" t="s">
        <v>124</v>
      </c>
      <c r="C53" s="17">
        <v>1253.5</v>
      </c>
      <c r="D53" s="17">
        <v>1253.5</v>
      </c>
      <c r="E53" s="21">
        <v>1218.0</v>
      </c>
      <c r="F53" s="12">
        <v>2.914614</v>
      </c>
    </row>
    <row r="54">
      <c r="A54" s="20">
        <v>3.7169027E7</v>
      </c>
      <c r="B54" s="5" t="s">
        <v>125</v>
      </c>
      <c r="C54" s="17">
        <v>722.0</v>
      </c>
      <c r="D54" s="5">
        <v>712.0</v>
      </c>
      <c r="E54" s="21">
        <v>712.96</v>
      </c>
      <c r="F54" s="12">
        <v>3.494389</v>
      </c>
    </row>
    <row r="55">
      <c r="A55" s="20">
        <v>3.7169025E7</v>
      </c>
      <c r="B55" s="5" t="s">
        <v>127</v>
      </c>
      <c r="C55" s="17">
        <v>722.0</v>
      </c>
      <c r="D55" s="5">
        <v>712.0</v>
      </c>
      <c r="E55" s="21">
        <v>680.94</v>
      </c>
      <c r="F55" s="12">
        <v>4.561342</v>
      </c>
    </row>
    <row r="56">
      <c r="A56" s="20">
        <v>3.7169024E7</v>
      </c>
      <c r="B56" s="5" t="s">
        <v>128</v>
      </c>
      <c r="C56" s="17">
        <v>722.0</v>
      </c>
      <c r="D56" s="5">
        <v>712.0</v>
      </c>
      <c r="E56" s="21">
        <v>680.94</v>
      </c>
      <c r="F56" s="12">
        <v>4.561342</v>
      </c>
    </row>
    <row r="57">
      <c r="A57" s="20">
        <v>3.6689841E7</v>
      </c>
      <c r="B57" s="5" t="s">
        <v>129</v>
      </c>
      <c r="C57" s="17">
        <v>1336.0</v>
      </c>
      <c r="D57" s="17">
        <v>1336.0</v>
      </c>
      <c r="E57" s="21">
        <v>1265.85</v>
      </c>
      <c r="F57" s="12">
        <v>5.541731</v>
      </c>
    </row>
    <row r="58">
      <c r="A58" s="20">
        <v>3.668984E7</v>
      </c>
      <c r="B58" s="5" t="s">
        <v>131</v>
      </c>
      <c r="C58" s="17">
        <v>1336.0</v>
      </c>
      <c r="D58" s="17">
        <v>1336.0</v>
      </c>
      <c r="E58" s="21">
        <v>1299.0</v>
      </c>
      <c r="F58" s="12">
        <v>2.848345</v>
      </c>
    </row>
    <row r="59">
      <c r="A59" s="20">
        <v>3.6689839E7</v>
      </c>
      <c r="B59" s="5" t="s">
        <v>132</v>
      </c>
      <c r="C59" s="17">
        <v>1336.0</v>
      </c>
      <c r="D59" s="17">
        <v>1336.0</v>
      </c>
      <c r="E59" s="21">
        <v>1299.0</v>
      </c>
      <c r="F59" s="12">
        <v>2.848345</v>
      </c>
    </row>
    <row r="60">
      <c r="A60" s="20">
        <v>3.6689838E7</v>
      </c>
      <c r="B60" s="5" t="s">
        <v>134</v>
      </c>
      <c r="C60" s="17">
        <v>1336.0</v>
      </c>
      <c r="D60" s="17">
        <v>1336.0</v>
      </c>
      <c r="E60" s="21">
        <v>1265.85</v>
      </c>
      <c r="F60" s="12">
        <v>5.541731</v>
      </c>
    </row>
    <row r="61">
      <c r="A61" s="20">
        <v>3.6689837E7</v>
      </c>
      <c r="B61" s="5" t="s">
        <v>135</v>
      </c>
      <c r="C61" s="17">
        <v>1336.0</v>
      </c>
      <c r="D61" s="17">
        <v>1336.0</v>
      </c>
      <c r="E61" s="21">
        <v>1265.85</v>
      </c>
      <c r="F61" s="12">
        <v>5.541731</v>
      </c>
    </row>
    <row r="62">
      <c r="A62" s="20">
        <v>3.6673034E7</v>
      </c>
      <c r="B62" s="5" t="s">
        <v>137</v>
      </c>
      <c r="C62" s="17">
        <v>843.0</v>
      </c>
      <c r="D62" s="5">
        <v>823.0</v>
      </c>
      <c r="E62" s="21">
        <v>673.98</v>
      </c>
      <c r="F62" s="12">
        <v>22.11045</v>
      </c>
    </row>
    <row r="63">
      <c r="A63" s="20">
        <v>3.667298E7</v>
      </c>
      <c r="B63" s="5" t="s">
        <v>138</v>
      </c>
      <c r="C63" s="17">
        <v>722.0</v>
      </c>
      <c r="D63" s="5">
        <v>712.0</v>
      </c>
      <c r="E63" s="21">
        <v>689.18</v>
      </c>
      <c r="F63" s="12">
        <v>3.311181</v>
      </c>
    </row>
    <row r="64">
      <c r="A64" s="20">
        <v>3.6672979E7</v>
      </c>
      <c r="B64" s="5" t="s">
        <v>139</v>
      </c>
      <c r="C64" s="17">
        <v>843.0</v>
      </c>
      <c r="D64" s="5">
        <v>823.0</v>
      </c>
      <c r="E64" s="21">
        <v>800.340067</v>
      </c>
      <c r="F64" s="12">
        <v>2.831288</v>
      </c>
    </row>
    <row r="65">
      <c r="A65" s="20">
        <v>3.6672976E7</v>
      </c>
      <c r="B65" s="5" t="s">
        <v>141</v>
      </c>
      <c r="C65" s="17">
        <v>843.0</v>
      </c>
      <c r="D65" s="5">
        <v>823.0</v>
      </c>
      <c r="E65" s="21">
        <v>674.74</v>
      </c>
      <c r="F65" s="12">
        <v>21.97291</v>
      </c>
    </row>
    <row r="66">
      <c r="A66" s="20">
        <v>3.6672974E7</v>
      </c>
      <c r="B66" s="5" t="s">
        <v>142</v>
      </c>
      <c r="C66" s="17">
        <v>722.0</v>
      </c>
      <c r="D66" s="5">
        <v>712.0</v>
      </c>
      <c r="E66" s="21">
        <v>695.6</v>
      </c>
      <c r="F66" s="12">
        <v>2.357677</v>
      </c>
    </row>
    <row r="67">
      <c r="A67" s="20">
        <v>3.4590253E7</v>
      </c>
      <c r="B67" s="5" t="s">
        <v>144</v>
      </c>
      <c r="C67" s="17">
        <v>722.0</v>
      </c>
      <c r="D67" s="5">
        <v>712.0</v>
      </c>
      <c r="E67" s="21">
        <v>694.82</v>
      </c>
      <c r="F67" s="12">
        <v>2.472583</v>
      </c>
    </row>
    <row r="68">
      <c r="A68" s="20">
        <v>3.4590252E7</v>
      </c>
      <c r="B68" s="5" t="s">
        <v>145</v>
      </c>
      <c r="C68" s="17">
        <v>722.0</v>
      </c>
      <c r="D68" s="5">
        <v>712.0</v>
      </c>
      <c r="E68" s="21">
        <v>688.51</v>
      </c>
      <c r="F68" s="12">
        <v>3.411715</v>
      </c>
    </row>
    <row r="69">
      <c r="A69" s="20">
        <v>3.459025E7</v>
      </c>
      <c r="B69" s="5" t="s">
        <v>146</v>
      </c>
      <c r="C69" s="17">
        <v>639.0</v>
      </c>
      <c r="D69" s="5">
        <v>687.0</v>
      </c>
      <c r="E69" s="21">
        <v>639.63</v>
      </c>
      <c r="F69" s="12">
        <v>10.69397</v>
      </c>
    </row>
    <row r="70">
      <c r="A70" s="20">
        <v>3.4590249E7</v>
      </c>
      <c r="B70" s="5" t="s">
        <v>148</v>
      </c>
      <c r="C70" s="17">
        <v>722.0</v>
      </c>
      <c r="D70" s="5">
        <v>712.0</v>
      </c>
      <c r="E70" s="21">
        <v>686.18</v>
      </c>
      <c r="F70" s="12">
        <v>3.762861</v>
      </c>
    </row>
    <row r="71">
      <c r="A71" s="20">
        <v>3.4590248E7</v>
      </c>
      <c r="B71" s="5" t="s">
        <v>149</v>
      </c>
      <c r="C71" s="17">
        <v>722.0</v>
      </c>
      <c r="D71" s="5">
        <v>712.0</v>
      </c>
      <c r="E71" s="21">
        <v>712.73</v>
      </c>
      <c r="F71" s="12">
        <v>3.529001</v>
      </c>
    </row>
    <row r="72">
      <c r="A72" s="20">
        <v>3.4590247E7</v>
      </c>
      <c r="B72" s="5" t="s">
        <v>151</v>
      </c>
      <c r="C72" s="17">
        <v>639.0</v>
      </c>
      <c r="D72" s="5">
        <v>687.0</v>
      </c>
      <c r="E72" s="21">
        <v>639.63</v>
      </c>
      <c r="F72" s="12">
        <v>10.69397</v>
      </c>
    </row>
    <row r="73">
      <c r="A73" s="20">
        <v>3.4590243E7</v>
      </c>
      <c r="B73" s="5" t="s">
        <v>152</v>
      </c>
      <c r="C73" s="17">
        <v>722.0</v>
      </c>
      <c r="D73" s="5">
        <v>712.0</v>
      </c>
      <c r="E73" s="21">
        <v>688.51</v>
      </c>
      <c r="F73" s="12">
        <v>3.411715</v>
      </c>
    </row>
    <row r="74">
      <c r="A74" s="20">
        <v>3.4590242E7</v>
      </c>
      <c r="B74" s="5" t="s">
        <v>153</v>
      </c>
      <c r="C74" s="17">
        <v>639.0</v>
      </c>
      <c r="D74" s="5">
        <v>687.0</v>
      </c>
      <c r="E74" s="21">
        <v>647.6628</v>
      </c>
      <c r="F74" s="12">
        <v>6.073716</v>
      </c>
    </row>
    <row r="75">
      <c r="A75" s="20">
        <v>3.4590241E7</v>
      </c>
      <c r="B75" s="5" t="s">
        <v>154</v>
      </c>
      <c r="C75" s="17">
        <v>722.0</v>
      </c>
      <c r="D75" s="5">
        <v>712.0</v>
      </c>
      <c r="E75" s="21">
        <v>683.85</v>
      </c>
      <c r="F75" s="12">
        <v>4.1164</v>
      </c>
    </row>
    <row r="76">
      <c r="A76" s="20">
        <v>3.459024E7</v>
      </c>
      <c r="B76" s="5" t="s">
        <v>150</v>
      </c>
      <c r="C76" s="17">
        <v>722.0</v>
      </c>
      <c r="D76" s="5">
        <v>712.0</v>
      </c>
      <c r="E76" s="21">
        <v>688.51</v>
      </c>
      <c r="F76" s="12">
        <v>3.411715</v>
      </c>
    </row>
    <row r="77">
      <c r="A77" s="20">
        <v>3.4590239E7</v>
      </c>
      <c r="B77" s="5" t="s">
        <v>147</v>
      </c>
      <c r="C77" s="17">
        <v>722.0</v>
      </c>
      <c r="D77" s="5">
        <v>712.0</v>
      </c>
      <c r="E77" s="21">
        <v>686.18</v>
      </c>
      <c r="F77" s="12">
        <v>3.762861</v>
      </c>
    </row>
    <row r="78">
      <c r="A78" s="20">
        <v>3.4590238E7</v>
      </c>
      <c r="B78" s="5" t="s">
        <v>143</v>
      </c>
      <c r="C78" s="17">
        <v>722.0</v>
      </c>
      <c r="D78" s="5">
        <v>712.0</v>
      </c>
      <c r="E78" s="21">
        <v>695.6</v>
      </c>
      <c r="F78" s="12">
        <v>2.357677</v>
      </c>
    </row>
    <row r="79">
      <c r="A79" s="20">
        <v>3.4590237E7</v>
      </c>
      <c r="B79" s="5" t="s">
        <v>140</v>
      </c>
      <c r="C79" s="17">
        <v>722.0</v>
      </c>
      <c r="D79" s="5">
        <v>712.0</v>
      </c>
      <c r="E79" s="21">
        <v>695.6</v>
      </c>
      <c r="F79" s="12">
        <v>2.357677</v>
      </c>
    </row>
    <row r="80">
      <c r="A80" s="20">
        <v>3.4590236E7</v>
      </c>
      <c r="B80" s="5" t="s">
        <v>136</v>
      </c>
      <c r="C80" s="17">
        <v>722.0</v>
      </c>
      <c r="D80" s="5">
        <v>712.0</v>
      </c>
      <c r="E80" s="21">
        <v>712.73</v>
      </c>
      <c r="F80" s="12">
        <v>3.529001</v>
      </c>
    </row>
    <row r="81">
      <c r="A81" s="20">
        <v>3.4590234E7</v>
      </c>
      <c r="B81" s="5" t="s">
        <v>130</v>
      </c>
      <c r="C81" s="17">
        <v>722.0</v>
      </c>
      <c r="D81" s="5">
        <v>712.0</v>
      </c>
      <c r="E81" s="21">
        <v>686.18</v>
      </c>
      <c r="F81" s="12">
        <v>3.762861</v>
      </c>
    </row>
    <row r="82">
      <c r="A82" s="20">
        <v>3.4590233E7</v>
      </c>
      <c r="B82" s="5" t="s">
        <v>126</v>
      </c>
      <c r="C82" s="17">
        <v>722.0</v>
      </c>
      <c r="D82" s="5">
        <v>712.0</v>
      </c>
      <c r="E82" s="21">
        <v>688.51</v>
      </c>
      <c r="F82" s="12">
        <v>3.411715</v>
      </c>
    </row>
    <row r="83">
      <c r="A83" s="20">
        <v>3.4590232E7</v>
      </c>
      <c r="B83" s="5" t="s">
        <v>123</v>
      </c>
      <c r="C83" s="17">
        <v>722.0</v>
      </c>
      <c r="D83" s="5">
        <v>712.0</v>
      </c>
      <c r="E83" s="21">
        <v>688.51</v>
      </c>
      <c r="F83" s="12">
        <v>3.411715</v>
      </c>
    </row>
    <row r="84">
      <c r="A84" s="20">
        <v>3.4590231E7</v>
      </c>
      <c r="B84" s="5" t="s">
        <v>120</v>
      </c>
      <c r="C84" s="17">
        <v>722.0</v>
      </c>
      <c r="D84" s="5">
        <v>712.0</v>
      </c>
      <c r="E84" s="21">
        <v>712.0</v>
      </c>
      <c r="F84" s="12">
        <v>0.0</v>
      </c>
    </row>
    <row r="85">
      <c r="A85" s="20">
        <v>3.459023E7</v>
      </c>
      <c r="B85" s="5" t="s">
        <v>116</v>
      </c>
      <c r="C85" s="17">
        <v>722.0</v>
      </c>
      <c r="D85" s="5">
        <v>712.0</v>
      </c>
      <c r="E85" s="21">
        <v>686.18</v>
      </c>
      <c r="F85" s="12">
        <v>3.762861</v>
      </c>
    </row>
    <row r="86">
      <c r="A86" s="20">
        <v>3.4590229E7</v>
      </c>
      <c r="B86" s="5" t="s">
        <v>113</v>
      </c>
      <c r="C86" s="17">
        <v>722.0</v>
      </c>
      <c r="D86" s="5">
        <v>712.0</v>
      </c>
      <c r="E86" s="21">
        <v>688.51</v>
      </c>
      <c r="F86" s="12">
        <v>3.411715</v>
      </c>
    </row>
    <row r="87">
      <c r="A87" s="20">
        <v>3.4590228E7</v>
      </c>
      <c r="B87" s="5" t="s">
        <v>110</v>
      </c>
      <c r="C87" s="17">
        <v>722.0</v>
      </c>
      <c r="D87" s="5">
        <v>712.0</v>
      </c>
      <c r="E87" s="21">
        <v>686.18</v>
      </c>
      <c r="F87" s="12">
        <v>3.762861</v>
      </c>
    </row>
    <row r="88">
      <c r="A88" s="20">
        <v>3.4590227E7</v>
      </c>
      <c r="B88" s="5" t="s">
        <v>107</v>
      </c>
      <c r="C88" s="17">
        <v>639.0</v>
      </c>
      <c r="D88" s="5">
        <v>687.0</v>
      </c>
      <c r="E88" s="21">
        <v>639.63</v>
      </c>
      <c r="F88" s="12">
        <v>10.69397</v>
      </c>
    </row>
    <row r="89">
      <c r="A89" s="20">
        <v>3.4590226E7</v>
      </c>
      <c r="B89" s="5" t="s">
        <v>103</v>
      </c>
      <c r="C89" s="17">
        <v>722.0</v>
      </c>
      <c r="D89" s="5">
        <v>712.0</v>
      </c>
      <c r="E89" s="21">
        <v>695.6</v>
      </c>
      <c r="F89" s="12">
        <v>2.357677</v>
      </c>
    </row>
    <row r="90">
      <c r="A90" s="20">
        <v>3.4590225E7</v>
      </c>
      <c r="B90" s="5" t="s">
        <v>100</v>
      </c>
      <c r="C90" s="17">
        <v>722.0</v>
      </c>
      <c r="D90" s="5">
        <v>712.0</v>
      </c>
      <c r="E90" s="21">
        <v>686.18</v>
      </c>
      <c r="F90" s="12">
        <v>3.762861</v>
      </c>
    </row>
    <row r="91">
      <c r="A91" s="20">
        <v>3.4590223E7</v>
      </c>
      <c r="B91" s="5" t="s">
        <v>94</v>
      </c>
      <c r="C91" s="17">
        <v>639.0</v>
      </c>
      <c r="D91" s="5">
        <v>687.0</v>
      </c>
      <c r="E91" s="21">
        <v>639.63</v>
      </c>
      <c r="F91" s="12">
        <v>10.69397</v>
      </c>
    </row>
    <row r="92">
      <c r="A92" s="20">
        <v>3.459022E7</v>
      </c>
      <c r="B92" s="5" t="s">
        <v>84</v>
      </c>
      <c r="C92" s="17">
        <v>722.0</v>
      </c>
      <c r="D92" s="5">
        <v>712.0</v>
      </c>
      <c r="E92" s="21">
        <v>652.81</v>
      </c>
      <c r="F92" s="12">
        <v>9.066957</v>
      </c>
    </row>
    <row r="93">
      <c r="A93" s="20">
        <v>3.4590219E7</v>
      </c>
      <c r="B93" s="5" t="s">
        <v>81</v>
      </c>
      <c r="C93" s="17">
        <v>639.0</v>
      </c>
      <c r="D93" s="5">
        <v>687.0</v>
      </c>
      <c r="E93" s="21">
        <v>639.63</v>
      </c>
      <c r="F93" s="12">
        <v>10.69397</v>
      </c>
    </row>
    <row r="94">
      <c r="A94" s="20">
        <v>3.4590218E7</v>
      </c>
      <c r="B94" s="5" t="s">
        <v>78</v>
      </c>
      <c r="C94" s="17">
        <v>843.0</v>
      </c>
      <c r="D94" s="5">
        <v>823.0</v>
      </c>
      <c r="E94" s="21">
        <v>652.81</v>
      </c>
      <c r="F94" s="12">
        <v>26.07037</v>
      </c>
    </row>
    <row r="95">
      <c r="A95" s="20">
        <v>3.4590217E7</v>
      </c>
      <c r="B95" s="5" t="s">
        <v>74</v>
      </c>
      <c r="C95" s="17">
        <v>722.0</v>
      </c>
      <c r="D95" s="5">
        <v>712.0</v>
      </c>
      <c r="E95" s="21">
        <v>688.51</v>
      </c>
      <c r="F95" s="12">
        <v>3.411715</v>
      </c>
    </row>
    <row r="96">
      <c r="A96" s="20">
        <v>3.4590216E7</v>
      </c>
      <c r="B96" s="5" t="s">
        <v>70</v>
      </c>
      <c r="C96" s="17">
        <v>722.0</v>
      </c>
      <c r="D96" s="5">
        <v>712.0</v>
      </c>
      <c r="E96" s="21">
        <v>688.51</v>
      </c>
      <c r="F96" s="12">
        <v>3.411715</v>
      </c>
    </row>
    <row r="97">
      <c r="A97" s="20">
        <v>3.4590215E7</v>
      </c>
      <c r="B97" s="5" t="s">
        <v>66</v>
      </c>
      <c r="C97" s="17">
        <v>722.0</v>
      </c>
      <c r="D97" s="5">
        <v>712.0</v>
      </c>
      <c r="E97" s="21">
        <v>686.18</v>
      </c>
      <c r="F97" s="12">
        <v>3.762861</v>
      </c>
    </row>
    <row r="98">
      <c r="A98" s="20">
        <v>3.4590214E7</v>
      </c>
      <c r="B98" s="5" t="s">
        <v>62</v>
      </c>
      <c r="C98" s="17">
        <v>722.0</v>
      </c>
      <c r="D98" s="5">
        <v>712.0</v>
      </c>
      <c r="E98" s="21">
        <v>686.18</v>
      </c>
      <c r="F98" s="12">
        <v>3.762861</v>
      </c>
    </row>
    <row r="99">
      <c r="A99" s="20">
        <v>3.4590213E7</v>
      </c>
      <c r="B99" s="5" t="s">
        <v>57</v>
      </c>
      <c r="C99" s="17">
        <v>722.0</v>
      </c>
      <c r="D99" s="5">
        <v>712.0</v>
      </c>
      <c r="E99" s="21">
        <v>688.51</v>
      </c>
      <c r="F99" s="12">
        <v>3.411715</v>
      </c>
    </row>
    <row r="100">
      <c r="A100" s="20">
        <v>3.4590212E7</v>
      </c>
      <c r="B100" s="5" t="s">
        <v>53</v>
      </c>
      <c r="C100" s="17">
        <v>843.0</v>
      </c>
      <c r="D100" s="5">
        <v>823.0</v>
      </c>
      <c r="E100" s="21">
        <v>712.73</v>
      </c>
      <c r="F100" s="12">
        <v>19.66906</v>
      </c>
    </row>
    <row r="101">
      <c r="A101" s="20">
        <v>3.4590211E7</v>
      </c>
      <c r="B101" s="5" t="s">
        <v>50</v>
      </c>
      <c r="C101" s="17">
        <v>722.0</v>
      </c>
      <c r="D101" s="5">
        <v>712.0</v>
      </c>
      <c r="E101" s="21">
        <v>688.51</v>
      </c>
      <c r="F101" s="12">
        <v>3.411715</v>
      </c>
    </row>
    <row r="102">
      <c r="A102" s="20">
        <v>3.4590209E7</v>
      </c>
      <c r="B102" s="5" t="s">
        <v>46</v>
      </c>
      <c r="C102" s="17">
        <v>639.0</v>
      </c>
      <c r="D102" s="5">
        <v>687.0</v>
      </c>
      <c r="E102" s="21">
        <v>647.6628</v>
      </c>
      <c r="F102" s="12">
        <v>6.073716</v>
      </c>
    </row>
    <row r="103">
      <c r="A103" s="20">
        <v>3.4590206E7</v>
      </c>
      <c r="B103" s="5" t="s">
        <v>43</v>
      </c>
      <c r="C103" s="17">
        <v>639.0</v>
      </c>
      <c r="D103" s="5">
        <v>687.0</v>
      </c>
      <c r="E103" s="21">
        <v>639.63</v>
      </c>
      <c r="F103" s="12">
        <v>10.69397</v>
      </c>
    </row>
    <row r="104">
      <c r="A104" s="20">
        <v>3.4590205E7</v>
      </c>
      <c r="B104" s="5" t="s">
        <v>40</v>
      </c>
      <c r="C104" s="17">
        <v>722.0</v>
      </c>
      <c r="D104" s="5">
        <v>712.0</v>
      </c>
      <c r="E104" s="21">
        <v>693.25</v>
      </c>
      <c r="F104" s="12">
        <v>2.704652</v>
      </c>
    </row>
    <row r="105">
      <c r="A105" s="20">
        <v>3.45902E7</v>
      </c>
      <c r="B105" s="5" t="s">
        <v>37</v>
      </c>
      <c r="C105" s="17">
        <v>639.0</v>
      </c>
      <c r="D105" s="5">
        <v>687.0</v>
      </c>
      <c r="E105" s="21">
        <v>639.63</v>
      </c>
      <c r="F105" s="12">
        <v>10.69397</v>
      </c>
    </row>
    <row r="106">
      <c r="A106" s="20">
        <v>3.4590197E7</v>
      </c>
      <c r="B106" s="5" t="s">
        <v>35</v>
      </c>
      <c r="C106" s="17">
        <v>722.0</v>
      </c>
      <c r="D106" s="5">
        <v>712.0</v>
      </c>
      <c r="E106" s="21">
        <v>695.6</v>
      </c>
      <c r="F106" s="12">
        <v>2.357677</v>
      </c>
    </row>
    <row r="107">
      <c r="A107" s="20">
        <v>3.3752859E7</v>
      </c>
      <c r="B107" s="5" t="s">
        <v>31</v>
      </c>
      <c r="C107" s="17">
        <v>722.0</v>
      </c>
      <c r="D107" s="5">
        <v>712.0</v>
      </c>
      <c r="E107" s="21">
        <v>712.0</v>
      </c>
      <c r="F107" s="12">
        <v>0.0</v>
      </c>
    </row>
    <row r="108">
      <c r="A108" s="20">
        <v>3.3752853E7</v>
      </c>
      <c r="B108" s="5" t="s">
        <v>29</v>
      </c>
      <c r="C108" s="17">
        <v>722.0</v>
      </c>
      <c r="D108" s="5">
        <v>712.0</v>
      </c>
      <c r="E108" s="21">
        <v>688.51</v>
      </c>
      <c r="F108" s="12">
        <v>3.411715</v>
      </c>
    </row>
    <row r="109">
      <c r="A109" s="20">
        <v>3.3517703E7</v>
      </c>
      <c r="B109" s="5" t="s">
        <v>27</v>
      </c>
      <c r="C109" s="17">
        <v>722.0</v>
      </c>
      <c r="D109" s="5">
        <v>712.0</v>
      </c>
      <c r="E109" s="21">
        <v>688.51</v>
      </c>
      <c r="F109" s="12">
        <v>3.411715</v>
      </c>
    </row>
    <row r="110">
      <c r="A110" s="20">
        <v>3.3108032E7</v>
      </c>
      <c r="B110" s="5" t="s">
        <v>19</v>
      </c>
      <c r="C110" s="17">
        <v>843.0</v>
      </c>
      <c r="D110" s="5">
        <v>823.0</v>
      </c>
      <c r="E110" s="21">
        <v>683.0</v>
      </c>
      <c r="F110" s="12">
        <v>20.4978</v>
      </c>
    </row>
    <row r="111">
      <c r="A111" s="20">
        <v>3.6201921E7</v>
      </c>
      <c r="B111" s="5" t="s">
        <v>161</v>
      </c>
      <c r="C111" s="17">
        <v>712.0</v>
      </c>
      <c r="D111" s="17">
        <v>612.0</v>
      </c>
      <c r="E111" s="21">
        <v>707.0</v>
      </c>
      <c r="F111" s="12">
        <v>-13.4371</v>
      </c>
    </row>
    <row r="112">
      <c r="A112" s="20">
        <v>3.620191E7</v>
      </c>
      <c r="B112" s="5" t="s">
        <v>162</v>
      </c>
      <c r="C112" s="17">
        <v>712.0</v>
      </c>
      <c r="D112" s="17">
        <v>612.0</v>
      </c>
      <c r="E112" s="21">
        <v>685.65</v>
      </c>
      <c r="F112" s="12">
        <v>-10.7416</v>
      </c>
    </row>
    <row r="113">
      <c r="A113" s="20">
        <v>3.5805405E7</v>
      </c>
      <c r="B113" s="5" t="s">
        <v>164</v>
      </c>
      <c r="C113" s="17">
        <v>1336.0</v>
      </c>
      <c r="D113" s="17">
        <v>1253.0</v>
      </c>
      <c r="E113" s="21">
        <v>1265.85</v>
      </c>
      <c r="F113" s="12">
        <v>-1.01513</v>
      </c>
    </row>
    <row r="114">
      <c r="A114" s="20">
        <v>3.58054E7</v>
      </c>
      <c r="B114" s="5" t="s">
        <v>165</v>
      </c>
      <c r="C114" s="17">
        <v>1336.0</v>
      </c>
      <c r="D114" s="17">
        <v>1253.0</v>
      </c>
      <c r="E114" s="21">
        <v>1299.0</v>
      </c>
      <c r="F114" s="12">
        <v>-3.54119</v>
      </c>
    </row>
    <row r="115">
      <c r="A115" s="20">
        <v>3.5357017E7</v>
      </c>
      <c r="B115" s="5" t="s">
        <v>159</v>
      </c>
      <c r="C115" s="17">
        <v>843.0</v>
      </c>
      <c r="D115" s="5">
        <v>823.0</v>
      </c>
      <c r="E115" s="21">
        <v>695.6</v>
      </c>
      <c r="F115" s="12">
        <v>18.31512</v>
      </c>
    </row>
    <row r="116">
      <c r="A116" s="20">
        <v>3.535701E7</v>
      </c>
      <c r="B116" s="5" t="s">
        <v>167</v>
      </c>
      <c r="C116" s="17">
        <v>722.0</v>
      </c>
      <c r="D116" s="5">
        <v>712.0</v>
      </c>
      <c r="E116" s="21">
        <v>686.18</v>
      </c>
      <c r="F116" s="12">
        <v>3.762861</v>
      </c>
    </row>
    <row r="117">
      <c r="A117" s="20">
        <v>3.5357007E7</v>
      </c>
      <c r="B117" s="5" t="s">
        <v>166</v>
      </c>
      <c r="C117" s="17">
        <v>722.0</v>
      </c>
      <c r="D117" s="5">
        <v>712.0</v>
      </c>
      <c r="E117" s="21">
        <v>688.51</v>
      </c>
      <c r="F117" s="12">
        <v>3.411715</v>
      </c>
    </row>
    <row r="118">
      <c r="A118" s="20">
        <v>3.5357006E7</v>
      </c>
      <c r="B118" s="5" t="s">
        <v>160</v>
      </c>
      <c r="C118" s="17">
        <v>639.0</v>
      </c>
      <c r="D118" s="5">
        <v>687.0</v>
      </c>
      <c r="E118" s="21">
        <v>627.02</v>
      </c>
      <c r="F118" s="12">
        <v>9.565883</v>
      </c>
    </row>
    <row r="119">
      <c r="A119" s="20">
        <v>3.5357003E7</v>
      </c>
      <c r="B119" s="5" t="s">
        <v>170</v>
      </c>
      <c r="C119" s="17">
        <v>722.0</v>
      </c>
      <c r="D119" s="5">
        <v>712.0</v>
      </c>
      <c r="E119" s="21">
        <v>686.18</v>
      </c>
      <c r="F119" s="12">
        <v>3.762861</v>
      </c>
    </row>
    <row r="120">
      <c r="A120" s="20">
        <v>3.5357001E7</v>
      </c>
      <c r="B120" s="5" t="s">
        <v>172</v>
      </c>
      <c r="C120" s="17">
        <v>722.0</v>
      </c>
      <c r="D120" s="5">
        <v>712.0</v>
      </c>
      <c r="E120" s="21">
        <v>686.18</v>
      </c>
      <c r="F120" s="12">
        <v>3.762861</v>
      </c>
    </row>
    <row r="121">
      <c r="A121" s="20">
        <v>3.5356998E7</v>
      </c>
      <c r="B121" s="5" t="s">
        <v>173</v>
      </c>
      <c r="C121" s="17">
        <v>843.0</v>
      </c>
      <c r="D121" s="5">
        <v>823.0</v>
      </c>
      <c r="E121" s="21">
        <v>674.74</v>
      </c>
      <c r="F121" s="12">
        <v>21.97291</v>
      </c>
    </row>
    <row r="122">
      <c r="A122" s="20">
        <v>3.5356996E7</v>
      </c>
      <c r="B122" s="5" t="s">
        <v>168</v>
      </c>
      <c r="C122" s="17">
        <v>722.0</v>
      </c>
      <c r="D122" s="5">
        <v>712.0</v>
      </c>
      <c r="E122" s="21">
        <v>686.18</v>
      </c>
      <c r="F122" s="12">
        <v>3.762861</v>
      </c>
    </row>
    <row r="123">
      <c r="A123" s="20">
        <v>3.5356993E7</v>
      </c>
      <c r="B123" s="5" t="s">
        <v>174</v>
      </c>
      <c r="C123" s="17">
        <v>722.0</v>
      </c>
      <c r="D123" s="5">
        <v>712.0</v>
      </c>
      <c r="E123" s="21">
        <v>686.18</v>
      </c>
      <c r="F123" s="12">
        <v>3.762861</v>
      </c>
    </row>
    <row r="124">
      <c r="A124" s="20">
        <v>3.5356991E7</v>
      </c>
      <c r="B124" s="5" t="s">
        <v>163</v>
      </c>
      <c r="C124" s="17">
        <v>722.0</v>
      </c>
      <c r="D124" s="5">
        <v>712.0</v>
      </c>
      <c r="E124" s="21">
        <v>686.18</v>
      </c>
      <c r="F124" s="12">
        <v>3.762861</v>
      </c>
    </row>
    <row r="125">
      <c r="A125" s="20">
        <v>3.5356987E7</v>
      </c>
      <c r="B125" s="5" t="s">
        <v>176</v>
      </c>
      <c r="C125" s="17">
        <v>722.0</v>
      </c>
      <c r="D125" s="5">
        <v>712.0</v>
      </c>
      <c r="E125" s="21">
        <v>707.4</v>
      </c>
      <c r="F125" s="12">
        <v>0.650269</v>
      </c>
    </row>
    <row r="126">
      <c r="A126" s="20">
        <v>3.5356985E7</v>
      </c>
      <c r="B126" s="5" t="s">
        <v>171</v>
      </c>
      <c r="C126" s="17">
        <v>722.0</v>
      </c>
      <c r="D126" s="5">
        <v>712.0</v>
      </c>
      <c r="E126" s="21">
        <v>688.51</v>
      </c>
      <c r="F126" s="12">
        <v>3.411715</v>
      </c>
    </row>
    <row r="127">
      <c r="A127" s="20">
        <v>3.5356984E7</v>
      </c>
      <c r="B127" s="5" t="s">
        <v>178</v>
      </c>
      <c r="C127" s="17">
        <v>722.0</v>
      </c>
      <c r="D127" s="5">
        <v>712.0</v>
      </c>
      <c r="E127" s="21">
        <v>686.18</v>
      </c>
      <c r="F127" s="12">
        <v>3.762861</v>
      </c>
    </row>
    <row r="128">
      <c r="A128" s="20">
        <v>3.5356979E7</v>
      </c>
      <c r="B128" s="5" t="s">
        <v>179</v>
      </c>
      <c r="C128" s="17">
        <v>639.0</v>
      </c>
      <c r="D128" s="5">
        <v>687.0</v>
      </c>
      <c r="E128" s="21">
        <v>639.63</v>
      </c>
      <c r="F128" s="12">
        <v>10.69397</v>
      </c>
    </row>
    <row r="129">
      <c r="A129" s="20">
        <v>3.5356975E7</v>
      </c>
      <c r="B129" s="5" t="s">
        <v>177</v>
      </c>
      <c r="C129" s="17">
        <v>639.0</v>
      </c>
      <c r="D129" s="5">
        <v>687.0</v>
      </c>
      <c r="E129" s="21">
        <v>639.63</v>
      </c>
      <c r="F129" s="12">
        <v>10.69397</v>
      </c>
    </row>
    <row r="130">
      <c r="A130" s="20">
        <v>3.5356969E7</v>
      </c>
      <c r="B130" s="5" t="s">
        <v>175</v>
      </c>
      <c r="C130" s="17">
        <v>722.0</v>
      </c>
      <c r="D130" s="5">
        <v>712.0</v>
      </c>
      <c r="E130" s="21">
        <v>686.18</v>
      </c>
      <c r="F130" s="12">
        <v>3.762861</v>
      </c>
    </row>
    <row r="131">
      <c r="A131" s="20">
        <v>3.5356964E7</v>
      </c>
      <c r="B131" s="5" t="s">
        <v>180</v>
      </c>
      <c r="C131" s="17">
        <v>722.0</v>
      </c>
      <c r="D131" s="5">
        <v>712.0</v>
      </c>
      <c r="E131" s="21">
        <v>688.51</v>
      </c>
      <c r="F131" s="12">
        <v>3.411715</v>
      </c>
    </row>
  </sheetData>
  <conditionalFormatting sqref="D2:D131">
    <cfRule type="expression" dxfId="0" priority="1">
      <formula>D2&gt;=E2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 t="s">
        <v>2</v>
      </c>
      <c r="D1" s="5" t="s">
        <v>4</v>
      </c>
      <c r="E1" s="5" t="s">
        <v>5</v>
      </c>
      <c r="G1" s="3" t="s">
        <v>1</v>
      </c>
      <c r="H1" s="3" t="s">
        <v>2</v>
      </c>
      <c r="I1" s="5" t="s">
        <v>4</v>
      </c>
      <c r="J1" s="5" t="s">
        <v>5</v>
      </c>
      <c r="M1" s="3" t="s">
        <v>1</v>
      </c>
      <c r="N1" s="3" t="s">
        <v>2</v>
      </c>
      <c r="O1" s="5" t="s">
        <v>4</v>
      </c>
      <c r="P1" s="5" t="s">
        <v>5</v>
      </c>
      <c r="R1" s="5" t="s">
        <v>183</v>
      </c>
    </row>
    <row r="2">
      <c r="A2" s="3" t="s">
        <v>184</v>
      </c>
      <c r="B2" s="12">
        <v>993.0</v>
      </c>
      <c r="C2" s="12">
        <v>1439.0</v>
      </c>
      <c r="D2" s="5">
        <v>893.0</v>
      </c>
      <c r="E2" s="5">
        <v>1319.0</v>
      </c>
      <c r="G2" s="12">
        <v>1003.0</v>
      </c>
      <c r="H2" s="12">
        <v>1439.0</v>
      </c>
      <c r="I2" s="5">
        <v>893.0</v>
      </c>
      <c r="J2" s="5">
        <v>1319.0</v>
      </c>
      <c r="K2" s="16">
        <f t="shared" ref="K2:K8" si="2">G2-B2</f>
        <v>10</v>
      </c>
      <c r="M2" s="8">
        <v>1111.0</v>
      </c>
      <c r="N2" s="10">
        <v>1570.0</v>
      </c>
      <c r="O2" s="25"/>
      <c r="P2" s="25"/>
      <c r="Q2" s="25">
        <f t="shared" ref="Q2:R2" si="1">M2-G2</f>
        <v>108</v>
      </c>
      <c r="R2" s="25">
        <f t="shared" si="1"/>
        <v>131</v>
      </c>
    </row>
    <row r="3">
      <c r="A3" s="3" t="s">
        <v>186</v>
      </c>
      <c r="B3" s="12">
        <v>843.0</v>
      </c>
      <c r="C3" s="12">
        <v>1259.0</v>
      </c>
      <c r="D3" s="5">
        <v>790.0</v>
      </c>
      <c r="E3" s="5">
        <v>1220.0</v>
      </c>
      <c r="G3" s="8">
        <v>869.0</v>
      </c>
      <c r="H3" s="10">
        <v>1149.0</v>
      </c>
      <c r="I3" s="25"/>
      <c r="J3" s="25"/>
      <c r="K3" s="25">
        <f t="shared" si="2"/>
        <v>26</v>
      </c>
      <c r="M3" s="5">
        <v>969.0</v>
      </c>
      <c r="N3" s="5">
        <v>1398.0</v>
      </c>
      <c r="Q3" s="16">
        <f t="shared" ref="Q3:R3" si="3">M3-G3</f>
        <v>100</v>
      </c>
      <c r="R3" s="16">
        <f t="shared" si="3"/>
        <v>249</v>
      </c>
    </row>
    <row r="4">
      <c r="A4" s="3" t="s">
        <v>187</v>
      </c>
      <c r="B4" s="12">
        <v>722.0</v>
      </c>
      <c r="C4" s="12">
        <v>997.0</v>
      </c>
      <c r="D4" s="12">
        <v>687.0</v>
      </c>
      <c r="E4" s="5">
        <v>914.0</v>
      </c>
      <c r="G4" s="12">
        <v>798.0</v>
      </c>
      <c r="H4" s="12">
        <v>1090.0</v>
      </c>
      <c r="I4" s="12">
        <v>687.0</v>
      </c>
      <c r="J4" s="5">
        <v>914.0</v>
      </c>
      <c r="K4" s="16">
        <f t="shared" si="2"/>
        <v>76</v>
      </c>
      <c r="M4" s="8">
        <v>826.0</v>
      </c>
      <c r="N4" s="10">
        <v>1097.0</v>
      </c>
      <c r="O4" s="25"/>
      <c r="P4" s="25"/>
      <c r="Q4" s="25">
        <f t="shared" ref="Q4:R4" si="4">M4-G4</f>
        <v>28</v>
      </c>
      <c r="R4" s="26">
        <f t="shared" si="4"/>
        <v>7</v>
      </c>
    </row>
    <row r="5">
      <c r="A5" s="3" t="s">
        <v>188</v>
      </c>
      <c r="B5" s="12">
        <v>639.0</v>
      </c>
      <c r="C5" s="12">
        <v>897.0</v>
      </c>
      <c r="D5" s="5">
        <v>620.0</v>
      </c>
      <c r="E5" s="5">
        <v>837.0</v>
      </c>
      <c r="G5" s="22">
        <v>638.0</v>
      </c>
      <c r="H5" s="23">
        <v>899.0</v>
      </c>
      <c r="I5" s="8">
        <v>620.0</v>
      </c>
      <c r="J5" s="8">
        <v>837.0</v>
      </c>
      <c r="K5" s="25">
        <f t="shared" si="2"/>
        <v>-1</v>
      </c>
      <c r="M5" s="12">
        <v>722.0</v>
      </c>
      <c r="N5" s="12">
        <v>997.0</v>
      </c>
      <c r="Q5" s="16">
        <f t="shared" ref="Q5:R5" si="5">M5-G5</f>
        <v>84</v>
      </c>
      <c r="R5" s="16">
        <f t="shared" si="5"/>
        <v>98</v>
      </c>
    </row>
    <row r="6">
      <c r="A6" s="27" t="s">
        <v>189</v>
      </c>
      <c r="B6" s="12">
        <v>1336.0</v>
      </c>
      <c r="C6" s="12">
        <v>1885.0</v>
      </c>
      <c r="D6" s="12">
        <v>1253.0</v>
      </c>
      <c r="E6" s="12">
        <v>1730.0</v>
      </c>
      <c r="G6" s="22">
        <v>1378.0</v>
      </c>
      <c r="H6" s="23">
        <v>1939.0</v>
      </c>
      <c r="I6" s="22">
        <v>1253.0</v>
      </c>
      <c r="J6" s="22">
        <v>1730.0</v>
      </c>
      <c r="K6" s="25">
        <f t="shared" si="2"/>
        <v>42</v>
      </c>
      <c r="M6" s="5">
        <v>1427.0</v>
      </c>
      <c r="N6" s="5">
        <v>1999.0</v>
      </c>
      <c r="Q6" s="16">
        <f t="shared" ref="Q6:R6" si="6">M6-G6</f>
        <v>49</v>
      </c>
      <c r="R6" s="16">
        <f t="shared" si="6"/>
        <v>60</v>
      </c>
    </row>
    <row r="7">
      <c r="A7" s="3" t="s">
        <v>190</v>
      </c>
      <c r="B7" s="12">
        <v>1253.5</v>
      </c>
      <c r="C7" s="12">
        <v>1797.0</v>
      </c>
      <c r="D7" s="5">
        <v>1171.0</v>
      </c>
      <c r="E7" s="5">
        <v>1635.0</v>
      </c>
      <c r="G7" s="12">
        <v>1296.0</v>
      </c>
      <c r="H7" s="12">
        <v>1839.0</v>
      </c>
      <c r="I7" s="5">
        <v>1171.0</v>
      </c>
      <c r="J7" s="5">
        <v>1635.0</v>
      </c>
      <c r="K7" s="16">
        <f t="shared" si="2"/>
        <v>42.5</v>
      </c>
      <c r="M7" s="22">
        <v>1337.0</v>
      </c>
      <c r="N7" s="23">
        <v>1889.0</v>
      </c>
      <c r="O7" s="22">
        <v>1253.0</v>
      </c>
      <c r="P7" s="22">
        <v>1730.0</v>
      </c>
      <c r="Q7" s="25">
        <f t="shared" ref="Q7:R7" si="7">M7-G7</f>
        <v>41</v>
      </c>
      <c r="R7" s="25">
        <f t="shared" si="7"/>
        <v>50</v>
      </c>
    </row>
    <row r="8">
      <c r="A8" s="27" t="s">
        <v>192</v>
      </c>
      <c r="B8" s="5">
        <v>1418.0</v>
      </c>
      <c r="C8" s="5">
        <v>1997.0</v>
      </c>
      <c r="D8" s="5">
        <v>1318.0</v>
      </c>
      <c r="E8" s="5">
        <v>1875.0</v>
      </c>
      <c r="G8" s="5">
        <v>1427.0</v>
      </c>
      <c r="H8" s="5">
        <v>1999.0</v>
      </c>
      <c r="I8" s="5">
        <v>1318.0</v>
      </c>
      <c r="J8" s="5">
        <v>1875.0</v>
      </c>
      <c r="K8" s="16">
        <f t="shared" si="2"/>
        <v>9</v>
      </c>
      <c r="M8" s="8">
        <v>1605.0</v>
      </c>
      <c r="N8" s="10">
        <v>2339.0</v>
      </c>
      <c r="O8" s="25"/>
      <c r="P8" s="25"/>
      <c r="Q8" s="25">
        <f t="shared" ref="Q8:R8" si="8">M8-G8</f>
        <v>178</v>
      </c>
      <c r="R8" s="28">
        <f t="shared" si="8"/>
        <v>340</v>
      </c>
    </row>
    <row r="9">
      <c r="A9" s="3" t="s">
        <v>194</v>
      </c>
      <c r="B9" s="12">
        <v>712.0</v>
      </c>
      <c r="C9" s="12">
        <v>997.0</v>
      </c>
      <c r="D9" s="5">
        <v>612.0</v>
      </c>
      <c r="E9" s="5">
        <v>836.0</v>
      </c>
      <c r="G9" s="12">
        <v>712.0</v>
      </c>
      <c r="H9" s="12">
        <v>997.0</v>
      </c>
      <c r="I9" s="5">
        <v>612.0</v>
      </c>
      <c r="J9" s="5">
        <v>836.0</v>
      </c>
      <c r="M9" s="12">
        <v>712.0</v>
      </c>
      <c r="N9" s="12">
        <v>997.0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